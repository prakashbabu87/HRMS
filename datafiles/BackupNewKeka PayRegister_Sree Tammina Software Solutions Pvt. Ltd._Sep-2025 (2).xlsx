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T-USER1\Desktop\Logo\"/>
    </mc:Choice>
  </mc:AlternateContent>
  <xr:revisionPtr revIDLastSave="0" documentId="13_ncr:1_{08C13E11-6FFE-4D59-B2FB-358DDB295B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p 2025" sheetId="1" r:id="rId1"/>
  </sheets>
  <calcPr calcId="191029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AU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Y2" i="1"/>
  <c r="W594" i="1"/>
  <c r="X2" i="1"/>
  <c r="S1007" i="1"/>
  <c r="W1007" i="1" s="1"/>
  <c r="S1006" i="1"/>
  <c r="W1006" i="1" s="1"/>
  <c r="S1005" i="1"/>
  <c r="W1005" i="1" s="1"/>
  <c r="S1004" i="1"/>
  <c r="W1004" i="1" s="1"/>
  <c r="S1003" i="1"/>
  <c r="W1003" i="1" s="1"/>
  <c r="S1002" i="1"/>
  <c r="W1002" i="1" s="1"/>
  <c r="S1001" i="1"/>
  <c r="W1001" i="1" s="1"/>
  <c r="S1000" i="1"/>
  <c r="W1000" i="1" s="1"/>
  <c r="S999" i="1"/>
  <c r="W999" i="1" s="1"/>
  <c r="S998" i="1"/>
  <c r="W998" i="1" s="1"/>
  <c r="S997" i="1"/>
  <c r="W997" i="1" s="1"/>
  <c r="S996" i="1"/>
  <c r="W996" i="1" s="1"/>
  <c r="S995" i="1"/>
  <c r="W995" i="1" s="1"/>
  <c r="S994" i="1"/>
  <c r="W994" i="1" s="1"/>
  <c r="S993" i="1"/>
  <c r="W993" i="1" s="1"/>
  <c r="S992" i="1"/>
  <c r="W992" i="1" s="1"/>
  <c r="S991" i="1"/>
  <c r="W991" i="1" s="1"/>
  <c r="S990" i="1"/>
  <c r="W990" i="1" s="1"/>
  <c r="S989" i="1"/>
  <c r="W989" i="1" s="1"/>
  <c r="S988" i="1"/>
  <c r="W988" i="1" s="1"/>
  <c r="S987" i="1"/>
  <c r="W987" i="1" s="1"/>
  <c r="S986" i="1"/>
  <c r="W986" i="1" s="1"/>
  <c r="S985" i="1"/>
  <c r="W985" i="1" s="1"/>
  <c r="S984" i="1"/>
  <c r="W984" i="1" s="1"/>
  <c r="S983" i="1"/>
  <c r="W983" i="1" s="1"/>
  <c r="S982" i="1"/>
  <c r="W982" i="1" s="1"/>
  <c r="S981" i="1"/>
  <c r="W981" i="1" s="1"/>
  <c r="S980" i="1"/>
  <c r="W980" i="1" s="1"/>
  <c r="S979" i="1"/>
  <c r="W979" i="1" s="1"/>
  <c r="S978" i="1"/>
  <c r="W978" i="1" s="1"/>
  <c r="S977" i="1"/>
  <c r="W977" i="1" s="1"/>
  <c r="S976" i="1"/>
  <c r="W976" i="1" s="1"/>
  <c r="S975" i="1"/>
  <c r="W975" i="1" s="1"/>
  <c r="S974" i="1"/>
  <c r="W974" i="1" s="1"/>
  <c r="S973" i="1"/>
  <c r="W973" i="1" s="1"/>
  <c r="S972" i="1"/>
  <c r="V972" i="1" s="1"/>
  <c r="S971" i="1"/>
  <c r="W971" i="1" s="1"/>
  <c r="S970" i="1"/>
  <c r="W970" i="1" s="1"/>
  <c r="S969" i="1"/>
  <c r="W969" i="1" s="1"/>
  <c r="S968" i="1"/>
  <c r="W968" i="1" s="1"/>
  <c r="S967" i="1"/>
  <c r="W967" i="1" s="1"/>
  <c r="S966" i="1"/>
  <c r="W966" i="1" s="1"/>
  <c r="S965" i="1"/>
  <c r="W965" i="1" s="1"/>
  <c r="S964" i="1"/>
  <c r="W964" i="1" s="1"/>
  <c r="S963" i="1"/>
  <c r="W963" i="1" s="1"/>
  <c r="S962" i="1"/>
  <c r="W962" i="1" s="1"/>
  <c r="S961" i="1"/>
  <c r="W961" i="1" s="1"/>
  <c r="S960" i="1"/>
  <c r="W960" i="1" s="1"/>
  <c r="S959" i="1"/>
  <c r="W959" i="1" s="1"/>
  <c r="S958" i="1"/>
  <c r="W958" i="1" s="1"/>
  <c r="S957" i="1"/>
  <c r="W957" i="1" s="1"/>
  <c r="S956" i="1"/>
  <c r="W956" i="1" s="1"/>
  <c r="S955" i="1"/>
  <c r="W955" i="1" s="1"/>
  <c r="S954" i="1"/>
  <c r="W954" i="1" s="1"/>
  <c r="S953" i="1"/>
  <c r="W953" i="1" s="1"/>
  <c r="S952" i="1"/>
  <c r="W952" i="1" s="1"/>
  <c r="S951" i="1"/>
  <c r="W951" i="1" s="1"/>
  <c r="S950" i="1"/>
  <c r="W950" i="1" s="1"/>
  <c r="S949" i="1"/>
  <c r="W949" i="1" s="1"/>
  <c r="S948" i="1"/>
  <c r="W948" i="1" s="1"/>
  <c r="S947" i="1"/>
  <c r="W947" i="1" s="1"/>
  <c r="S946" i="1"/>
  <c r="W946" i="1" s="1"/>
  <c r="S945" i="1"/>
  <c r="W945" i="1" s="1"/>
  <c r="S944" i="1"/>
  <c r="W944" i="1" s="1"/>
  <c r="S943" i="1"/>
  <c r="W943" i="1" s="1"/>
  <c r="S942" i="1"/>
  <c r="W942" i="1" s="1"/>
  <c r="S941" i="1"/>
  <c r="W941" i="1" s="1"/>
  <c r="S940" i="1"/>
  <c r="W940" i="1" s="1"/>
  <c r="S939" i="1"/>
  <c r="W939" i="1" s="1"/>
  <c r="S938" i="1"/>
  <c r="W938" i="1" s="1"/>
  <c r="S937" i="1"/>
  <c r="W937" i="1" s="1"/>
  <c r="S936" i="1"/>
  <c r="W936" i="1" s="1"/>
  <c r="S935" i="1"/>
  <c r="W935" i="1" s="1"/>
  <c r="S934" i="1"/>
  <c r="W934" i="1" s="1"/>
  <c r="S933" i="1"/>
  <c r="W933" i="1" s="1"/>
  <c r="S932" i="1"/>
  <c r="W932" i="1" s="1"/>
  <c r="S931" i="1"/>
  <c r="W931" i="1" s="1"/>
  <c r="S930" i="1"/>
  <c r="W930" i="1" s="1"/>
  <c r="S929" i="1"/>
  <c r="W929" i="1" s="1"/>
  <c r="S928" i="1"/>
  <c r="W928" i="1" s="1"/>
  <c r="S927" i="1"/>
  <c r="W927" i="1" s="1"/>
  <c r="S926" i="1"/>
  <c r="W926" i="1" s="1"/>
  <c r="S925" i="1"/>
  <c r="W925" i="1" s="1"/>
  <c r="S924" i="1"/>
  <c r="W924" i="1" s="1"/>
  <c r="S923" i="1"/>
  <c r="W923" i="1" s="1"/>
  <c r="S922" i="1"/>
  <c r="W922" i="1" s="1"/>
  <c r="S921" i="1"/>
  <c r="W921" i="1" s="1"/>
  <c r="S920" i="1"/>
  <c r="W920" i="1" s="1"/>
  <c r="S919" i="1"/>
  <c r="W919" i="1" s="1"/>
  <c r="S918" i="1"/>
  <c r="W918" i="1" s="1"/>
  <c r="S917" i="1"/>
  <c r="W917" i="1" s="1"/>
  <c r="S916" i="1"/>
  <c r="W916" i="1" s="1"/>
  <c r="S915" i="1"/>
  <c r="W915" i="1" s="1"/>
  <c r="S914" i="1"/>
  <c r="W914" i="1" s="1"/>
  <c r="S913" i="1"/>
  <c r="W913" i="1" s="1"/>
  <c r="S912" i="1"/>
  <c r="W912" i="1" s="1"/>
  <c r="S911" i="1"/>
  <c r="W911" i="1" s="1"/>
  <c r="S910" i="1"/>
  <c r="W910" i="1" s="1"/>
  <c r="S909" i="1"/>
  <c r="W909" i="1" s="1"/>
  <c r="S908" i="1"/>
  <c r="W908" i="1" s="1"/>
  <c r="S907" i="1"/>
  <c r="W907" i="1" s="1"/>
  <c r="S906" i="1"/>
  <c r="W906" i="1" s="1"/>
  <c r="S905" i="1"/>
  <c r="W905" i="1" s="1"/>
  <c r="S904" i="1"/>
  <c r="W904" i="1" s="1"/>
  <c r="S903" i="1"/>
  <c r="W903" i="1" s="1"/>
  <c r="S902" i="1"/>
  <c r="V902" i="1" s="1"/>
  <c r="S901" i="1"/>
  <c r="W901" i="1" s="1"/>
  <c r="S900" i="1"/>
  <c r="W900" i="1" s="1"/>
  <c r="S899" i="1"/>
  <c r="W899" i="1" s="1"/>
  <c r="S898" i="1"/>
  <c r="W898" i="1" s="1"/>
  <c r="S897" i="1"/>
  <c r="W897" i="1" s="1"/>
  <c r="S896" i="1"/>
  <c r="W896" i="1" s="1"/>
  <c r="S895" i="1"/>
  <c r="W895" i="1" s="1"/>
  <c r="S894" i="1"/>
  <c r="W894" i="1" s="1"/>
  <c r="S893" i="1"/>
  <c r="W893" i="1" s="1"/>
  <c r="S892" i="1"/>
  <c r="W892" i="1" s="1"/>
  <c r="S891" i="1"/>
  <c r="W891" i="1" s="1"/>
  <c r="S890" i="1"/>
  <c r="W890" i="1" s="1"/>
  <c r="S889" i="1"/>
  <c r="W889" i="1" s="1"/>
  <c r="S888" i="1"/>
  <c r="W888" i="1" s="1"/>
  <c r="S887" i="1"/>
  <c r="W887" i="1" s="1"/>
  <c r="S886" i="1"/>
  <c r="W886" i="1" s="1"/>
  <c r="S885" i="1"/>
  <c r="W885" i="1" s="1"/>
  <c r="S884" i="1"/>
  <c r="W884" i="1" s="1"/>
  <c r="S883" i="1"/>
  <c r="W883" i="1" s="1"/>
  <c r="S882" i="1"/>
  <c r="W882" i="1" s="1"/>
  <c r="S881" i="1"/>
  <c r="W881" i="1" s="1"/>
  <c r="S880" i="1"/>
  <c r="W880" i="1" s="1"/>
  <c r="S879" i="1"/>
  <c r="W879" i="1" s="1"/>
  <c r="S878" i="1"/>
  <c r="W878" i="1" s="1"/>
  <c r="S877" i="1"/>
  <c r="W877" i="1" s="1"/>
  <c r="S876" i="1"/>
  <c r="W876" i="1" s="1"/>
  <c r="S875" i="1"/>
  <c r="W875" i="1" s="1"/>
  <c r="S874" i="1"/>
  <c r="W874" i="1" s="1"/>
  <c r="S873" i="1"/>
  <c r="W873" i="1" s="1"/>
  <c r="S872" i="1"/>
  <c r="W872" i="1" s="1"/>
  <c r="S871" i="1"/>
  <c r="W871" i="1" s="1"/>
  <c r="S870" i="1"/>
  <c r="W870" i="1" s="1"/>
  <c r="S869" i="1"/>
  <c r="W869" i="1" s="1"/>
  <c r="S868" i="1"/>
  <c r="W868" i="1" s="1"/>
  <c r="S867" i="1"/>
  <c r="W867" i="1" s="1"/>
  <c r="S866" i="1"/>
  <c r="W866" i="1" s="1"/>
  <c r="S865" i="1"/>
  <c r="V865" i="1" s="1"/>
  <c r="S864" i="1"/>
  <c r="W864" i="1" s="1"/>
  <c r="S863" i="1"/>
  <c r="W863" i="1" s="1"/>
  <c r="S862" i="1"/>
  <c r="W862" i="1" s="1"/>
  <c r="S861" i="1"/>
  <c r="W861" i="1" s="1"/>
  <c r="S860" i="1"/>
  <c r="W860" i="1" s="1"/>
  <c r="S859" i="1"/>
  <c r="W859" i="1" s="1"/>
  <c r="S858" i="1"/>
  <c r="W858" i="1" s="1"/>
  <c r="S857" i="1"/>
  <c r="W857" i="1" s="1"/>
  <c r="S856" i="1"/>
  <c r="W856" i="1" s="1"/>
  <c r="S855" i="1"/>
  <c r="W855" i="1" s="1"/>
  <c r="S854" i="1"/>
  <c r="V854" i="1" s="1"/>
  <c r="S853" i="1"/>
  <c r="W853" i="1" s="1"/>
  <c r="S852" i="1"/>
  <c r="W852" i="1" s="1"/>
  <c r="S851" i="1"/>
  <c r="W851" i="1" s="1"/>
  <c r="S850" i="1"/>
  <c r="V850" i="1" s="1"/>
  <c r="S849" i="1"/>
  <c r="W849" i="1" s="1"/>
  <c r="S848" i="1"/>
  <c r="W848" i="1" s="1"/>
  <c r="S847" i="1"/>
  <c r="W847" i="1" s="1"/>
  <c r="S846" i="1"/>
  <c r="W846" i="1" s="1"/>
  <c r="S845" i="1"/>
  <c r="W845" i="1" s="1"/>
  <c r="S844" i="1"/>
  <c r="W844" i="1" s="1"/>
  <c r="S843" i="1"/>
  <c r="W843" i="1" s="1"/>
  <c r="S842" i="1"/>
  <c r="W842" i="1" s="1"/>
  <c r="S841" i="1"/>
  <c r="W841" i="1" s="1"/>
  <c r="S840" i="1"/>
  <c r="W840" i="1" s="1"/>
  <c r="S839" i="1"/>
  <c r="W839" i="1" s="1"/>
  <c r="S838" i="1"/>
  <c r="W838" i="1" s="1"/>
  <c r="S837" i="1"/>
  <c r="W837" i="1" s="1"/>
  <c r="S836" i="1"/>
  <c r="W836" i="1" s="1"/>
  <c r="S835" i="1"/>
  <c r="W835" i="1" s="1"/>
  <c r="S834" i="1"/>
  <c r="W834" i="1" s="1"/>
  <c r="S833" i="1"/>
  <c r="W833" i="1" s="1"/>
  <c r="S832" i="1"/>
  <c r="W832" i="1" s="1"/>
  <c r="S831" i="1"/>
  <c r="W831" i="1" s="1"/>
  <c r="S830" i="1"/>
  <c r="W830" i="1" s="1"/>
  <c r="S829" i="1"/>
  <c r="W829" i="1" s="1"/>
  <c r="S828" i="1"/>
  <c r="W828" i="1" s="1"/>
  <c r="S827" i="1"/>
  <c r="W827" i="1" s="1"/>
  <c r="S826" i="1"/>
  <c r="W826" i="1" s="1"/>
  <c r="S825" i="1"/>
  <c r="W825" i="1" s="1"/>
  <c r="S824" i="1"/>
  <c r="W824" i="1" s="1"/>
  <c r="S823" i="1"/>
  <c r="W823" i="1" s="1"/>
  <c r="S822" i="1"/>
  <c r="W822" i="1" s="1"/>
  <c r="S821" i="1"/>
  <c r="W821" i="1" s="1"/>
  <c r="S820" i="1"/>
  <c r="W820" i="1" s="1"/>
  <c r="S819" i="1"/>
  <c r="W819" i="1" s="1"/>
  <c r="S818" i="1"/>
  <c r="W818" i="1" s="1"/>
  <c r="S817" i="1"/>
  <c r="V817" i="1" s="1"/>
  <c r="S816" i="1"/>
  <c r="V816" i="1" s="1"/>
  <c r="S815" i="1"/>
  <c r="W815" i="1" s="1"/>
  <c r="S814" i="1"/>
  <c r="W814" i="1" s="1"/>
  <c r="S813" i="1"/>
  <c r="W813" i="1" s="1"/>
  <c r="S812" i="1"/>
  <c r="W812" i="1" s="1"/>
  <c r="S811" i="1"/>
  <c r="W811" i="1" s="1"/>
  <c r="S810" i="1"/>
  <c r="W810" i="1" s="1"/>
  <c r="S809" i="1"/>
  <c r="W809" i="1" s="1"/>
  <c r="S808" i="1"/>
  <c r="W808" i="1" s="1"/>
  <c r="S807" i="1"/>
  <c r="W807" i="1" s="1"/>
  <c r="S806" i="1"/>
  <c r="V806" i="1" s="1"/>
  <c r="S805" i="1"/>
  <c r="W805" i="1" s="1"/>
  <c r="S804" i="1"/>
  <c r="W804" i="1" s="1"/>
  <c r="S803" i="1"/>
  <c r="W803" i="1" s="1"/>
  <c r="S802" i="1"/>
  <c r="W802" i="1" s="1"/>
  <c r="S801" i="1"/>
  <c r="W801" i="1" s="1"/>
  <c r="S800" i="1"/>
  <c r="W800" i="1" s="1"/>
  <c r="S799" i="1"/>
  <c r="W799" i="1" s="1"/>
  <c r="S798" i="1"/>
  <c r="W798" i="1" s="1"/>
  <c r="S797" i="1"/>
  <c r="W797" i="1" s="1"/>
  <c r="S796" i="1"/>
  <c r="W796" i="1" s="1"/>
  <c r="S795" i="1"/>
  <c r="W795" i="1" s="1"/>
  <c r="S794" i="1"/>
  <c r="W794" i="1" s="1"/>
  <c r="S793" i="1"/>
  <c r="W793" i="1" s="1"/>
  <c r="S792" i="1"/>
  <c r="W792" i="1" s="1"/>
  <c r="S791" i="1"/>
  <c r="W791" i="1" s="1"/>
  <c r="S790" i="1"/>
  <c r="W790" i="1" s="1"/>
  <c r="S789" i="1"/>
  <c r="W789" i="1" s="1"/>
  <c r="S788" i="1"/>
  <c r="W788" i="1" s="1"/>
  <c r="S787" i="1"/>
  <c r="W787" i="1" s="1"/>
  <c r="S786" i="1"/>
  <c r="W786" i="1" s="1"/>
  <c r="S785" i="1"/>
  <c r="W785" i="1" s="1"/>
  <c r="S784" i="1"/>
  <c r="W784" i="1" s="1"/>
  <c r="S783" i="1"/>
  <c r="W783" i="1" s="1"/>
  <c r="S782" i="1"/>
  <c r="W782" i="1" s="1"/>
  <c r="S781" i="1"/>
  <c r="W781" i="1" s="1"/>
  <c r="S780" i="1"/>
  <c r="W780" i="1" s="1"/>
  <c r="S779" i="1"/>
  <c r="W779" i="1" s="1"/>
  <c r="S778" i="1"/>
  <c r="W778" i="1" s="1"/>
  <c r="S777" i="1"/>
  <c r="W777" i="1" s="1"/>
  <c r="S776" i="1"/>
  <c r="W776" i="1" s="1"/>
  <c r="S775" i="1"/>
  <c r="W775" i="1" s="1"/>
  <c r="S774" i="1"/>
  <c r="W774" i="1" s="1"/>
  <c r="S773" i="1"/>
  <c r="W773" i="1" s="1"/>
  <c r="S772" i="1"/>
  <c r="W772" i="1" s="1"/>
  <c r="S771" i="1"/>
  <c r="W771" i="1" s="1"/>
  <c r="S770" i="1"/>
  <c r="W770" i="1" s="1"/>
  <c r="S769" i="1"/>
  <c r="V769" i="1" s="1"/>
  <c r="S768" i="1"/>
  <c r="W768" i="1" s="1"/>
  <c r="S767" i="1"/>
  <c r="W767" i="1" s="1"/>
  <c r="S766" i="1"/>
  <c r="W766" i="1" s="1"/>
  <c r="S765" i="1"/>
  <c r="W765" i="1" s="1"/>
  <c r="S764" i="1"/>
  <c r="W764" i="1" s="1"/>
  <c r="S763" i="1"/>
  <c r="W763" i="1" s="1"/>
  <c r="S762" i="1"/>
  <c r="W762" i="1" s="1"/>
  <c r="S761" i="1"/>
  <c r="W761" i="1" s="1"/>
  <c r="S760" i="1"/>
  <c r="W760" i="1" s="1"/>
  <c r="S759" i="1"/>
  <c r="W759" i="1" s="1"/>
  <c r="S758" i="1"/>
  <c r="V758" i="1" s="1"/>
  <c r="S757" i="1"/>
  <c r="W757" i="1" s="1"/>
  <c r="S756" i="1"/>
  <c r="W756" i="1" s="1"/>
  <c r="S755" i="1"/>
  <c r="W755" i="1" s="1"/>
  <c r="S754" i="1"/>
  <c r="W754" i="1" s="1"/>
  <c r="S753" i="1"/>
  <c r="W753" i="1" s="1"/>
  <c r="S752" i="1"/>
  <c r="W752" i="1" s="1"/>
  <c r="S751" i="1"/>
  <c r="W751" i="1" s="1"/>
  <c r="S750" i="1"/>
  <c r="W750" i="1" s="1"/>
  <c r="S749" i="1"/>
  <c r="W749" i="1" s="1"/>
  <c r="S748" i="1"/>
  <c r="W748" i="1" s="1"/>
  <c r="S747" i="1"/>
  <c r="W747" i="1" s="1"/>
  <c r="S746" i="1"/>
  <c r="W746" i="1" s="1"/>
  <c r="S745" i="1"/>
  <c r="W745" i="1" s="1"/>
  <c r="S744" i="1"/>
  <c r="W744" i="1" s="1"/>
  <c r="S743" i="1"/>
  <c r="W743" i="1" s="1"/>
  <c r="S742" i="1"/>
  <c r="W742" i="1" s="1"/>
  <c r="S741" i="1"/>
  <c r="W741" i="1" s="1"/>
  <c r="S740" i="1"/>
  <c r="W740" i="1" s="1"/>
  <c r="S739" i="1"/>
  <c r="W739" i="1" s="1"/>
  <c r="S738" i="1"/>
  <c r="W738" i="1" s="1"/>
  <c r="S737" i="1"/>
  <c r="W737" i="1" s="1"/>
  <c r="S736" i="1"/>
  <c r="W736" i="1" s="1"/>
  <c r="S735" i="1"/>
  <c r="W735" i="1" s="1"/>
  <c r="S734" i="1"/>
  <c r="W734" i="1" s="1"/>
  <c r="S733" i="1"/>
  <c r="W733" i="1" s="1"/>
  <c r="S732" i="1"/>
  <c r="W732" i="1" s="1"/>
  <c r="S731" i="1"/>
  <c r="W731" i="1" s="1"/>
  <c r="S730" i="1"/>
  <c r="W730" i="1" s="1"/>
  <c r="S729" i="1"/>
  <c r="W729" i="1" s="1"/>
  <c r="S728" i="1"/>
  <c r="W728" i="1" s="1"/>
  <c r="S727" i="1"/>
  <c r="W727" i="1" s="1"/>
  <c r="S726" i="1"/>
  <c r="W726" i="1" s="1"/>
  <c r="S725" i="1"/>
  <c r="W725" i="1" s="1"/>
  <c r="S724" i="1"/>
  <c r="W724" i="1" s="1"/>
  <c r="S723" i="1"/>
  <c r="W723" i="1" s="1"/>
  <c r="S722" i="1"/>
  <c r="W722" i="1" s="1"/>
  <c r="S721" i="1"/>
  <c r="V721" i="1" s="1"/>
  <c r="S720" i="1"/>
  <c r="W720" i="1" s="1"/>
  <c r="S719" i="1"/>
  <c r="W719" i="1" s="1"/>
  <c r="S718" i="1"/>
  <c r="W718" i="1" s="1"/>
  <c r="S717" i="1"/>
  <c r="W717" i="1" s="1"/>
  <c r="S716" i="1"/>
  <c r="W716" i="1" s="1"/>
  <c r="S715" i="1"/>
  <c r="W715" i="1" s="1"/>
  <c r="S714" i="1"/>
  <c r="W714" i="1" s="1"/>
  <c r="S713" i="1"/>
  <c r="W713" i="1" s="1"/>
  <c r="S712" i="1"/>
  <c r="W712" i="1" s="1"/>
  <c r="S711" i="1"/>
  <c r="W711" i="1" s="1"/>
  <c r="S710" i="1"/>
  <c r="V710" i="1" s="1"/>
  <c r="S709" i="1"/>
  <c r="W709" i="1" s="1"/>
  <c r="S708" i="1"/>
  <c r="W708" i="1" s="1"/>
  <c r="S707" i="1"/>
  <c r="W707" i="1" s="1"/>
  <c r="S706" i="1"/>
  <c r="W706" i="1" s="1"/>
  <c r="S705" i="1"/>
  <c r="W705" i="1" s="1"/>
  <c r="S704" i="1"/>
  <c r="W704" i="1" s="1"/>
  <c r="S703" i="1"/>
  <c r="W703" i="1" s="1"/>
  <c r="S702" i="1"/>
  <c r="W702" i="1" s="1"/>
  <c r="S701" i="1"/>
  <c r="W701" i="1" s="1"/>
  <c r="S700" i="1"/>
  <c r="W700" i="1" s="1"/>
  <c r="S699" i="1"/>
  <c r="W699" i="1" s="1"/>
  <c r="S698" i="1"/>
  <c r="W698" i="1" s="1"/>
  <c r="S697" i="1"/>
  <c r="W697" i="1" s="1"/>
  <c r="S696" i="1"/>
  <c r="W696" i="1" s="1"/>
  <c r="S695" i="1"/>
  <c r="W695" i="1" s="1"/>
  <c r="S694" i="1"/>
  <c r="W694" i="1" s="1"/>
  <c r="S693" i="1"/>
  <c r="W693" i="1" s="1"/>
  <c r="S692" i="1"/>
  <c r="W692" i="1" s="1"/>
  <c r="S691" i="1"/>
  <c r="W691" i="1" s="1"/>
  <c r="S690" i="1"/>
  <c r="W690" i="1" s="1"/>
  <c r="S689" i="1"/>
  <c r="W689" i="1" s="1"/>
  <c r="S688" i="1"/>
  <c r="W688" i="1" s="1"/>
  <c r="S687" i="1"/>
  <c r="W687" i="1" s="1"/>
  <c r="S686" i="1"/>
  <c r="W686" i="1" s="1"/>
  <c r="S685" i="1"/>
  <c r="W685" i="1" s="1"/>
  <c r="S684" i="1"/>
  <c r="W684" i="1" s="1"/>
  <c r="S683" i="1"/>
  <c r="W683" i="1" s="1"/>
  <c r="S682" i="1"/>
  <c r="W682" i="1" s="1"/>
  <c r="S681" i="1"/>
  <c r="W681" i="1" s="1"/>
  <c r="S680" i="1"/>
  <c r="W680" i="1" s="1"/>
  <c r="S679" i="1"/>
  <c r="W679" i="1" s="1"/>
  <c r="S678" i="1"/>
  <c r="W678" i="1" s="1"/>
  <c r="S677" i="1"/>
  <c r="W677" i="1" s="1"/>
  <c r="S676" i="1"/>
  <c r="W676" i="1" s="1"/>
  <c r="S675" i="1"/>
  <c r="W675" i="1" s="1"/>
  <c r="S674" i="1"/>
  <c r="W674" i="1" s="1"/>
  <c r="S673" i="1"/>
  <c r="W673" i="1" s="1"/>
  <c r="S672" i="1"/>
  <c r="W672" i="1" s="1"/>
  <c r="S671" i="1"/>
  <c r="W671" i="1" s="1"/>
  <c r="S670" i="1"/>
  <c r="W670" i="1" s="1"/>
  <c r="S669" i="1"/>
  <c r="W669" i="1" s="1"/>
  <c r="S668" i="1"/>
  <c r="W668" i="1" s="1"/>
  <c r="S667" i="1"/>
  <c r="W667" i="1" s="1"/>
  <c r="S666" i="1"/>
  <c r="W666" i="1" s="1"/>
  <c r="S665" i="1"/>
  <c r="W665" i="1" s="1"/>
  <c r="S664" i="1"/>
  <c r="W664" i="1" s="1"/>
  <c r="S663" i="1"/>
  <c r="W663" i="1" s="1"/>
  <c r="S662" i="1"/>
  <c r="W662" i="1" s="1"/>
  <c r="S661" i="1"/>
  <c r="W661" i="1" s="1"/>
  <c r="S660" i="1"/>
  <c r="W660" i="1" s="1"/>
  <c r="S659" i="1"/>
  <c r="W659" i="1" s="1"/>
  <c r="S658" i="1"/>
  <c r="W658" i="1" s="1"/>
  <c r="S657" i="1"/>
  <c r="W657" i="1" s="1"/>
  <c r="S656" i="1"/>
  <c r="W656" i="1" s="1"/>
  <c r="S655" i="1"/>
  <c r="W655" i="1" s="1"/>
  <c r="S654" i="1"/>
  <c r="W654" i="1" s="1"/>
  <c r="S653" i="1"/>
  <c r="W653" i="1" s="1"/>
  <c r="S652" i="1"/>
  <c r="W652" i="1" s="1"/>
  <c r="S651" i="1"/>
  <c r="W651" i="1" s="1"/>
  <c r="S650" i="1"/>
  <c r="W650" i="1" s="1"/>
  <c r="S649" i="1"/>
  <c r="W649" i="1" s="1"/>
  <c r="S648" i="1"/>
  <c r="W648" i="1" s="1"/>
  <c r="S647" i="1"/>
  <c r="W647" i="1" s="1"/>
  <c r="S646" i="1"/>
  <c r="W646" i="1" s="1"/>
  <c r="S645" i="1"/>
  <c r="W645" i="1" s="1"/>
  <c r="S644" i="1"/>
  <c r="W644" i="1" s="1"/>
  <c r="S643" i="1"/>
  <c r="W643" i="1" s="1"/>
  <c r="S642" i="1"/>
  <c r="W642" i="1" s="1"/>
  <c r="S641" i="1"/>
  <c r="W641" i="1" s="1"/>
  <c r="S640" i="1"/>
  <c r="W640" i="1" s="1"/>
  <c r="S639" i="1"/>
  <c r="W639" i="1" s="1"/>
  <c r="S638" i="1"/>
  <c r="W638" i="1" s="1"/>
  <c r="S637" i="1"/>
  <c r="W637" i="1" s="1"/>
  <c r="S636" i="1"/>
  <c r="W636" i="1" s="1"/>
  <c r="S635" i="1"/>
  <c r="W635" i="1" s="1"/>
  <c r="S634" i="1"/>
  <c r="W634" i="1" s="1"/>
  <c r="S633" i="1"/>
  <c r="W633" i="1" s="1"/>
  <c r="S632" i="1"/>
  <c r="W632" i="1" s="1"/>
  <c r="S631" i="1"/>
  <c r="W631" i="1" s="1"/>
  <c r="S630" i="1"/>
  <c r="W630" i="1" s="1"/>
  <c r="S629" i="1"/>
  <c r="W629" i="1" s="1"/>
  <c r="S628" i="1"/>
  <c r="W628" i="1" s="1"/>
  <c r="S627" i="1"/>
  <c r="W627" i="1" s="1"/>
  <c r="S626" i="1"/>
  <c r="W626" i="1" s="1"/>
  <c r="S625" i="1"/>
  <c r="W625" i="1" s="1"/>
  <c r="S624" i="1"/>
  <c r="W624" i="1" s="1"/>
  <c r="S623" i="1"/>
  <c r="W623" i="1" s="1"/>
  <c r="S622" i="1"/>
  <c r="W622" i="1" s="1"/>
  <c r="S621" i="1"/>
  <c r="W621" i="1" s="1"/>
  <c r="S620" i="1"/>
  <c r="W620" i="1" s="1"/>
  <c r="S619" i="1"/>
  <c r="W619" i="1" s="1"/>
  <c r="S618" i="1"/>
  <c r="W618" i="1" s="1"/>
  <c r="S617" i="1"/>
  <c r="W617" i="1" s="1"/>
  <c r="S616" i="1"/>
  <c r="W616" i="1" s="1"/>
  <c r="S615" i="1"/>
  <c r="W615" i="1" s="1"/>
  <c r="S614" i="1"/>
  <c r="V614" i="1" s="1"/>
  <c r="S613" i="1"/>
  <c r="W613" i="1" s="1"/>
  <c r="S612" i="1"/>
  <c r="W612" i="1" s="1"/>
  <c r="S611" i="1"/>
  <c r="W611" i="1" s="1"/>
  <c r="S610" i="1"/>
  <c r="W610" i="1" s="1"/>
  <c r="S609" i="1"/>
  <c r="W609" i="1" s="1"/>
  <c r="S608" i="1"/>
  <c r="W608" i="1" s="1"/>
  <c r="S607" i="1"/>
  <c r="W607" i="1" s="1"/>
  <c r="S606" i="1"/>
  <c r="W606" i="1" s="1"/>
  <c r="S605" i="1"/>
  <c r="W605" i="1" s="1"/>
  <c r="S604" i="1"/>
  <c r="W604" i="1" s="1"/>
  <c r="S603" i="1"/>
  <c r="W603" i="1" s="1"/>
  <c r="S602" i="1"/>
  <c r="W602" i="1" s="1"/>
  <c r="S601" i="1"/>
  <c r="W601" i="1" s="1"/>
  <c r="S600" i="1"/>
  <c r="W600" i="1" s="1"/>
  <c r="S599" i="1"/>
  <c r="W599" i="1" s="1"/>
  <c r="S598" i="1"/>
  <c r="W598" i="1" s="1"/>
  <c r="S597" i="1"/>
  <c r="W597" i="1" s="1"/>
  <c r="S596" i="1"/>
  <c r="W596" i="1" s="1"/>
  <c r="S595" i="1"/>
  <c r="W595" i="1" s="1"/>
  <c r="S594" i="1"/>
  <c r="S593" i="1"/>
  <c r="W593" i="1" s="1"/>
  <c r="S592" i="1"/>
  <c r="W592" i="1" s="1"/>
  <c r="S591" i="1"/>
  <c r="W591" i="1" s="1"/>
  <c r="S590" i="1"/>
  <c r="W590" i="1" s="1"/>
  <c r="S589" i="1"/>
  <c r="W589" i="1" s="1"/>
  <c r="S588" i="1"/>
  <c r="W588" i="1" s="1"/>
  <c r="S587" i="1"/>
  <c r="W587" i="1" s="1"/>
  <c r="S586" i="1"/>
  <c r="W586" i="1" s="1"/>
  <c r="S585" i="1"/>
  <c r="W585" i="1" s="1"/>
  <c r="S584" i="1"/>
  <c r="W584" i="1" s="1"/>
  <c r="S583" i="1"/>
  <c r="W583" i="1" s="1"/>
  <c r="S582" i="1"/>
  <c r="W582" i="1" s="1"/>
  <c r="S581" i="1"/>
  <c r="W581" i="1" s="1"/>
  <c r="S580" i="1"/>
  <c r="W580" i="1" s="1"/>
  <c r="S579" i="1"/>
  <c r="W579" i="1" s="1"/>
  <c r="S578" i="1"/>
  <c r="W578" i="1" s="1"/>
  <c r="S577" i="1"/>
  <c r="V577" i="1" s="1"/>
  <c r="S576" i="1"/>
  <c r="W576" i="1" s="1"/>
  <c r="S575" i="1"/>
  <c r="W575" i="1" s="1"/>
  <c r="S574" i="1"/>
  <c r="W574" i="1" s="1"/>
  <c r="S573" i="1"/>
  <c r="W573" i="1" s="1"/>
  <c r="S572" i="1"/>
  <c r="W572" i="1" s="1"/>
  <c r="S571" i="1"/>
  <c r="W571" i="1" s="1"/>
  <c r="S570" i="1"/>
  <c r="W570" i="1" s="1"/>
  <c r="S569" i="1"/>
  <c r="W569" i="1" s="1"/>
  <c r="S568" i="1"/>
  <c r="W568" i="1" s="1"/>
  <c r="S567" i="1"/>
  <c r="W567" i="1" s="1"/>
  <c r="S566" i="1"/>
  <c r="V566" i="1" s="1"/>
  <c r="S565" i="1"/>
  <c r="W565" i="1" s="1"/>
  <c r="S564" i="1"/>
  <c r="W564" i="1" s="1"/>
  <c r="S563" i="1"/>
  <c r="W563" i="1" s="1"/>
  <c r="S562" i="1"/>
  <c r="W562" i="1" s="1"/>
  <c r="S561" i="1"/>
  <c r="W561" i="1" s="1"/>
  <c r="S560" i="1"/>
  <c r="W560" i="1" s="1"/>
  <c r="S559" i="1"/>
  <c r="W559" i="1" s="1"/>
  <c r="S558" i="1"/>
  <c r="W558" i="1" s="1"/>
  <c r="S557" i="1"/>
  <c r="W557" i="1" s="1"/>
  <c r="S556" i="1"/>
  <c r="W556" i="1" s="1"/>
  <c r="S555" i="1"/>
  <c r="W555" i="1" s="1"/>
  <c r="S554" i="1"/>
  <c r="W554" i="1" s="1"/>
  <c r="S553" i="1"/>
  <c r="W553" i="1" s="1"/>
  <c r="S552" i="1"/>
  <c r="W552" i="1" s="1"/>
  <c r="S551" i="1"/>
  <c r="W551" i="1" s="1"/>
  <c r="S550" i="1"/>
  <c r="W550" i="1" s="1"/>
  <c r="S549" i="1"/>
  <c r="W549" i="1" s="1"/>
  <c r="S548" i="1"/>
  <c r="W548" i="1" s="1"/>
  <c r="S547" i="1"/>
  <c r="W547" i="1" s="1"/>
  <c r="S546" i="1"/>
  <c r="W546" i="1" s="1"/>
  <c r="S545" i="1"/>
  <c r="W545" i="1" s="1"/>
  <c r="S544" i="1"/>
  <c r="W544" i="1" s="1"/>
  <c r="S543" i="1"/>
  <c r="W543" i="1" s="1"/>
  <c r="S542" i="1"/>
  <c r="W542" i="1" s="1"/>
  <c r="S541" i="1"/>
  <c r="W541" i="1" s="1"/>
  <c r="S540" i="1"/>
  <c r="W540" i="1" s="1"/>
  <c r="S539" i="1"/>
  <c r="W539" i="1" s="1"/>
  <c r="S538" i="1"/>
  <c r="W538" i="1" s="1"/>
  <c r="S537" i="1"/>
  <c r="W537" i="1" s="1"/>
  <c r="S536" i="1"/>
  <c r="W536" i="1" s="1"/>
  <c r="S535" i="1"/>
  <c r="W535" i="1" s="1"/>
  <c r="S534" i="1"/>
  <c r="W534" i="1" s="1"/>
  <c r="S533" i="1"/>
  <c r="W533" i="1" s="1"/>
  <c r="S532" i="1"/>
  <c r="W532" i="1" s="1"/>
  <c r="S531" i="1"/>
  <c r="W531" i="1" s="1"/>
  <c r="S530" i="1"/>
  <c r="W530" i="1" s="1"/>
  <c r="S529" i="1"/>
  <c r="V529" i="1" s="1"/>
  <c r="S528" i="1"/>
  <c r="W528" i="1" s="1"/>
  <c r="S527" i="1"/>
  <c r="W527" i="1" s="1"/>
  <c r="S526" i="1"/>
  <c r="W526" i="1" s="1"/>
  <c r="S525" i="1"/>
  <c r="W525" i="1" s="1"/>
  <c r="S524" i="1"/>
  <c r="W524" i="1" s="1"/>
  <c r="S523" i="1"/>
  <c r="W523" i="1" s="1"/>
  <c r="S522" i="1"/>
  <c r="W522" i="1" s="1"/>
  <c r="S521" i="1"/>
  <c r="W521" i="1" s="1"/>
  <c r="S520" i="1"/>
  <c r="W520" i="1" s="1"/>
  <c r="S519" i="1"/>
  <c r="W519" i="1" s="1"/>
  <c r="S518" i="1"/>
  <c r="S517" i="1"/>
  <c r="W517" i="1" s="1"/>
  <c r="S516" i="1"/>
  <c r="W516" i="1" s="1"/>
  <c r="S515" i="1"/>
  <c r="W515" i="1" s="1"/>
  <c r="S514" i="1"/>
  <c r="W514" i="1" s="1"/>
  <c r="S513" i="1"/>
  <c r="W513" i="1" s="1"/>
  <c r="S512" i="1"/>
  <c r="W512" i="1" s="1"/>
  <c r="S511" i="1"/>
  <c r="W511" i="1" s="1"/>
  <c r="S510" i="1"/>
  <c r="W510" i="1" s="1"/>
  <c r="S509" i="1"/>
  <c r="W509" i="1" s="1"/>
  <c r="S508" i="1"/>
  <c r="W508" i="1" s="1"/>
  <c r="S507" i="1"/>
  <c r="W507" i="1" s="1"/>
  <c r="S506" i="1"/>
  <c r="W506" i="1" s="1"/>
  <c r="S505" i="1"/>
  <c r="W505" i="1" s="1"/>
  <c r="S504" i="1"/>
  <c r="W504" i="1" s="1"/>
  <c r="S503" i="1"/>
  <c r="W503" i="1" s="1"/>
  <c r="S502" i="1"/>
  <c r="W502" i="1" s="1"/>
  <c r="S501" i="1"/>
  <c r="W501" i="1" s="1"/>
  <c r="S500" i="1"/>
  <c r="W500" i="1" s="1"/>
  <c r="S499" i="1"/>
  <c r="W499" i="1" s="1"/>
  <c r="S498" i="1"/>
  <c r="W498" i="1" s="1"/>
  <c r="S497" i="1"/>
  <c r="W497" i="1" s="1"/>
  <c r="S496" i="1"/>
  <c r="W496" i="1" s="1"/>
  <c r="S495" i="1"/>
  <c r="W495" i="1" s="1"/>
  <c r="S494" i="1"/>
  <c r="W494" i="1" s="1"/>
  <c r="S493" i="1"/>
  <c r="W493" i="1" s="1"/>
  <c r="S492" i="1"/>
  <c r="W492" i="1" s="1"/>
  <c r="S491" i="1"/>
  <c r="W491" i="1" s="1"/>
  <c r="S490" i="1"/>
  <c r="W490" i="1" s="1"/>
  <c r="S489" i="1"/>
  <c r="W489" i="1" s="1"/>
  <c r="S488" i="1"/>
  <c r="W488" i="1" s="1"/>
  <c r="S487" i="1"/>
  <c r="W487" i="1" s="1"/>
  <c r="S486" i="1"/>
  <c r="W486" i="1" s="1"/>
  <c r="S485" i="1"/>
  <c r="W485" i="1" s="1"/>
  <c r="S484" i="1"/>
  <c r="W484" i="1" s="1"/>
  <c r="S483" i="1"/>
  <c r="W483" i="1" s="1"/>
  <c r="S482" i="1"/>
  <c r="W482" i="1" s="1"/>
  <c r="S481" i="1"/>
  <c r="W481" i="1" s="1"/>
  <c r="S480" i="1"/>
  <c r="W480" i="1" s="1"/>
  <c r="S479" i="1"/>
  <c r="W479" i="1" s="1"/>
  <c r="S478" i="1"/>
  <c r="W478" i="1" s="1"/>
  <c r="S477" i="1"/>
  <c r="W477" i="1" s="1"/>
  <c r="S476" i="1"/>
  <c r="W476" i="1" s="1"/>
  <c r="S475" i="1"/>
  <c r="W475" i="1" s="1"/>
  <c r="S474" i="1"/>
  <c r="W474" i="1" s="1"/>
  <c r="S473" i="1"/>
  <c r="W473" i="1" s="1"/>
  <c r="S472" i="1"/>
  <c r="W472" i="1" s="1"/>
  <c r="S471" i="1"/>
  <c r="W471" i="1" s="1"/>
  <c r="S470" i="1"/>
  <c r="W470" i="1" s="1"/>
  <c r="S469" i="1"/>
  <c r="W469" i="1" s="1"/>
  <c r="S468" i="1"/>
  <c r="W468" i="1" s="1"/>
  <c r="S467" i="1"/>
  <c r="W467" i="1" s="1"/>
  <c r="S466" i="1"/>
  <c r="W466" i="1" s="1"/>
  <c r="S465" i="1"/>
  <c r="W465" i="1" s="1"/>
  <c r="S464" i="1"/>
  <c r="W464" i="1" s="1"/>
  <c r="S463" i="1"/>
  <c r="W463" i="1" s="1"/>
  <c r="S462" i="1"/>
  <c r="W462" i="1" s="1"/>
  <c r="S461" i="1"/>
  <c r="W461" i="1" s="1"/>
  <c r="S460" i="1"/>
  <c r="W460" i="1" s="1"/>
  <c r="S459" i="1"/>
  <c r="W459" i="1" s="1"/>
  <c r="S458" i="1"/>
  <c r="W458" i="1" s="1"/>
  <c r="S457" i="1"/>
  <c r="W457" i="1" s="1"/>
  <c r="S456" i="1"/>
  <c r="W456" i="1" s="1"/>
  <c r="S455" i="1"/>
  <c r="W455" i="1" s="1"/>
  <c r="S454" i="1"/>
  <c r="W454" i="1" s="1"/>
  <c r="S453" i="1"/>
  <c r="W453" i="1" s="1"/>
  <c r="S452" i="1"/>
  <c r="W452" i="1" s="1"/>
  <c r="S451" i="1"/>
  <c r="W451" i="1" s="1"/>
  <c r="S450" i="1"/>
  <c r="W450" i="1" s="1"/>
  <c r="S449" i="1"/>
  <c r="W449" i="1" s="1"/>
  <c r="S448" i="1"/>
  <c r="W448" i="1" s="1"/>
  <c r="S447" i="1"/>
  <c r="W447" i="1" s="1"/>
  <c r="S446" i="1"/>
  <c r="W446" i="1" s="1"/>
  <c r="S445" i="1"/>
  <c r="W445" i="1" s="1"/>
  <c r="S444" i="1"/>
  <c r="W444" i="1" s="1"/>
  <c r="S443" i="1"/>
  <c r="W443" i="1" s="1"/>
  <c r="S442" i="1"/>
  <c r="W442" i="1" s="1"/>
  <c r="S441" i="1"/>
  <c r="W441" i="1" s="1"/>
  <c r="S440" i="1"/>
  <c r="W440" i="1" s="1"/>
  <c r="S439" i="1"/>
  <c r="W439" i="1" s="1"/>
  <c r="S438" i="1"/>
  <c r="W438" i="1" s="1"/>
  <c r="S437" i="1"/>
  <c r="W437" i="1" s="1"/>
  <c r="S436" i="1"/>
  <c r="W436" i="1" s="1"/>
  <c r="S435" i="1"/>
  <c r="W435" i="1" s="1"/>
  <c r="S434" i="1"/>
  <c r="W434" i="1" s="1"/>
  <c r="S433" i="1"/>
  <c r="W433" i="1" s="1"/>
  <c r="S432" i="1"/>
  <c r="W432" i="1" s="1"/>
  <c r="S431" i="1"/>
  <c r="W431" i="1" s="1"/>
  <c r="S430" i="1"/>
  <c r="W430" i="1" s="1"/>
  <c r="S429" i="1"/>
  <c r="W429" i="1" s="1"/>
  <c r="S428" i="1"/>
  <c r="W428" i="1" s="1"/>
  <c r="S427" i="1"/>
  <c r="W427" i="1" s="1"/>
  <c r="S426" i="1"/>
  <c r="W426" i="1" s="1"/>
  <c r="S425" i="1"/>
  <c r="W425" i="1" s="1"/>
  <c r="S424" i="1"/>
  <c r="W424" i="1" s="1"/>
  <c r="S423" i="1"/>
  <c r="W423" i="1" s="1"/>
  <c r="S422" i="1"/>
  <c r="W422" i="1" s="1"/>
  <c r="S421" i="1"/>
  <c r="W421" i="1" s="1"/>
  <c r="S420" i="1"/>
  <c r="W420" i="1" s="1"/>
  <c r="S419" i="1"/>
  <c r="W419" i="1" s="1"/>
  <c r="S418" i="1"/>
  <c r="W418" i="1" s="1"/>
  <c r="S417" i="1"/>
  <c r="W417" i="1" s="1"/>
  <c r="S416" i="1"/>
  <c r="W416" i="1" s="1"/>
  <c r="S415" i="1"/>
  <c r="W415" i="1" s="1"/>
  <c r="S414" i="1"/>
  <c r="W414" i="1" s="1"/>
  <c r="S413" i="1"/>
  <c r="W413" i="1" s="1"/>
  <c r="S412" i="1"/>
  <c r="W412" i="1" s="1"/>
  <c r="S411" i="1"/>
  <c r="W411" i="1" s="1"/>
  <c r="S410" i="1"/>
  <c r="W410" i="1" s="1"/>
  <c r="S409" i="1"/>
  <c r="W409" i="1" s="1"/>
  <c r="S408" i="1"/>
  <c r="W408" i="1" s="1"/>
  <c r="S407" i="1"/>
  <c r="W407" i="1" s="1"/>
  <c r="S406" i="1"/>
  <c r="W406" i="1" s="1"/>
  <c r="S405" i="1"/>
  <c r="W405" i="1" s="1"/>
  <c r="S404" i="1"/>
  <c r="W404" i="1" s="1"/>
  <c r="S403" i="1"/>
  <c r="W403" i="1" s="1"/>
  <c r="S402" i="1"/>
  <c r="W402" i="1" s="1"/>
  <c r="S401" i="1"/>
  <c r="W401" i="1" s="1"/>
  <c r="S400" i="1"/>
  <c r="W400" i="1" s="1"/>
  <c r="S399" i="1"/>
  <c r="W399" i="1" s="1"/>
  <c r="S398" i="1"/>
  <c r="W398" i="1" s="1"/>
  <c r="S397" i="1"/>
  <c r="W397" i="1" s="1"/>
  <c r="S396" i="1"/>
  <c r="W396" i="1" s="1"/>
  <c r="S395" i="1"/>
  <c r="W395" i="1" s="1"/>
  <c r="S394" i="1"/>
  <c r="W394" i="1" s="1"/>
  <c r="S393" i="1"/>
  <c r="W393" i="1" s="1"/>
  <c r="S392" i="1"/>
  <c r="W392" i="1" s="1"/>
  <c r="S391" i="1"/>
  <c r="W391" i="1" s="1"/>
  <c r="S390" i="1"/>
  <c r="W390" i="1" s="1"/>
  <c r="S389" i="1"/>
  <c r="W389" i="1" s="1"/>
  <c r="S388" i="1"/>
  <c r="W388" i="1" s="1"/>
  <c r="S387" i="1"/>
  <c r="W387" i="1" s="1"/>
  <c r="S386" i="1"/>
  <c r="W386" i="1" s="1"/>
  <c r="S385" i="1"/>
  <c r="W385" i="1" s="1"/>
  <c r="S384" i="1"/>
  <c r="W384" i="1" s="1"/>
  <c r="S383" i="1"/>
  <c r="W383" i="1" s="1"/>
  <c r="S382" i="1"/>
  <c r="W382" i="1" s="1"/>
  <c r="S381" i="1"/>
  <c r="W381" i="1" s="1"/>
  <c r="S380" i="1"/>
  <c r="W380" i="1" s="1"/>
  <c r="S379" i="1"/>
  <c r="W379" i="1" s="1"/>
  <c r="S378" i="1"/>
  <c r="W378" i="1" s="1"/>
  <c r="S377" i="1"/>
  <c r="W377" i="1" s="1"/>
  <c r="S376" i="1"/>
  <c r="W376" i="1" s="1"/>
  <c r="S375" i="1"/>
  <c r="W375" i="1" s="1"/>
  <c r="S374" i="1"/>
  <c r="W374" i="1" s="1"/>
  <c r="S373" i="1"/>
  <c r="W373" i="1" s="1"/>
  <c r="S372" i="1"/>
  <c r="W372" i="1" s="1"/>
  <c r="S371" i="1"/>
  <c r="W371" i="1" s="1"/>
  <c r="S370" i="1"/>
  <c r="W370" i="1" s="1"/>
  <c r="S369" i="1"/>
  <c r="W369" i="1" s="1"/>
  <c r="S368" i="1"/>
  <c r="W368" i="1" s="1"/>
  <c r="S367" i="1"/>
  <c r="W367" i="1" s="1"/>
  <c r="S366" i="1"/>
  <c r="W366" i="1" s="1"/>
  <c r="S365" i="1"/>
  <c r="W365" i="1" s="1"/>
  <c r="S364" i="1"/>
  <c r="W364" i="1" s="1"/>
  <c r="S363" i="1"/>
  <c r="W363" i="1" s="1"/>
  <c r="S362" i="1"/>
  <c r="W362" i="1" s="1"/>
  <c r="S361" i="1"/>
  <c r="W361" i="1" s="1"/>
  <c r="S360" i="1"/>
  <c r="W360" i="1" s="1"/>
  <c r="S359" i="1"/>
  <c r="W359" i="1" s="1"/>
  <c r="S358" i="1"/>
  <c r="W358" i="1" s="1"/>
  <c r="S357" i="1"/>
  <c r="W357" i="1" s="1"/>
  <c r="S356" i="1"/>
  <c r="W356" i="1" s="1"/>
  <c r="S355" i="1"/>
  <c r="W355" i="1" s="1"/>
  <c r="S354" i="1"/>
  <c r="W354" i="1" s="1"/>
  <c r="S353" i="1"/>
  <c r="W353" i="1" s="1"/>
  <c r="S352" i="1"/>
  <c r="W352" i="1" s="1"/>
  <c r="S351" i="1"/>
  <c r="W351" i="1" s="1"/>
  <c r="S350" i="1"/>
  <c r="W350" i="1" s="1"/>
  <c r="S349" i="1"/>
  <c r="W349" i="1" s="1"/>
  <c r="S348" i="1"/>
  <c r="W348" i="1" s="1"/>
  <c r="S347" i="1"/>
  <c r="W347" i="1" s="1"/>
  <c r="S346" i="1"/>
  <c r="W346" i="1" s="1"/>
  <c r="S345" i="1"/>
  <c r="W345" i="1" s="1"/>
  <c r="S344" i="1"/>
  <c r="W344" i="1" s="1"/>
  <c r="S343" i="1"/>
  <c r="W343" i="1" s="1"/>
  <c r="S342" i="1"/>
  <c r="W342" i="1" s="1"/>
  <c r="S341" i="1"/>
  <c r="W341" i="1" s="1"/>
  <c r="S340" i="1"/>
  <c r="W340" i="1" s="1"/>
  <c r="S339" i="1"/>
  <c r="W339" i="1" s="1"/>
  <c r="S338" i="1"/>
  <c r="W338" i="1" s="1"/>
  <c r="S337" i="1"/>
  <c r="W337" i="1" s="1"/>
  <c r="S336" i="1"/>
  <c r="W336" i="1" s="1"/>
  <c r="S335" i="1"/>
  <c r="W335" i="1" s="1"/>
  <c r="S334" i="1"/>
  <c r="W334" i="1" s="1"/>
  <c r="S333" i="1"/>
  <c r="W333" i="1" s="1"/>
  <c r="S332" i="1"/>
  <c r="W332" i="1" s="1"/>
  <c r="S331" i="1"/>
  <c r="W331" i="1" s="1"/>
  <c r="S330" i="1"/>
  <c r="W330" i="1" s="1"/>
  <c r="S329" i="1"/>
  <c r="W329" i="1" s="1"/>
  <c r="S328" i="1"/>
  <c r="W328" i="1" s="1"/>
  <c r="S327" i="1"/>
  <c r="W327" i="1" s="1"/>
  <c r="S326" i="1"/>
  <c r="S325" i="1"/>
  <c r="W325" i="1" s="1"/>
  <c r="S324" i="1"/>
  <c r="W324" i="1" s="1"/>
  <c r="S323" i="1"/>
  <c r="W323" i="1" s="1"/>
  <c r="S322" i="1"/>
  <c r="W322" i="1" s="1"/>
  <c r="S321" i="1"/>
  <c r="W321" i="1" s="1"/>
  <c r="S320" i="1"/>
  <c r="W320" i="1" s="1"/>
  <c r="S319" i="1"/>
  <c r="W319" i="1" s="1"/>
  <c r="S318" i="1"/>
  <c r="W318" i="1" s="1"/>
  <c r="S317" i="1"/>
  <c r="W317" i="1" s="1"/>
  <c r="S316" i="1"/>
  <c r="W316" i="1" s="1"/>
  <c r="S315" i="1"/>
  <c r="W315" i="1" s="1"/>
  <c r="S314" i="1"/>
  <c r="W314" i="1" s="1"/>
  <c r="S313" i="1"/>
  <c r="W313" i="1" s="1"/>
  <c r="S312" i="1"/>
  <c r="W312" i="1" s="1"/>
  <c r="S311" i="1"/>
  <c r="W311" i="1" s="1"/>
  <c r="S310" i="1"/>
  <c r="W310" i="1" s="1"/>
  <c r="S309" i="1"/>
  <c r="W309" i="1" s="1"/>
  <c r="S308" i="1"/>
  <c r="W308" i="1" s="1"/>
  <c r="S307" i="1"/>
  <c r="W307" i="1" s="1"/>
  <c r="S306" i="1"/>
  <c r="W306" i="1" s="1"/>
  <c r="S305" i="1"/>
  <c r="W305" i="1" s="1"/>
  <c r="S304" i="1"/>
  <c r="W304" i="1" s="1"/>
  <c r="S303" i="1"/>
  <c r="W303" i="1" s="1"/>
  <c r="S302" i="1"/>
  <c r="W302" i="1" s="1"/>
  <c r="S301" i="1"/>
  <c r="W301" i="1" s="1"/>
  <c r="S300" i="1"/>
  <c r="W300" i="1" s="1"/>
  <c r="S299" i="1"/>
  <c r="W299" i="1" s="1"/>
  <c r="S298" i="1"/>
  <c r="W298" i="1" s="1"/>
  <c r="S297" i="1"/>
  <c r="W297" i="1" s="1"/>
  <c r="S296" i="1"/>
  <c r="W296" i="1" s="1"/>
  <c r="S295" i="1"/>
  <c r="W295" i="1" s="1"/>
  <c r="S294" i="1"/>
  <c r="W294" i="1" s="1"/>
  <c r="S293" i="1"/>
  <c r="W293" i="1" s="1"/>
  <c r="S292" i="1"/>
  <c r="W292" i="1" s="1"/>
  <c r="S291" i="1"/>
  <c r="W291" i="1" s="1"/>
  <c r="S290" i="1"/>
  <c r="W290" i="1" s="1"/>
  <c r="S289" i="1"/>
  <c r="S288" i="1"/>
  <c r="W288" i="1" s="1"/>
  <c r="S287" i="1"/>
  <c r="W287" i="1" s="1"/>
  <c r="S286" i="1"/>
  <c r="W286" i="1" s="1"/>
  <c r="S285" i="1"/>
  <c r="W285" i="1" s="1"/>
  <c r="S284" i="1"/>
  <c r="W284" i="1" s="1"/>
  <c r="S283" i="1"/>
  <c r="W283" i="1" s="1"/>
  <c r="S282" i="1"/>
  <c r="W282" i="1" s="1"/>
  <c r="S281" i="1"/>
  <c r="W281" i="1" s="1"/>
  <c r="S280" i="1"/>
  <c r="W280" i="1" s="1"/>
  <c r="S279" i="1"/>
  <c r="W279" i="1" s="1"/>
  <c r="S278" i="1"/>
  <c r="W278" i="1" s="1"/>
  <c r="S277" i="1"/>
  <c r="S276" i="1"/>
  <c r="W276" i="1" s="1"/>
  <c r="S275" i="1"/>
  <c r="W275" i="1" s="1"/>
  <c r="S274" i="1"/>
  <c r="W274" i="1" s="1"/>
  <c r="S273" i="1"/>
  <c r="W273" i="1" s="1"/>
  <c r="S272" i="1"/>
  <c r="W272" i="1" s="1"/>
  <c r="S271" i="1"/>
  <c r="W271" i="1" s="1"/>
  <c r="S270" i="1"/>
  <c r="W270" i="1" s="1"/>
  <c r="S269" i="1"/>
  <c r="W269" i="1" s="1"/>
  <c r="S268" i="1"/>
  <c r="W268" i="1" s="1"/>
  <c r="S267" i="1"/>
  <c r="W267" i="1" s="1"/>
  <c r="S266" i="1"/>
  <c r="W266" i="1" s="1"/>
  <c r="S265" i="1"/>
  <c r="W265" i="1" s="1"/>
  <c r="S264" i="1"/>
  <c r="W264" i="1" s="1"/>
  <c r="S263" i="1"/>
  <c r="W263" i="1" s="1"/>
  <c r="S262" i="1"/>
  <c r="W262" i="1" s="1"/>
  <c r="S261" i="1"/>
  <c r="W261" i="1" s="1"/>
  <c r="S260" i="1"/>
  <c r="W260" i="1" s="1"/>
  <c r="S259" i="1"/>
  <c r="W259" i="1" s="1"/>
  <c r="S258" i="1"/>
  <c r="W258" i="1" s="1"/>
  <c r="S257" i="1"/>
  <c r="W257" i="1" s="1"/>
  <c r="S256" i="1"/>
  <c r="W256" i="1" s="1"/>
  <c r="S255" i="1"/>
  <c r="W255" i="1" s="1"/>
  <c r="S254" i="1"/>
  <c r="W254" i="1" s="1"/>
  <c r="S253" i="1"/>
  <c r="W253" i="1" s="1"/>
  <c r="S252" i="1"/>
  <c r="W252" i="1" s="1"/>
  <c r="S251" i="1"/>
  <c r="W251" i="1" s="1"/>
  <c r="S250" i="1"/>
  <c r="W250" i="1" s="1"/>
  <c r="S249" i="1"/>
  <c r="W249" i="1" s="1"/>
  <c r="S248" i="1"/>
  <c r="W248" i="1" s="1"/>
  <c r="S247" i="1"/>
  <c r="W247" i="1" s="1"/>
  <c r="S246" i="1"/>
  <c r="W246" i="1" s="1"/>
  <c r="S245" i="1"/>
  <c r="W245" i="1" s="1"/>
  <c r="S244" i="1"/>
  <c r="W244" i="1" s="1"/>
  <c r="S243" i="1"/>
  <c r="W243" i="1" s="1"/>
  <c r="S242" i="1"/>
  <c r="W242" i="1" s="1"/>
  <c r="S241" i="1"/>
  <c r="W241" i="1" s="1"/>
  <c r="S240" i="1"/>
  <c r="S239" i="1"/>
  <c r="W239" i="1" s="1"/>
  <c r="S238" i="1"/>
  <c r="W238" i="1" s="1"/>
  <c r="S237" i="1"/>
  <c r="W237" i="1" s="1"/>
  <c r="S236" i="1"/>
  <c r="W236" i="1" s="1"/>
  <c r="S235" i="1"/>
  <c r="W235" i="1" s="1"/>
  <c r="S234" i="1"/>
  <c r="W234" i="1" s="1"/>
  <c r="S233" i="1"/>
  <c r="W233" i="1" s="1"/>
  <c r="S232" i="1"/>
  <c r="W232" i="1" s="1"/>
  <c r="S231" i="1"/>
  <c r="W231" i="1" s="1"/>
  <c r="S230" i="1"/>
  <c r="W230" i="1" s="1"/>
  <c r="S229" i="1"/>
  <c r="S228" i="1"/>
  <c r="W228" i="1" s="1"/>
  <c r="S227" i="1"/>
  <c r="W227" i="1" s="1"/>
  <c r="S226" i="1"/>
  <c r="W226" i="1" s="1"/>
  <c r="S225" i="1"/>
  <c r="W225" i="1" s="1"/>
  <c r="S224" i="1"/>
  <c r="W224" i="1" s="1"/>
  <c r="S223" i="1"/>
  <c r="W223" i="1" s="1"/>
  <c r="S222" i="1"/>
  <c r="W222" i="1" s="1"/>
  <c r="S221" i="1"/>
  <c r="W221" i="1" s="1"/>
  <c r="S220" i="1"/>
  <c r="W220" i="1" s="1"/>
  <c r="S219" i="1"/>
  <c r="W219" i="1" s="1"/>
  <c r="S218" i="1"/>
  <c r="W218" i="1" s="1"/>
  <c r="S217" i="1"/>
  <c r="W217" i="1" s="1"/>
  <c r="S216" i="1"/>
  <c r="W216" i="1" s="1"/>
  <c r="S215" i="1"/>
  <c r="W215" i="1" s="1"/>
  <c r="S214" i="1"/>
  <c r="W214" i="1" s="1"/>
  <c r="S213" i="1"/>
  <c r="W213" i="1" s="1"/>
  <c r="S212" i="1"/>
  <c r="W212" i="1" s="1"/>
  <c r="S211" i="1"/>
  <c r="W211" i="1" s="1"/>
  <c r="S210" i="1"/>
  <c r="W210" i="1" s="1"/>
  <c r="S209" i="1"/>
  <c r="W209" i="1" s="1"/>
  <c r="S208" i="1"/>
  <c r="W208" i="1" s="1"/>
  <c r="S207" i="1"/>
  <c r="W207" i="1" s="1"/>
  <c r="S206" i="1"/>
  <c r="W206" i="1" s="1"/>
  <c r="S205" i="1"/>
  <c r="W205" i="1" s="1"/>
  <c r="S204" i="1"/>
  <c r="W204" i="1" s="1"/>
  <c r="S203" i="1"/>
  <c r="W203" i="1" s="1"/>
  <c r="S202" i="1"/>
  <c r="W202" i="1" s="1"/>
  <c r="S201" i="1"/>
  <c r="W201" i="1" s="1"/>
  <c r="S200" i="1"/>
  <c r="W200" i="1" s="1"/>
  <c r="S199" i="1"/>
  <c r="W199" i="1" s="1"/>
  <c r="S198" i="1"/>
  <c r="W198" i="1" s="1"/>
  <c r="S197" i="1"/>
  <c r="W197" i="1" s="1"/>
  <c r="S196" i="1"/>
  <c r="W196" i="1" s="1"/>
  <c r="S195" i="1"/>
  <c r="W195" i="1" s="1"/>
  <c r="S194" i="1"/>
  <c r="W194" i="1" s="1"/>
  <c r="S193" i="1"/>
  <c r="W193" i="1" s="1"/>
  <c r="S192" i="1"/>
  <c r="S191" i="1"/>
  <c r="W191" i="1" s="1"/>
  <c r="S190" i="1"/>
  <c r="W190" i="1" s="1"/>
  <c r="S189" i="1"/>
  <c r="W189" i="1" s="1"/>
  <c r="S188" i="1"/>
  <c r="W188" i="1" s="1"/>
  <c r="S187" i="1"/>
  <c r="W187" i="1" s="1"/>
  <c r="S186" i="1"/>
  <c r="W186" i="1" s="1"/>
  <c r="S185" i="1"/>
  <c r="W185" i="1" s="1"/>
  <c r="S184" i="1"/>
  <c r="W184" i="1" s="1"/>
  <c r="S183" i="1"/>
  <c r="W183" i="1" s="1"/>
  <c r="S182" i="1"/>
  <c r="W182" i="1" s="1"/>
  <c r="S181" i="1"/>
  <c r="S180" i="1"/>
  <c r="W180" i="1" s="1"/>
  <c r="S179" i="1"/>
  <c r="W179" i="1" s="1"/>
  <c r="S178" i="1"/>
  <c r="W178" i="1" s="1"/>
  <c r="S177" i="1"/>
  <c r="W177" i="1" s="1"/>
  <c r="S176" i="1"/>
  <c r="W176" i="1" s="1"/>
  <c r="S175" i="1"/>
  <c r="W175" i="1" s="1"/>
  <c r="S174" i="1"/>
  <c r="W174" i="1" s="1"/>
  <c r="S173" i="1"/>
  <c r="W173" i="1" s="1"/>
  <c r="S172" i="1"/>
  <c r="W172" i="1" s="1"/>
  <c r="S171" i="1"/>
  <c r="W171" i="1" s="1"/>
  <c r="S170" i="1"/>
  <c r="W170" i="1" s="1"/>
  <c r="S169" i="1"/>
  <c r="W169" i="1" s="1"/>
  <c r="S168" i="1"/>
  <c r="W168" i="1" s="1"/>
  <c r="S167" i="1"/>
  <c r="W167" i="1" s="1"/>
  <c r="S166" i="1"/>
  <c r="W166" i="1" s="1"/>
  <c r="S165" i="1"/>
  <c r="W165" i="1" s="1"/>
  <c r="S164" i="1"/>
  <c r="W164" i="1" s="1"/>
  <c r="S163" i="1"/>
  <c r="W163" i="1" s="1"/>
  <c r="S162" i="1"/>
  <c r="W162" i="1" s="1"/>
  <c r="S161" i="1"/>
  <c r="W161" i="1" s="1"/>
  <c r="S160" i="1"/>
  <c r="W160" i="1" s="1"/>
  <c r="S159" i="1"/>
  <c r="W159" i="1" s="1"/>
  <c r="S158" i="1"/>
  <c r="W158" i="1" s="1"/>
  <c r="S157" i="1"/>
  <c r="W157" i="1" s="1"/>
  <c r="S156" i="1"/>
  <c r="W156" i="1" s="1"/>
  <c r="S155" i="1"/>
  <c r="W155" i="1" s="1"/>
  <c r="S154" i="1"/>
  <c r="W154" i="1" s="1"/>
  <c r="S153" i="1"/>
  <c r="W153" i="1" s="1"/>
  <c r="S152" i="1"/>
  <c r="W152" i="1" s="1"/>
  <c r="S151" i="1"/>
  <c r="W151" i="1" s="1"/>
  <c r="S150" i="1"/>
  <c r="W150" i="1" s="1"/>
  <c r="S149" i="1"/>
  <c r="W149" i="1" s="1"/>
  <c r="S148" i="1"/>
  <c r="W148" i="1" s="1"/>
  <c r="S147" i="1"/>
  <c r="W147" i="1" s="1"/>
  <c r="S146" i="1"/>
  <c r="W146" i="1" s="1"/>
  <c r="S145" i="1"/>
  <c r="W145" i="1" s="1"/>
  <c r="S144" i="1"/>
  <c r="S143" i="1"/>
  <c r="W143" i="1" s="1"/>
  <c r="S142" i="1"/>
  <c r="W142" i="1" s="1"/>
  <c r="S141" i="1"/>
  <c r="W141" i="1" s="1"/>
  <c r="S140" i="1"/>
  <c r="W140" i="1" s="1"/>
  <c r="S139" i="1"/>
  <c r="W139" i="1" s="1"/>
  <c r="S138" i="1"/>
  <c r="W138" i="1" s="1"/>
  <c r="S137" i="1"/>
  <c r="W137" i="1" s="1"/>
  <c r="S136" i="1"/>
  <c r="W136" i="1" s="1"/>
  <c r="S135" i="1"/>
  <c r="W135" i="1" s="1"/>
  <c r="S134" i="1"/>
  <c r="W134" i="1" s="1"/>
  <c r="S133" i="1"/>
  <c r="W133" i="1" s="1"/>
  <c r="S132" i="1"/>
  <c r="W132" i="1" s="1"/>
  <c r="S131" i="1"/>
  <c r="W131" i="1" s="1"/>
  <c r="S130" i="1"/>
  <c r="W130" i="1" s="1"/>
  <c r="S129" i="1"/>
  <c r="W129" i="1" s="1"/>
  <c r="S128" i="1"/>
  <c r="W128" i="1" s="1"/>
  <c r="S127" i="1"/>
  <c r="W127" i="1" s="1"/>
  <c r="S126" i="1"/>
  <c r="W126" i="1" s="1"/>
  <c r="S125" i="1"/>
  <c r="W125" i="1" s="1"/>
  <c r="S124" i="1"/>
  <c r="W124" i="1" s="1"/>
  <c r="S123" i="1"/>
  <c r="W123" i="1" s="1"/>
  <c r="S122" i="1"/>
  <c r="W122" i="1" s="1"/>
  <c r="S121" i="1"/>
  <c r="W121" i="1" s="1"/>
  <c r="S120" i="1"/>
  <c r="W120" i="1" s="1"/>
  <c r="S119" i="1"/>
  <c r="W119" i="1" s="1"/>
  <c r="S118" i="1"/>
  <c r="W118" i="1" s="1"/>
  <c r="S117" i="1"/>
  <c r="W117" i="1" s="1"/>
  <c r="S116" i="1"/>
  <c r="W116" i="1" s="1"/>
  <c r="S115" i="1"/>
  <c r="W115" i="1" s="1"/>
  <c r="S114" i="1"/>
  <c r="W114" i="1" s="1"/>
  <c r="S113" i="1"/>
  <c r="W113" i="1" s="1"/>
  <c r="S112" i="1"/>
  <c r="W112" i="1" s="1"/>
  <c r="S111" i="1"/>
  <c r="W111" i="1" s="1"/>
  <c r="S110" i="1"/>
  <c r="W110" i="1" s="1"/>
  <c r="S109" i="1"/>
  <c r="W109" i="1" s="1"/>
  <c r="S108" i="1"/>
  <c r="W108" i="1" s="1"/>
  <c r="S107" i="1"/>
  <c r="W107" i="1" s="1"/>
  <c r="S106" i="1"/>
  <c r="W106" i="1" s="1"/>
  <c r="S105" i="1"/>
  <c r="W105" i="1" s="1"/>
  <c r="S104" i="1"/>
  <c r="W104" i="1" s="1"/>
  <c r="S103" i="1"/>
  <c r="W103" i="1" s="1"/>
  <c r="S102" i="1"/>
  <c r="W102" i="1" s="1"/>
  <c r="S101" i="1"/>
  <c r="W101" i="1" s="1"/>
  <c r="S100" i="1"/>
  <c r="W100" i="1" s="1"/>
  <c r="S99" i="1"/>
  <c r="W99" i="1" s="1"/>
  <c r="S98" i="1"/>
  <c r="W98" i="1" s="1"/>
  <c r="S97" i="1"/>
  <c r="W97" i="1" s="1"/>
  <c r="S96" i="1"/>
  <c r="W96" i="1" s="1"/>
  <c r="S95" i="1"/>
  <c r="W95" i="1" s="1"/>
  <c r="S94" i="1"/>
  <c r="W94" i="1" s="1"/>
  <c r="S93" i="1"/>
  <c r="W93" i="1" s="1"/>
  <c r="S92" i="1"/>
  <c r="W92" i="1" s="1"/>
  <c r="S91" i="1"/>
  <c r="W91" i="1" s="1"/>
  <c r="S90" i="1"/>
  <c r="W90" i="1" s="1"/>
  <c r="S89" i="1"/>
  <c r="W89" i="1" s="1"/>
  <c r="S88" i="1"/>
  <c r="W88" i="1" s="1"/>
  <c r="S87" i="1"/>
  <c r="W87" i="1" s="1"/>
  <c r="S86" i="1"/>
  <c r="W86" i="1" s="1"/>
  <c r="S85" i="1"/>
  <c r="W85" i="1" s="1"/>
  <c r="S84" i="1"/>
  <c r="W84" i="1" s="1"/>
  <c r="S83" i="1"/>
  <c r="W83" i="1" s="1"/>
  <c r="S82" i="1"/>
  <c r="W82" i="1" s="1"/>
  <c r="S81" i="1"/>
  <c r="W81" i="1" s="1"/>
  <c r="S80" i="1"/>
  <c r="W80" i="1" s="1"/>
  <c r="S79" i="1"/>
  <c r="W79" i="1" s="1"/>
  <c r="S78" i="1"/>
  <c r="W78" i="1" s="1"/>
  <c r="S77" i="1"/>
  <c r="W77" i="1" s="1"/>
  <c r="S76" i="1"/>
  <c r="W76" i="1" s="1"/>
  <c r="S75" i="1"/>
  <c r="W75" i="1" s="1"/>
  <c r="S74" i="1"/>
  <c r="W74" i="1" s="1"/>
  <c r="S73" i="1"/>
  <c r="S72" i="1"/>
  <c r="W72" i="1" s="1"/>
  <c r="S71" i="1"/>
  <c r="W71" i="1" s="1"/>
  <c r="S70" i="1"/>
  <c r="W70" i="1" s="1"/>
  <c r="S69" i="1"/>
  <c r="W69" i="1" s="1"/>
  <c r="S68" i="1"/>
  <c r="W68" i="1" s="1"/>
  <c r="S67" i="1"/>
  <c r="W67" i="1" s="1"/>
  <c r="S66" i="1"/>
  <c r="W66" i="1" s="1"/>
  <c r="S65" i="1"/>
  <c r="W65" i="1" s="1"/>
  <c r="S64" i="1"/>
  <c r="W64" i="1" s="1"/>
  <c r="S63" i="1"/>
  <c r="W63" i="1" s="1"/>
  <c r="S62" i="1"/>
  <c r="W62" i="1" s="1"/>
  <c r="S61" i="1"/>
  <c r="S60" i="1"/>
  <c r="W60" i="1" s="1"/>
  <c r="S59" i="1"/>
  <c r="W59" i="1" s="1"/>
  <c r="S58" i="1"/>
  <c r="W58" i="1" s="1"/>
  <c r="S57" i="1"/>
  <c r="W57" i="1" s="1"/>
  <c r="S56" i="1"/>
  <c r="W56" i="1" s="1"/>
  <c r="S55" i="1"/>
  <c r="W55" i="1" s="1"/>
  <c r="S54" i="1"/>
  <c r="W54" i="1" s="1"/>
  <c r="S53" i="1"/>
  <c r="W53" i="1" s="1"/>
  <c r="S52" i="1"/>
  <c r="W52" i="1" s="1"/>
  <c r="S51" i="1"/>
  <c r="W51" i="1" s="1"/>
  <c r="S50" i="1"/>
  <c r="W50" i="1" s="1"/>
  <c r="S49" i="1"/>
  <c r="W49" i="1" s="1"/>
  <c r="S48" i="1"/>
  <c r="W48" i="1" s="1"/>
  <c r="S47" i="1"/>
  <c r="W47" i="1" s="1"/>
  <c r="S46" i="1"/>
  <c r="W46" i="1" s="1"/>
  <c r="S45" i="1"/>
  <c r="W45" i="1" s="1"/>
  <c r="S44" i="1"/>
  <c r="W44" i="1" s="1"/>
  <c r="S43" i="1"/>
  <c r="W43" i="1" s="1"/>
  <c r="S42" i="1"/>
  <c r="W42" i="1" s="1"/>
  <c r="S41" i="1"/>
  <c r="W41" i="1" s="1"/>
  <c r="S40" i="1"/>
  <c r="W40" i="1" s="1"/>
  <c r="S39" i="1"/>
  <c r="W39" i="1" s="1"/>
  <c r="S38" i="1"/>
  <c r="W38" i="1" s="1"/>
  <c r="S37" i="1"/>
  <c r="W37" i="1" s="1"/>
  <c r="S36" i="1"/>
  <c r="W36" i="1" s="1"/>
  <c r="S35" i="1"/>
  <c r="W35" i="1" s="1"/>
  <c r="S34" i="1"/>
  <c r="W34" i="1" s="1"/>
  <c r="S33" i="1"/>
  <c r="W33" i="1" s="1"/>
  <c r="S32" i="1"/>
  <c r="W32" i="1" s="1"/>
  <c r="S31" i="1"/>
  <c r="W31" i="1" s="1"/>
  <c r="S30" i="1"/>
  <c r="W30" i="1" s="1"/>
  <c r="S29" i="1"/>
  <c r="W29" i="1" s="1"/>
  <c r="S28" i="1"/>
  <c r="W28" i="1" s="1"/>
  <c r="S27" i="1"/>
  <c r="W27" i="1" s="1"/>
  <c r="S26" i="1"/>
  <c r="W26" i="1" s="1"/>
  <c r="S25" i="1"/>
  <c r="W25" i="1" s="1"/>
  <c r="S24" i="1"/>
  <c r="W24" i="1" s="1"/>
  <c r="S23" i="1"/>
  <c r="W23" i="1" s="1"/>
  <c r="S22" i="1"/>
  <c r="W22" i="1" s="1"/>
  <c r="S21" i="1"/>
  <c r="W21" i="1" s="1"/>
  <c r="S20" i="1"/>
  <c r="W20" i="1" s="1"/>
  <c r="S19" i="1"/>
  <c r="W19" i="1" s="1"/>
  <c r="S18" i="1"/>
  <c r="W18" i="1" s="1"/>
  <c r="S17" i="1"/>
  <c r="W17" i="1" s="1"/>
  <c r="S16" i="1"/>
  <c r="W16" i="1" s="1"/>
  <c r="S15" i="1"/>
  <c r="W15" i="1" s="1"/>
  <c r="S14" i="1"/>
  <c r="W14" i="1" s="1"/>
  <c r="S5" i="1"/>
  <c r="W5" i="1" s="1"/>
  <c r="S6" i="1"/>
  <c r="W6" i="1" s="1"/>
  <c r="S7" i="1"/>
  <c r="W7" i="1" s="1"/>
  <c r="S8" i="1"/>
  <c r="W8" i="1" s="1"/>
  <c r="S9" i="1"/>
  <c r="W9" i="1" s="1"/>
  <c r="S10" i="1"/>
  <c r="W10" i="1" s="1"/>
  <c r="S11" i="1"/>
  <c r="W11" i="1" s="1"/>
  <c r="S12" i="1"/>
  <c r="W12" i="1" s="1"/>
  <c r="S13" i="1"/>
  <c r="W13" i="1" s="1"/>
  <c r="S4" i="1"/>
  <c r="V4" i="1" s="1"/>
  <c r="S3" i="1"/>
  <c r="W3" i="1" s="1"/>
  <c r="S2" i="1"/>
  <c r="W2" i="1" s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3" i="1"/>
  <c r="AU2" i="1"/>
  <c r="V1004" i="1" l="1"/>
  <c r="V906" i="1"/>
  <c r="AM4" i="1"/>
  <c r="Z4" i="1"/>
  <c r="AA4" i="1"/>
  <c r="W817" i="1"/>
  <c r="V638" i="1"/>
  <c r="AL638" i="1" s="1"/>
  <c r="AN638" i="1" s="1"/>
  <c r="W865" i="1"/>
  <c r="W721" i="1"/>
  <c r="W769" i="1"/>
  <c r="AL850" i="1"/>
  <c r="AN850" i="1" s="1"/>
  <c r="Z850" i="1"/>
  <c r="AL816" i="1"/>
  <c r="AN816" i="1" s="1"/>
  <c r="Z816" i="1"/>
  <c r="AL972" i="1"/>
  <c r="AN972" i="1" s="1"/>
  <c r="Z972" i="1"/>
  <c r="AB638" i="1"/>
  <c r="V302" i="1"/>
  <c r="W972" i="1"/>
  <c r="AB972" i="1" s="1"/>
  <c r="AJ972" i="1" s="1"/>
  <c r="AK972" i="1" s="1"/>
  <c r="W816" i="1"/>
  <c r="AB816" i="1" s="1"/>
  <c r="AJ816" i="1" s="1"/>
  <c r="AK816" i="1" s="1"/>
  <c r="W529" i="1"/>
  <c r="AB529" i="1" s="1"/>
  <c r="AJ529" i="1" s="1"/>
  <c r="AK529" i="1" s="1"/>
  <c r="W850" i="1"/>
  <c r="AB850" i="1" s="1"/>
  <c r="AJ850" i="1" s="1"/>
  <c r="AK850" i="1" s="1"/>
  <c r="V144" i="1"/>
  <c r="W144" i="1"/>
  <c r="V192" i="1"/>
  <c r="W192" i="1"/>
  <c r="V240" i="1"/>
  <c r="W240" i="1"/>
  <c r="AL1004" i="1"/>
  <c r="AN1004" i="1" s="1"/>
  <c r="Z1004" i="1"/>
  <c r="AB1004" i="1"/>
  <c r="W566" i="1"/>
  <c r="V61" i="1"/>
  <c r="W61" i="1"/>
  <c r="V73" i="1"/>
  <c r="W73" i="1"/>
  <c r="V181" i="1"/>
  <c r="W181" i="1"/>
  <c r="V229" i="1"/>
  <c r="W229" i="1"/>
  <c r="V277" i="1"/>
  <c r="W277" i="1"/>
  <c r="V289" i="1"/>
  <c r="W289" i="1"/>
  <c r="AL529" i="1"/>
  <c r="AN529" i="1" s="1"/>
  <c r="Z529" i="1"/>
  <c r="AL577" i="1"/>
  <c r="AN577" i="1" s="1"/>
  <c r="Z577" i="1"/>
  <c r="AL721" i="1"/>
  <c r="AN721" i="1" s="1"/>
  <c r="Z721" i="1"/>
  <c r="AB721" i="1"/>
  <c r="AL769" i="1"/>
  <c r="AN769" i="1" s="1"/>
  <c r="Z769" i="1"/>
  <c r="AB769" i="1"/>
  <c r="AL817" i="1"/>
  <c r="AN817" i="1" s="1"/>
  <c r="Z817" i="1"/>
  <c r="AB817" i="1"/>
  <c r="AJ817" i="1" s="1"/>
  <c r="AK817" i="1" s="1"/>
  <c r="AL865" i="1"/>
  <c r="AN865" i="1" s="1"/>
  <c r="AB865" i="1"/>
  <c r="Z865" i="1"/>
  <c r="V326" i="1"/>
  <c r="W326" i="1"/>
  <c r="V518" i="1"/>
  <c r="W518" i="1"/>
  <c r="AL566" i="1"/>
  <c r="AN566" i="1" s="1"/>
  <c r="Z566" i="1"/>
  <c r="AB566" i="1"/>
  <c r="AL614" i="1"/>
  <c r="AN614" i="1" s="1"/>
  <c r="Z614" i="1"/>
  <c r="AL710" i="1"/>
  <c r="AN710" i="1" s="1"/>
  <c r="Z710" i="1"/>
  <c r="AL758" i="1"/>
  <c r="AN758" i="1" s="1"/>
  <c r="Z758" i="1"/>
  <c r="AL806" i="1"/>
  <c r="AN806" i="1" s="1"/>
  <c r="Z806" i="1"/>
  <c r="AL854" i="1"/>
  <c r="AN854" i="1" s="1"/>
  <c r="Z854" i="1"/>
  <c r="AL902" i="1"/>
  <c r="AN902" i="1" s="1"/>
  <c r="Z902" i="1"/>
  <c r="AL906" i="1"/>
  <c r="AN906" i="1" s="1"/>
  <c r="Z906" i="1"/>
  <c r="AB906" i="1"/>
  <c r="AJ906" i="1" s="1"/>
  <c r="AK906" i="1" s="1"/>
  <c r="W577" i="1"/>
  <c r="AB577" i="1" s="1"/>
  <c r="AJ577" i="1" s="1"/>
  <c r="AK577" i="1" s="1"/>
  <c r="AL4" i="1"/>
  <c r="AN4" i="1" s="1"/>
  <c r="W902" i="1"/>
  <c r="AB902" i="1" s="1"/>
  <c r="W854" i="1"/>
  <c r="AB854" i="1" s="1"/>
  <c r="AJ854" i="1" s="1"/>
  <c r="AK854" i="1" s="1"/>
  <c r="W806" i="1"/>
  <c r="AB806" i="1" s="1"/>
  <c r="AJ806" i="1" s="1"/>
  <c r="AK806" i="1" s="1"/>
  <c r="W758" i="1"/>
  <c r="AB758" i="1" s="1"/>
  <c r="AJ758" i="1" s="1"/>
  <c r="AK758" i="1" s="1"/>
  <c r="W710" i="1"/>
  <c r="AB710" i="1" s="1"/>
  <c r="W614" i="1"/>
  <c r="AB614" i="1" s="1"/>
  <c r="AJ614" i="1" s="1"/>
  <c r="AK614" i="1" s="1"/>
  <c r="V398" i="1"/>
  <c r="V983" i="1"/>
  <c r="V827" i="1"/>
  <c r="V350" i="1"/>
  <c r="V961" i="1"/>
  <c r="V805" i="1"/>
  <c r="V254" i="1"/>
  <c r="V950" i="1"/>
  <c r="V776" i="1"/>
  <c r="V206" i="1"/>
  <c r="V939" i="1"/>
  <c r="V730" i="1"/>
  <c r="V158" i="1"/>
  <c r="V928" i="1"/>
  <c r="V684" i="1"/>
  <c r="V110" i="1"/>
  <c r="V62" i="1"/>
  <c r="V895" i="1"/>
  <c r="V590" i="1"/>
  <c r="V884" i="1"/>
  <c r="V542" i="1"/>
  <c r="V873" i="1"/>
  <c r="V494" i="1"/>
  <c r="V1006" i="1"/>
  <c r="V861" i="1"/>
  <c r="V446" i="1"/>
  <c r="V17" i="1"/>
  <c r="V173" i="1"/>
  <c r="V329" i="1"/>
  <c r="V461" i="1"/>
  <c r="V569" i="1"/>
  <c r="V701" i="1"/>
  <c r="V12" i="1"/>
  <c r="V18" i="1"/>
  <c r="V30" i="1"/>
  <c r="V42" i="1"/>
  <c r="V54" i="1"/>
  <c r="V66" i="1"/>
  <c r="V78" i="1"/>
  <c r="V90" i="1"/>
  <c r="V102" i="1"/>
  <c r="V114" i="1"/>
  <c r="V126" i="1"/>
  <c r="V138" i="1"/>
  <c r="V150" i="1"/>
  <c r="V162" i="1"/>
  <c r="V174" i="1"/>
  <c r="V186" i="1"/>
  <c r="V198" i="1"/>
  <c r="V210" i="1"/>
  <c r="V222" i="1"/>
  <c r="V234" i="1"/>
  <c r="V246" i="1"/>
  <c r="V258" i="1"/>
  <c r="V270" i="1"/>
  <c r="V282" i="1"/>
  <c r="V294" i="1"/>
  <c r="V306" i="1"/>
  <c r="V318" i="1"/>
  <c r="V330" i="1"/>
  <c r="V342" i="1"/>
  <c r="V354" i="1"/>
  <c r="V366" i="1"/>
  <c r="V378" i="1"/>
  <c r="V390" i="1"/>
  <c r="V402" i="1"/>
  <c r="V414" i="1"/>
  <c r="V426" i="1"/>
  <c r="V438" i="1"/>
  <c r="V450" i="1"/>
  <c r="V462" i="1"/>
  <c r="V474" i="1"/>
  <c r="V486" i="1"/>
  <c r="V498" i="1"/>
  <c r="V510" i="1"/>
  <c r="V522" i="1"/>
  <c r="V534" i="1"/>
  <c r="V546" i="1"/>
  <c r="V558" i="1"/>
  <c r="V570" i="1"/>
  <c r="V582" i="1"/>
  <c r="V594" i="1"/>
  <c r="V606" i="1"/>
  <c r="V618" i="1"/>
  <c r="V630" i="1"/>
  <c r="V642" i="1"/>
  <c r="V654" i="1"/>
  <c r="V666" i="1"/>
  <c r="V678" i="1"/>
  <c r="V690" i="1"/>
  <c r="V702" i="1"/>
  <c r="V714" i="1"/>
  <c r="V726" i="1"/>
  <c r="V738" i="1"/>
  <c r="V750" i="1"/>
  <c r="V762" i="1"/>
  <c r="V774" i="1"/>
  <c r="V1005" i="1"/>
  <c r="V994" i="1"/>
  <c r="V971" i="1"/>
  <c r="V960" i="1"/>
  <c r="V949" i="1"/>
  <c r="V938" i="1"/>
  <c r="V927" i="1"/>
  <c r="V916" i="1"/>
  <c r="V905" i="1"/>
  <c r="V894" i="1"/>
  <c r="V883" i="1"/>
  <c r="V872" i="1"/>
  <c r="V860" i="1"/>
  <c r="V849" i="1"/>
  <c r="V838" i="1"/>
  <c r="V815" i="1"/>
  <c r="V804" i="1"/>
  <c r="V775" i="1"/>
  <c r="V729" i="1"/>
  <c r="V683" i="1"/>
  <c r="V637" i="1"/>
  <c r="V589" i="1"/>
  <c r="V541" i="1"/>
  <c r="V493" i="1"/>
  <c r="V445" i="1"/>
  <c r="V397" i="1"/>
  <c r="V349" i="1"/>
  <c r="V301" i="1"/>
  <c r="V253" i="1"/>
  <c r="V205" i="1"/>
  <c r="V157" i="1"/>
  <c r="V109" i="1"/>
  <c r="V52" i="1"/>
  <c r="V137" i="1"/>
  <c r="V305" i="1"/>
  <c r="V473" i="1"/>
  <c r="V653" i="1"/>
  <c r="V11" i="1"/>
  <c r="V19" i="1"/>
  <c r="V31" i="1"/>
  <c r="V43" i="1"/>
  <c r="V55" i="1"/>
  <c r="V67" i="1"/>
  <c r="V79" i="1"/>
  <c r="V91" i="1"/>
  <c r="V103" i="1"/>
  <c r="V115" i="1"/>
  <c r="V127" i="1"/>
  <c r="V139" i="1"/>
  <c r="V151" i="1"/>
  <c r="V163" i="1"/>
  <c r="V175" i="1"/>
  <c r="V187" i="1"/>
  <c r="V199" i="1"/>
  <c r="V211" i="1"/>
  <c r="V223" i="1"/>
  <c r="V235" i="1"/>
  <c r="V247" i="1"/>
  <c r="V259" i="1"/>
  <c r="V271" i="1"/>
  <c r="V283" i="1"/>
  <c r="V295" i="1"/>
  <c r="V307" i="1"/>
  <c r="V319" i="1"/>
  <c r="V331" i="1"/>
  <c r="V343" i="1"/>
  <c r="V355" i="1"/>
  <c r="V367" i="1"/>
  <c r="V379" i="1"/>
  <c r="V391" i="1"/>
  <c r="V403" i="1"/>
  <c r="V415" i="1"/>
  <c r="V427" i="1"/>
  <c r="V439" i="1"/>
  <c r="V451" i="1"/>
  <c r="V463" i="1"/>
  <c r="V475" i="1"/>
  <c r="V487" i="1"/>
  <c r="V499" i="1"/>
  <c r="V511" i="1"/>
  <c r="V523" i="1"/>
  <c r="V535" i="1"/>
  <c r="V547" i="1"/>
  <c r="V559" i="1"/>
  <c r="V571" i="1"/>
  <c r="V583" i="1"/>
  <c r="V595" i="1"/>
  <c r="V607" i="1"/>
  <c r="V619" i="1"/>
  <c r="V631" i="1"/>
  <c r="V643" i="1"/>
  <c r="V655" i="1"/>
  <c r="V667" i="1"/>
  <c r="V679" i="1"/>
  <c r="V691" i="1"/>
  <c r="V703" i="1"/>
  <c r="V715" i="1"/>
  <c r="V727" i="1"/>
  <c r="V739" i="1"/>
  <c r="V751" i="1"/>
  <c r="V993" i="1"/>
  <c r="V982" i="1"/>
  <c r="V959" i="1"/>
  <c r="V948" i="1"/>
  <c r="V937" i="1"/>
  <c r="V926" i="1"/>
  <c r="V915" i="1"/>
  <c r="V904" i="1"/>
  <c r="V893" i="1"/>
  <c r="V882" i="1"/>
  <c r="V871" i="1"/>
  <c r="V859" i="1"/>
  <c r="V848" i="1"/>
  <c r="V837" i="1"/>
  <c r="V826" i="1"/>
  <c r="V803" i="1"/>
  <c r="V766" i="1"/>
  <c r="V720" i="1"/>
  <c r="V675" i="1"/>
  <c r="V628" i="1"/>
  <c r="V580" i="1"/>
  <c r="V532" i="1"/>
  <c r="V484" i="1"/>
  <c r="V436" i="1"/>
  <c r="V388" i="1"/>
  <c r="V340" i="1"/>
  <c r="V292" i="1"/>
  <c r="V244" i="1"/>
  <c r="V196" i="1"/>
  <c r="V148" i="1"/>
  <c r="V100" i="1"/>
  <c r="V50" i="1"/>
  <c r="V41" i="1"/>
  <c r="V197" i="1"/>
  <c r="V365" i="1"/>
  <c r="V533" i="1"/>
  <c r="V677" i="1"/>
  <c r="V761" i="1"/>
  <c r="V10" i="1"/>
  <c r="V20" i="1"/>
  <c r="V32" i="1"/>
  <c r="V44" i="1"/>
  <c r="V56" i="1"/>
  <c r="V68" i="1"/>
  <c r="V80" i="1"/>
  <c r="V92" i="1"/>
  <c r="V104" i="1"/>
  <c r="V116" i="1"/>
  <c r="V128" i="1"/>
  <c r="V140" i="1"/>
  <c r="V152" i="1"/>
  <c r="V164" i="1"/>
  <c r="V176" i="1"/>
  <c r="V188" i="1"/>
  <c r="V200" i="1"/>
  <c r="V212" i="1"/>
  <c r="V224" i="1"/>
  <c r="V236" i="1"/>
  <c r="V248" i="1"/>
  <c r="V260" i="1"/>
  <c r="V272" i="1"/>
  <c r="V284" i="1"/>
  <c r="V296" i="1"/>
  <c r="V308" i="1"/>
  <c r="V320" i="1"/>
  <c r="V332" i="1"/>
  <c r="V344" i="1"/>
  <c r="V356" i="1"/>
  <c r="V368" i="1"/>
  <c r="V380" i="1"/>
  <c r="V392" i="1"/>
  <c r="V404" i="1"/>
  <c r="V416" i="1"/>
  <c r="V428" i="1"/>
  <c r="V440" i="1"/>
  <c r="V452" i="1"/>
  <c r="V464" i="1"/>
  <c r="V476" i="1"/>
  <c r="V488" i="1"/>
  <c r="V500" i="1"/>
  <c r="V512" i="1"/>
  <c r="V524" i="1"/>
  <c r="V536" i="1"/>
  <c r="V548" i="1"/>
  <c r="V560" i="1"/>
  <c r="V572" i="1"/>
  <c r="V584" i="1"/>
  <c r="V596" i="1"/>
  <c r="V608" i="1"/>
  <c r="V620" i="1"/>
  <c r="V632" i="1"/>
  <c r="V644" i="1"/>
  <c r="V656" i="1"/>
  <c r="V668" i="1"/>
  <c r="V680" i="1"/>
  <c r="V692" i="1"/>
  <c r="V704" i="1"/>
  <c r="V716" i="1"/>
  <c r="V728" i="1"/>
  <c r="V740" i="1"/>
  <c r="V788" i="1"/>
  <c r="V1003" i="1"/>
  <c r="V992" i="1"/>
  <c r="V981" i="1"/>
  <c r="V970" i="1"/>
  <c r="V947" i="1"/>
  <c r="V936" i="1"/>
  <c r="V925" i="1"/>
  <c r="V914" i="1"/>
  <c r="V903" i="1"/>
  <c r="V892" i="1"/>
  <c r="V881" i="1"/>
  <c r="V870" i="1"/>
  <c r="V858" i="1"/>
  <c r="V847" i="1"/>
  <c r="V836" i="1"/>
  <c r="V825" i="1"/>
  <c r="V814" i="1"/>
  <c r="V764" i="1"/>
  <c r="V673" i="1"/>
  <c r="V626" i="1"/>
  <c r="V578" i="1"/>
  <c r="V530" i="1"/>
  <c r="V482" i="1"/>
  <c r="V434" i="1"/>
  <c r="V386" i="1"/>
  <c r="V338" i="1"/>
  <c r="V290" i="1"/>
  <c r="V242" i="1"/>
  <c r="V194" i="1"/>
  <c r="V146" i="1"/>
  <c r="V98" i="1"/>
  <c r="V40" i="1"/>
  <c r="V125" i="1"/>
  <c r="V281" i="1"/>
  <c r="V425" i="1"/>
  <c r="V545" i="1"/>
  <c r="V713" i="1"/>
  <c r="V9" i="1"/>
  <c r="V21" i="1"/>
  <c r="V33" i="1"/>
  <c r="V45" i="1"/>
  <c r="V57" i="1"/>
  <c r="V69" i="1"/>
  <c r="V81" i="1"/>
  <c r="V93" i="1"/>
  <c r="V105" i="1"/>
  <c r="V117" i="1"/>
  <c r="V129" i="1"/>
  <c r="V141" i="1"/>
  <c r="V153" i="1"/>
  <c r="V165" i="1"/>
  <c r="V177" i="1"/>
  <c r="V189" i="1"/>
  <c r="V201" i="1"/>
  <c r="V213" i="1"/>
  <c r="V225" i="1"/>
  <c r="V237" i="1"/>
  <c r="V249" i="1"/>
  <c r="V261" i="1"/>
  <c r="V273" i="1"/>
  <c r="V285" i="1"/>
  <c r="V297" i="1"/>
  <c r="V309" i="1"/>
  <c r="V321" i="1"/>
  <c r="V333" i="1"/>
  <c r="V345" i="1"/>
  <c r="V357" i="1"/>
  <c r="V369" i="1"/>
  <c r="V381" i="1"/>
  <c r="V393" i="1"/>
  <c r="V405" i="1"/>
  <c r="V417" i="1"/>
  <c r="V429" i="1"/>
  <c r="V441" i="1"/>
  <c r="V453" i="1"/>
  <c r="V465" i="1"/>
  <c r="V477" i="1"/>
  <c r="V489" i="1"/>
  <c r="V501" i="1"/>
  <c r="V513" i="1"/>
  <c r="V525" i="1"/>
  <c r="V537" i="1"/>
  <c r="V549" i="1"/>
  <c r="V561" i="1"/>
  <c r="V573" i="1"/>
  <c r="V585" i="1"/>
  <c r="V597" i="1"/>
  <c r="V609" i="1"/>
  <c r="V621" i="1"/>
  <c r="V633" i="1"/>
  <c r="V645" i="1"/>
  <c r="V657" i="1"/>
  <c r="V669" i="1"/>
  <c r="V681" i="1"/>
  <c r="V693" i="1"/>
  <c r="V705" i="1"/>
  <c r="V717" i="1"/>
  <c r="V765" i="1"/>
  <c r="V777" i="1"/>
  <c r="V801" i="1"/>
  <c r="V1002" i="1"/>
  <c r="V991" i="1"/>
  <c r="V980" i="1"/>
  <c r="V969" i="1"/>
  <c r="V958" i="1"/>
  <c r="V935" i="1"/>
  <c r="V924" i="1"/>
  <c r="V913" i="1"/>
  <c r="V891" i="1"/>
  <c r="V880" i="1"/>
  <c r="V869" i="1"/>
  <c r="V857" i="1"/>
  <c r="V846" i="1"/>
  <c r="V835" i="1"/>
  <c r="V824" i="1"/>
  <c r="V813" i="1"/>
  <c r="V800" i="1"/>
  <c r="V763" i="1"/>
  <c r="V718" i="1"/>
  <c r="V672" i="1"/>
  <c r="V625" i="1"/>
  <c r="V481" i="1"/>
  <c r="V433" i="1"/>
  <c r="V385" i="1"/>
  <c r="V337" i="1"/>
  <c r="V241" i="1"/>
  <c r="V193" i="1"/>
  <c r="V145" i="1"/>
  <c r="V97" i="1"/>
  <c r="V38" i="1"/>
  <c r="V13" i="1"/>
  <c r="V161" i="1"/>
  <c r="V257" i="1"/>
  <c r="V341" i="1"/>
  <c r="V509" i="1"/>
  <c r="V641" i="1"/>
  <c r="V773" i="1"/>
  <c r="V8" i="1"/>
  <c r="V22" i="1"/>
  <c r="V34" i="1"/>
  <c r="V46" i="1"/>
  <c r="V58" i="1"/>
  <c r="V70" i="1"/>
  <c r="V82" i="1"/>
  <c r="V94" i="1"/>
  <c r="V106" i="1"/>
  <c r="V118" i="1"/>
  <c r="V130" i="1"/>
  <c r="V142" i="1"/>
  <c r="V154" i="1"/>
  <c r="V166" i="1"/>
  <c r="V178" i="1"/>
  <c r="V190" i="1"/>
  <c r="V202" i="1"/>
  <c r="V214" i="1"/>
  <c r="V226" i="1"/>
  <c r="V238" i="1"/>
  <c r="V250" i="1"/>
  <c r="V262" i="1"/>
  <c r="V274" i="1"/>
  <c r="V286" i="1"/>
  <c r="V298" i="1"/>
  <c r="V310" i="1"/>
  <c r="V322" i="1"/>
  <c r="V334" i="1"/>
  <c r="V346" i="1"/>
  <c r="V358" i="1"/>
  <c r="V370" i="1"/>
  <c r="V382" i="1"/>
  <c r="V394" i="1"/>
  <c r="V406" i="1"/>
  <c r="V418" i="1"/>
  <c r="V430" i="1"/>
  <c r="V442" i="1"/>
  <c r="V454" i="1"/>
  <c r="V466" i="1"/>
  <c r="V478" i="1"/>
  <c r="V490" i="1"/>
  <c r="V502" i="1"/>
  <c r="V514" i="1"/>
  <c r="V526" i="1"/>
  <c r="V538" i="1"/>
  <c r="V550" i="1"/>
  <c r="V562" i="1"/>
  <c r="V574" i="1"/>
  <c r="V586" i="1"/>
  <c r="V598" i="1"/>
  <c r="V610" i="1"/>
  <c r="V622" i="1"/>
  <c r="V634" i="1"/>
  <c r="V646" i="1"/>
  <c r="V658" i="1"/>
  <c r="V670" i="1"/>
  <c r="V682" i="1"/>
  <c r="V694" i="1"/>
  <c r="V706" i="1"/>
  <c r="V754" i="1"/>
  <c r="V790" i="1"/>
  <c r="V802" i="1"/>
  <c r="V1001" i="1"/>
  <c r="V990" i="1"/>
  <c r="V979" i="1"/>
  <c r="V968" i="1"/>
  <c r="V957" i="1"/>
  <c r="V946" i="1"/>
  <c r="V923" i="1"/>
  <c r="V912" i="1"/>
  <c r="V901" i="1"/>
  <c r="V890" i="1"/>
  <c r="V879" i="1"/>
  <c r="V868" i="1"/>
  <c r="V856" i="1"/>
  <c r="V845" i="1"/>
  <c r="V834" i="1"/>
  <c r="V823" i="1"/>
  <c r="V812" i="1"/>
  <c r="V799" i="1"/>
  <c r="V709" i="1"/>
  <c r="V664" i="1"/>
  <c r="V616" i="1"/>
  <c r="V568" i="1"/>
  <c r="V520" i="1"/>
  <c r="V472" i="1"/>
  <c r="V424" i="1"/>
  <c r="V376" i="1"/>
  <c r="V328" i="1"/>
  <c r="V280" i="1"/>
  <c r="V232" i="1"/>
  <c r="V184" i="1"/>
  <c r="V136" i="1"/>
  <c r="V88" i="1"/>
  <c r="V28" i="1"/>
  <c r="V89" i="1"/>
  <c r="V209" i="1"/>
  <c r="V401" i="1"/>
  <c r="V593" i="1"/>
  <c r="V7" i="1"/>
  <c r="V23" i="1"/>
  <c r="V35" i="1"/>
  <c r="V47" i="1"/>
  <c r="V59" i="1"/>
  <c r="V71" i="1"/>
  <c r="V83" i="1"/>
  <c r="V95" i="1"/>
  <c r="V107" i="1"/>
  <c r="V119" i="1"/>
  <c r="V131" i="1"/>
  <c r="V143" i="1"/>
  <c r="V155" i="1"/>
  <c r="V167" i="1"/>
  <c r="V179" i="1"/>
  <c r="V191" i="1"/>
  <c r="V203" i="1"/>
  <c r="V215" i="1"/>
  <c r="V227" i="1"/>
  <c r="V239" i="1"/>
  <c r="V251" i="1"/>
  <c r="V263" i="1"/>
  <c r="V275" i="1"/>
  <c r="V287" i="1"/>
  <c r="V299" i="1"/>
  <c r="V311" i="1"/>
  <c r="V323" i="1"/>
  <c r="V335" i="1"/>
  <c r="V347" i="1"/>
  <c r="V359" i="1"/>
  <c r="V371" i="1"/>
  <c r="V383" i="1"/>
  <c r="V395" i="1"/>
  <c r="V407" i="1"/>
  <c r="V419" i="1"/>
  <c r="V431" i="1"/>
  <c r="V443" i="1"/>
  <c r="V455" i="1"/>
  <c r="V467" i="1"/>
  <c r="V479" i="1"/>
  <c r="V491" i="1"/>
  <c r="V503" i="1"/>
  <c r="V515" i="1"/>
  <c r="V527" i="1"/>
  <c r="V539" i="1"/>
  <c r="V551" i="1"/>
  <c r="V563" i="1"/>
  <c r="V575" i="1"/>
  <c r="V587" i="1"/>
  <c r="V599" i="1"/>
  <c r="V611" i="1"/>
  <c r="V623" i="1"/>
  <c r="V635" i="1"/>
  <c r="V647" i="1"/>
  <c r="V659" i="1"/>
  <c r="V671" i="1"/>
  <c r="V719" i="1"/>
  <c r="V731" i="1"/>
  <c r="V755" i="1"/>
  <c r="V767" i="1"/>
  <c r="V779" i="1"/>
  <c r="V791" i="1"/>
  <c r="V1000" i="1"/>
  <c r="V989" i="1"/>
  <c r="V978" i="1"/>
  <c r="V967" i="1"/>
  <c r="V956" i="1"/>
  <c r="V945" i="1"/>
  <c r="V934" i="1"/>
  <c r="V911" i="1"/>
  <c r="V900" i="1"/>
  <c r="V889" i="1"/>
  <c r="V878" i="1"/>
  <c r="V867" i="1"/>
  <c r="V855" i="1"/>
  <c r="V844" i="1"/>
  <c r="V833" i="1"/>
  <c r="V822" i="1"/>
  <c r="V811" i="1"/>
  <c r="V798" i="1"/>
  <c r="V753" i="1"/>
  <c r="V707" i="1"/>
  <c r="V662" i="1"/>
  <c r="V470" i="1"/>
  <c r="V422" i="1"/>
  <c r="V374" i="1"/>
  <c r="V278" i="1"/>
  <c r="V230" i="1"/>
  <c r="V182" i="1"/>
  <c r="V134" i="1"/>
  <c r="V86" i="1"/>
  <c r="V26" i="1"/>
  <c r="V53" i="1"/>
  <c r="V245" i="1"/>
  <c r="V449" i="1"/>
  <c r="V605" i="1"/>
  <c r="V725" i="1"/>
  <c r="V6" i="1"/>
  <c r="V24" i="1"/>
  <c r="V36" i="1"/>
  <c r="V48" i="1"/>
  <c r="V60" i="1"/>
  <c r="V72" i="1"/>
  <c r="V84" i="1"/>
  <c r="V96" i="1"/>
  <c r="V108" i="1"/>
  <c r="V120" i="1"/>
  <c r="V132" i="1"/>
  <c r="V156" i="1"/>
  <c r="V168" i="1"/>
  <c r="V180" i="1"/>
  <c r="V204" i="1"/>
  <c r="V216" i="1"/>
  <c r="V228" i="1"/>
  <c r="V252" i="1"/>
  <c r="V264" i="1"/>
  <c r="V276" i="1"/>
  <c r="V288" i="1"/>
  <c r="V300" i="1"/>
  <c r="V312" i="1"/>
  <c r="V324" i="1"/>
  <c r="V336" i="1"/>
  <c r="V348" i="1"/>
  <c r="V360" i="1"/>
  <c r="V372" i="1"/>
  <c r="V384" i="1"/>
  <c r="V396" i="1"/>
  <c r="V408" i="1"/>
  <c r="V420" i="1"/>
  <c r="V432" i="1"/>
  <c r="V444" i="1"/>
  <c r="V456" i="1"/>
  <c r="V468" i="1"/>
  <c r="V480" i="1"/>
  <c r="V492" i="1"/>
  <c r="V504" i="1"/>
  <c r="V516" i="1"/>
  <c r="V528" i="1"/>
  <c r="V540" i="1"/>
  <c r="V552" i="1"/>
  <c r="V564" i="1"/>
  <c r="V576" i="1"/>
  <c r="V588" i="1"/>
  <c r="V600" i="1"/>
  <c r="V612" i="1"/>
  <c r="V624" i="1"/>
  <c r="V636" i="1"/>
  <c r="V648" i="1"/>
  <c r="V660" i="1"/>
  <c r="V708" i="1"/>
  <c r="V744" i="1"/>
  <c r="V756" i="1"/>
  <c r="V768" i="1"/>
  <c r="V780" i="1"/>
  <c r="V792" i="1"/>
  <c r="V2" i="1"/>
  <c r="V999" i="1"/>
  <c r="V988" i="1"/>
  <c r="V977" i="1"/>
  <c r="V966" i="1"/>
  <c r="V955" i="1"/>
  <c r="V944" i="1"/>
  <c r="V933" i="1"/>
  <c r="V922" i="1"/>
  <c r="V899" i="1"/>
  <c r="V888" i="1"/>
  <c r="V877" i="1"/>
  <c r="V866" i="1"/>
  <c r="V843" i="1"/>
  <c r="V832" i="1"/>
  <c r="V821" i="1"/>
  <c r="V810" i="1"/>
  <c r="V797" i="1"/>
  <c r="V752" i="1"/>
  <c r="V661" i="1"/>
  <c r="V613" i="1"/>
  <c r="V565" i="1"/>
  <c r="V517" i="1"/>
  <c r="V469" i="1"/>
  <c r="V421" i="1"/>
  <c r="V373" i="1"/>
  <c r="V325" i="1"/>
  <c r="V133" i="1"/>
  <c r="V85" i="1"/>
  <c r="V5" i="1"/>
  <c r="AM5" i="1" s="1"/>
  <c r="AJ721" i="1"/>
  <c r="AK721" i="1" s="1"/>
  <c r="V77" i="1"/>
  <c r="V221" i="1"/>
  <c r="V413" i="1"/>
  <c r="V581" i="1"/>
  <c r="V25" i="1"/>
  <c r="V37" i="1"/>
  <c r="V49" i="1"/>
  <c r="V685" i="1"/>
  <c r="V697" i="1"/>
  <c r="V733" i="1"/>
  <c r="V745" i="1"/>
  <c r="V757" i="1"/>
  <c r="V781" i="1"/>
  <c r="V793" i="1"/>
  <c r="V3" i="1"/>
  <c r="V998" i="1"/>
  <c r="V987" i="1"/>
  <c r="V976" i="1"/>
  <c r="V965" i="1"/>
  <c r="V954" i="1"/>
  <c r="V943" i="1"/>
  <c r="V932" i="1"/>
  <c r="V921" i="1"/>
  <c r="V910" i="1"/>
  <c r="V887" i="1"/>
  <c r="V876" i="1"/>
  <c r="V853" i="1"/>
  <c r="V842" i="1"/>
  <c r="V831" i="1"/>
  <c r="V820" i="1"/>
  <c r="V809" i="1"/>
  <c r="V789" i="1"/>
  <c r="V743" i="1"/>
  <c r="V698" i="1"/>
  <c r="V652" i="1"/>
  <c r="V604" i="1"/>
  <c r="V556" i="1"/>
  <c r="V508" i="1"/>
  <c r="V460" i="1"/>
  <c r="V412" i="1"/>
  <c r="V364" i="1"/>
  <c r="V316" i="1"/>
  <c r="V268" i="1"/>
  <c r="V220" i="1"/>
  <c r="V172" i="1"/>
  <c r="V124" i="1"/>
  <c r="V76" i="1"/>
  <c r="V65" i="1"/>
  <c r="V185" i="1"/>
  <c r="V293" i="1"/>
  <c r="V377" i="1"/>
  <c r="V485" i="1"/>
  <c r="V557" i="1"/>
  <c r="V617" i="1"/>
  <c r="V689" i="1"/>
  <c r="V737" i="1"/>
  <c r="V917" i="1"/>
  <c r="V14" i="1"/>
  <c r="V674" i="1"/>
  <c r="V722" i="1"/>
  <c r="V734" i="1"/>
  <c r="V746" i="1"/>
  <c r="V770" i="1"/>
  <c r="V782" i="1"/>
  <c r="V794" i="1"/>
  <c r="V997" i="1"/>
  <c r="V986" i="1"/>
  <c r="V975" i="1"/>
  <c r="V964" i="1"/>
  <c r="V953" i="1"/>
  <c r="V942" i="1"/>
  <c r="V931" i="1"/>
  <c r="V920" i="1"/>
  <c r="V909" i="1"/>
  <c r="V898" i="1"/>
  <c r="V875" i="1"/>
  <c r="V864" i="1"/>
  <c r="V852" i="1"/>
  <c r="V841" i="1"/>
  <c r="V830" i="1"/>
  <c r="V819" i="1"/>
  <c r="V808" i="1"/>
  <c r="V787" i="1"/>
  <c r="V742" i="1"/>
  <c r="V696" i="1"/>
  <c r="V650" i="1"/>
  <c r="V602" i="1"/>
  <c r="V554" i="1"/>
  <c r="V506" i="1"/>
  <c r="V458" i="1"/>
  <c r="V410" i="1"/>
  <c r="V362" i="1"/>
  <c r="V314" i="1"/>
  <c r="V266" i="1"/>
  <c r="V218" i="1"/>
  <c r="V170" i="1"/>
  <c r="V122" i="1"/>
  <c r="V74" i="1"/>
  <c r="V113" i="1"/>
  <c r="V269" i="1"/>
  <c r="V389" i="1"/>
  <c r="V521" i="1"/>
  <c r="V665" i="1"/>
  <c r="V785" i="1"/>
  <c r="V15" i="1"/>
  <c r="V27" i="1"/>
  <c r="V39" i="1"/>
  <c r="V51" i="1"/>
  <c r="V63" i="1"/>
  <c r="V75" i="1"/>
  <c r="V87" i="1"/>
  <c r="V99" i="1"/>
  <c r="V111" i="1"/>
  <c r="V123" i="1"/>
  <c r="V135" i="1"/>
  <c r="V147" i="1"/>
  <c r="V159" i="1"/>
  <c r="V171" i="1"/>
  <c r="V183" i="1"/>
  <c r="V195" i="1"/>
  <c r="V207" i="1"/>
  <c r="V219" i="1"/>
  <c r="V231" i="1"/>
  <c r="V243" i="1"/>
  <c r="V255" i="1"/>
  <c r="V267" i="1"/>
  <c r="V279" i="1"/>
  <c r="V291" i="1"/>
  <c r="V303" i="1"/>
  <c r="V315" i="1"/>
  <c r="V327" i="1"/>
  <c r="V339" i="1"/>
  <c r="V351" i="1"/>
  <c r="V363" i="1"/>
  <c r="V375" i="1"/>
  <c r="V387" i="1"/>
  <c r="V399" i="1"/>
  <c r="V411" i="1"/>
  <c r="V423" i="1"/>
  <c r="V435" i="1"/>
  <c r="V447" i="1"/>
  <c r="V459" i="1"/>
  <c r="V471" i="1"/>
  <c r="V483" i="1"/>
  <c r="V495" i="1"/>
  <c r="V507" i="1"/>
  <c r="V519" i="1"/>
  <c r="V531" i="1"/>
  <c r="V543" i="1"/>
  <c r="V555" i="1"/>
  <c r="V567" i="1"/>
  <c r="V579" i="1"/>
  <c r="V591" i="1"/>
  <c r="V603" i="1"/>
  <c r="V615" i="1"/>
  <c r="V627" i="1"/>
  <c r="V639" i="1"/>
  <c r="V651" i="1"/>
  <c r="V663" i="1"/>
  <c r="V687" i="1"/>
  <c r="V699" i="1"/>
  <c r="V711" i="1"/>
  <c r="V723" i="1"/>
  <c r="V735" i="1"/>
  <c r="V747" i="1"/>
  <c r="V759" i="1"/>
  <c r="V771" i="1"/>
  <c r="V783" i="1"/>
  <c r="V795" i="1"/>
  <c r="V996" i="1"/>
  <c r="V985" i="1"/>
  <c r="V974" i="1"/>
  <c r="V963" i="1"/>
  <c r="V952" i="1"/>
  <c r="V941" i="1"/>
  <c r="V930" i="1"/>
  <c r="V919" i="1"/>
  <c r="V908" i="1"/>
  <c r="V897" i="1"/>
  <c r="V886" i="1"/>
  <c r="V863" i="1"/>
  <c r="V851" i="1"/>
  <c r="V840" i="1"/>
  <c r="V829" i="1"/>
  <c r="V818" i="1"/>
  <c r="V807" i="1"/>
  <c r="V786" i="1"/>
  <c r="V741" i="1"/>
  <c r="V695" i="1"/>
  <c r="V649" i="1"/>
  <c r="V601" i="1"/>
  <c r="V553" i="1"/>
  <c r="V505" i="1"/>
  <c r="V457" i="1"/>
  <c r="V409" i="1"/>
  <c r="V361" i="1"/>
  <c r="V313" i="1"/>
  <c r="V265" i="1"/>
  <c r="V217" i="1"/>
  <c r="V169" i="1"/>
  <c r="V121" i="1"/>
  <c r="V29" i="1"/>
  <c r="V101" i="1"/>
  <c r="V149" i="1"/>
  <c r="V233" i="1"/>
  <c r="V317" i="1"/>
  <c r="V353" i="1"/>
  <c r="V437" i="1"/>
  <c r="V497" i="1"/>
  <c r="V629" i="1"/>
  <c r="V749" i="1"/>
  <c r="V16" i="1"/>
  <c r="V676" i="1"/>
  <c r="V688" i="1"/>
  <c r="V700" i="1"/>
  <c r="V712" i="1"/>
  <c r="V724" i="1"/>
  <c r="V736" i="1"/>
  <c r="V748" i="1"/>
  <c r="V760" i="1"/>
  <c r="V772" i="1"/>
  <c r="V784" i="1"/>
  <c r="V796" i="1"/>
  <c r="V1007" i="1"/>
  <c r="V995" i="1"/>
  <c r="V984" i="1"/>
  <c r="V973" i="1"/>
  <c r="V962" i="1"/>
  <c r="V951" i="1"/>
  <c r="V940" i="1"/>
  <c r="V929" i="1"/>
  <c r="V918" i="1"/>
  <c r="V907" i="1"/>
  <c r="V896" i="1"/>
  <c r="V885" i="1"/>
  <c r="V874" i="1"/>
  <c r="V862" i="1"/>
  <c r="V839" i="1"/>
  <c r="V828" i="1"/>
  <c r="V778" i="1"/>
  <c r="V732" i="1"/>
  <c r="V686" i="1"/>
  <c r="V640" i="1"/>
  <c r="V592" i="1"/>
  <c r="V544" i="1"/>
  <c r="V496" i="1"/>
  <c r="V448" i="1"/>
  <c r="V400" i="1"/>
  <c r="V352" i="1"/>
  <c r="V304" i="1"/>
  <c r="V256" i="1"/>
  <c r="V208" i="1"/>
  <c r="V160" i="1"/>
  <c r="V112" i="1"/>
  <c r="V64" i="1"/>
  <c r="W4" i="1"/>
  <c r="AJ638" i="1"/>
  <c r="AK638" i="1" s="1"/>
  <c r="AJ566" i="1"/>
  <c r="AK566" i="1" s="1"/>
  <c r="AJ710" i="1"/>
  <c r="AK710" i="1" s="1"/>
  <c r="AJ1004" i="1"/>
  <c r="AK1004" i="1" s="1"/>
  <c r="AJ865" i="1"/>
  <c r="AK865" i="1" s="1"/>
  <c r="AJ769" i="1"/>
  <c r="AK769" i="1" s="1"/>
  <c r="Z638" i="1" l="1"/>
  <c r="AB4" i="1"/>
  <c r="AJ902" i="1"/>
  <c r="AK902" i="1" s="1"/>
  <c r="AL352" i="1"/>
  <c r="AN352" i="1" s="1"/>
  <c r="Z352" i="1"/>
  <c r="AB352" i="1"/>
  <c r="AJ352" i="1" s="1"/>
  <c r="Z862" i="1"/>
  <c r="AL862" i="1"/>
  <c r="AN862" i="1" s="1"/>
  <c r="AB862" i="1"/>
  <c r="AL995" i="1"/>
  <c r="AN995" i="1" s="1"/>
  <c r="AB995" i="1"/>
  <c r="AJ995" i="1" s="1"/>
  <c r="AK995" i="1" s="1"/>
  <c r="Z995" i="1"/>
  <c r="AL700" i="1"/>
  <c r="AN700" i="1" s="1"/>
  <c r="Z700" i="1"/>
  <c r="AB700" i="1"/>
  <c r="AJ700" i="1" s="1"/>
  <c r="AL149" i="1"/>
  <c r="AN149" i="1" s="1"/>
  <c r="Z149" i="1"/>
  <c r="AB149" i="1"/>
  <c r="AJ149" i="1" s="1"/>
  <c r="AK149" i="1" s="1"/>
  <c r="AL505" i="1"/>
  <c r="AN505" i="1" s="1"/>
  <c r="Z505" i="1"/>
  <c r="AB505" i="1"/>
  <c r="AJ505" i="1" s="1"/>
  <c r="AK505" i="1" s="1"/>
  <c r="AL863" i="1"/>
  <c r="AN863" i="1" s="1"/>
  <c r="Z863" i="1"/>
  <c r="AB863" i="1"/>
  <c r="AJ863" i="1" s="1"/>
  <c r="AK863" i="1" s="1"/>
  <c r="AL795" i="1"/>
  <c r="AN795" i="1" s="1"/>
  <c r="Z795" i="1"/>
  <c r="AB795" i="1"/>
  <c r="AJ795" i="1" s="1"/>
  <c r="AK795" i="1" s="1"/>
  <c r="AL663" i="1"/>
  <c r="AN663" i="1" s="1"/>
  <c r="Z663" i="1"/>
  <c r="AB663" i="1"/>
  <c r="AJ663" i="1" s="1"/>
  <c r="AK663" i="1" s="1"/>
  <c r="AL411" i="1"/>
  <c r="AN411" i="1" s="1"/>
  <c r="Z411" i="1"/>
  <c r="AB411" i="1"/>
  <c r="AJ411" i="1" s="1"/>
  <c r="AK411" i="1" s="1"/>
  <c r="AL291" i="1"/>
  <c r="AN291" i="1" s="1"/>
  <c r="Z291" i="1"/>
  <c r="AB291" i="1"/>
  <c r="AJ291" i="1" s="1"/>
  <c r="AL171" i="1"/>
  <c r="AN171" i="1" s="1"/>
  <c r="Z171" i="1"/>
  <c r="AB171" i="1"/>
  <c r="AJ171" i="1" s="1"/>
  <c r="AK171" i="1" s="1"/>
  <c r="AL39" i="1"/>
  <c r="AN39" i="1" s="1"/>
  <c r="Z39" i="1"/>
  <c r="AB39" i="1"/>
  <c r="AL74" i="1"/>
  <c r="AN74" i="1" s="1"/>
  <c r="Z74" i="1"/>
  <c r="AB74" i="1"/>
  <c r="AJ74" i="1" s="1"/>
  <c r="AK74" i="1" s="1"/>
  <c r="AL650" i="1"/>
  <c r="AN650" i="1" s="1"/>
  <c r="Z650" i="1"/>
  <c r="AB650" i="1"/>
  <c r="AJ650" i="1" s="1"/>
  <c r="AK650" i="1" s="1"/>
  <c r="AL909" i="1"/>
  <c r="AN909" i="1" s="1"/>
  <c r="Z909" i="1"/>
  <c r="AB909" i="1"/>
  <c r="AJ909" i="1" s="1"/>
  <c r="AK909" i="1" s="1"/>
  <c r="AL746" i="1"/>
  <c r="AN746" i="1" s="1"/>
  <c r="Z746" i="1"/>
  <c r="AB746" i="1"/>
  <c r="AJ746" i="1" s="1"/>
  <c r="AK746" i="1" s="1"/>
  <c r="AL412" i="1"/>
  <c r="AN412" i="1" s="1"/>
  <c r="Z412" i="1"/>
  <c r="AB412" i="1"/>
  <c r="AJ412" i="1" s="1"/>
  <c r="AK412" i="1" s="1"/>
  <c r="AL842" i="1"/>
  <c r="AN842" i="1" s="1"/>
  <c r="AB842" i="1"/>
  <c r="AJ842" i="1" s="1"/>
  <c r="AK842" i="1" s="1"/>
  <c r="Z842" i="1"/>
  <c r="AL998" i="1"/>
  <c r="AN998" i="1" s="1"/>
  <c r="AB998" i="1"/>
  <c r="AJ998" i="1" s="1"/>
  <c r="AK998" i="1" s="1"/>
  <c r="Z998" i="1"/>
  <c r="AL25" i="1"/>
  <c r="AN25" i="1" s="1"/>
  <c r="Z25" i="1"/>
  <c r="AB25" i="1"/>
  <c r="AJ25" i="1" s="1"/>
  <c r="AK25" i="1" s="1"/>
  <c r="AL469" i="1"/>
  <c r="AN469" i="1" s="1"/>
  <c r="Z469" i="1"/>
  <c r="AB469" i="1"/>
  <c r="AJ469" i="1" s="1"/>
  <c r="AL877" i="1"/>
  <c r="AN877" i="1" s="1"/>
  <c r="AB877" i="1"/>
  <c r="AJ877" i="1" s="1"/>
  <c r="Z877" i="1"/>
  <c r="AL792" i="1"/>
  <c r="AN792" i="1" s="1"/>
  <c r="Z792" i="1"/>
  <c r="AB792" i="1"/>
  <c r="AJ792" i="1" s="1"/>
  <c r="AL600" i="1"/>
  <c r="AN600" i="1" s="1"/>
  <c r="Z600" i="1"/>
  <c r="AB600" i="1"/>
  <c r="AJ600" i="1" s="1"/>
  <c r="AK600" i="1" s="1"/>
  <c r="AL480" i="1"/>
  <c r="AN480" i="1" s="1"/>
  <c r="Z480" i="1"/>
  <c r="AB480" i="1"/>
  <c r="AJ480" i="1" s="1"/>
  <c r="AK480" i="1" s="1"/>
  <c r="AL348" i="1"/>
  <c r="AN348" i="1" s="1"/>
  <c r="Z348" i="1"/>
  <c r="AB348" i="1"/>
  <c r="AL204" i="1"/>
  <c r="AN204" i="1" s="1"/>
  <c r="Z204" i="1"/>
  <c r="AB204" i="1"/>
  <c r="AJ204" i="1" s="1"/>
  <c r="AK204" i="1" s="1"/>
  <c r="AL36" i="1"/>
  <c r="AN36" i="1" s="1"/>
  <c r="Z36" i="1"/>
  <c r="AB36" i="1"/>
  <c r="AJ36" i="1" s="1"/>
  <c r="AK36" i="1" s="1"/>
  <c r="AL134" i="1"/>
  <c r="AN134" i="1" s="1"/>
  <c r="Z134" i="1"/>
  <c r="AB134" i="1"/>
  <c r="AJ134" i="1" s="1"/>
  <c r="AK134" i="1" s="1"/>
  <c r="AL822" i="1"/>
  <c r="AN822" i="1" s="1"/>
  <c r="AB822" i="1"/>
  <c r="AJ822" i="1" s="1"/>
  <c r="AK822" i="1" s="1"/>
  <c r="Z822" i="1"/>
  <c r="AL967" i="1"/>
  <c r="AN967" i="1" s="1"/>
  <c r="AB967" i="1"/>
  <c r="AJ967" i="1" s="1"/>
  <c r="AK967" i="1" s="1"/>
  <c r="Z967" i="1"/>
  <c r="AL527" i="1"/>
  <c r="AN527" i="1" s="1"/>
  <c r="Z527" i="1"/>
  <c r="AB527" i="1"/>
  <c r="AJ527" i="1" s="1"/>
  <c r="AK527" i="1" s="1"/>
  <c r="AL407" i="1"/>
  <c r="AN407" i="1" s="1"/>
  <c r="Z407" i="1"/>
  <c r="AB407" i="1"/>
  <c r="AJ407" i="1" s="1"/>
  <c r="AK407" i="1" s="1"/>
  <c r="AL275" i="1"/>
  <c r="AN275" i="1" s="1"/>
  <c r="AV275" i="1" s="1"/>
  <c r="BA275" i="1" s="1"/>
  <c r="Z275" i="1"/>
  <c r="AB275" i="1"/>
  <c r="AJ275" i="1" s="1"/>
  <c r="AK275" i="1" s="1"/>
  <c r="AL23" i="1"/>
  <c r="AN23" i="1" s="1"/>
  <c r="Z23" i="1"/>
  <c r="AB23" i="1"/>
  <c r="AJ23" i="1" s="1"/>
  <c r="AK23" i="1" s="1"/>
  <c r="AL328" i="1"/>
  <c r="AN328" i="1" s="1"/>
  <c r="Z328" i="1"/>
  <c r="AB328" i="1"/>
  <c r="AJ328" i="1" s="1"/>
  <c r="AK328" i="1" s="1"/>
  <c r="AL834" i="1"/>
  <c r="AN834" i="1" s="1"/>
  <c r="Z834" i="1"/>
  <c r="AB834" i="1"/>
  <c r="AJ834" i="1" s="1"/>
  <c r="AK834" i="1" s="1"/>
  <c r="AL979" i="1"/>
  <c r="AN979" i="1" s="1"/>
  <c r="AB979" i="1"/>
  <c r="AJ979" i="1" s="1"/>
  <c r="AK979" i="1" s="1"/>
  <c r="Z979" i="1"/>
  <c r="AL634" i="1"/>
  <c r="AN634" i="1" s="1"/>
  <c r="Z634" i="1"/>
  <c r="AB634" i="1"/>
  <c r="AJ634" i="1" s="1"/>
  <c r="AK634" i="1" s="1"/>
  <c r="AL514" i="1"/>
  <c r="AN514" i="1" s="1"/>
  <c r="Z514" i="1"/>
  <c r="AB514" i="1"/>
  <c r="AJ514" i="1" s="1"/>
  <c r="AK514" i="1" s="1"/>
  <c r="AL262" i="1"/>
  <c r="AN262" i="1" s="1"/>
  <c r="Z262" i="1"/>
  <c r="AB262" i="1"/>
  <c r="AJ262" i="1" s="1"/>
  <c r="AK262" i="1" s="1"/>
  <c r="AL142" i="1"/>
  <c r="AN142" i="1" s="1"/>
  <c r="Z142" i="1"/>
  <c r="AB142" i="1"/>
  <c r="AJ142" i="1" s="1"/>
  <c r="AL22" i="1"/>
  <c r="AN22" i="1" s="1"/>
  <c r="Z22" i="1"/>
  <c r="AB22" i="1"/>
  <c r="AJ22" i="1" s="1"/>
  <c r="AK22" i="1" s="1"/>
  <c r="AL97" i="1"/>
  <c r="AN97" i="1" s="1"/>
  <c r="Z97" i="1"/>
  <c r="AB97" i="1"/>
  <c r="AJ97" i="1" s="1"/>
  <c r="AK97" i="1" s="1"/>
  <c r="AL800" i="1"/>
  <c r="AN800" i="1" s="1"/>
  <c r="Z800" i="1"/>
  <c r="AB800" i="1"/>
  <c r="AJ800" i="1" s="1"/>
  <c r="AK800" i="1" s="1"/>
  <c r="AL958" i="1"/>
  <c r="AN958" i="1" s="1"/>
  <c r="AV958" i="1" s="1"/>
  <c r="BA958" i="1" s="1"/>
  <c r="Z958" i="1"/>
  <c r="AB958" i="1"/>
  <c r="AJ958" i="1" s="1"/>
  <c r="AK958" i="1" s="1"/>
  <c r="AL549" i="1"/>
  <c r="AN549" i="1" s="1"/>
  <c r="Z549" i="1"/>
  <c r="AB549" i="1"/>
  <c r="AJ549" i="1" s="1"/>
  <c r="AK549" i="1" s="1"/>
  <c r="AL417" i="1"/>
  <c r="AN417" i="1" s="1"/>
  <c r="Z417" i="1"/>
  <c r="AB417" i="1"/>
  <c r="AJ417" i="1" s="1"/>
  <c r="AL297" i="1"/>
  <c r="AN297" i="1" s="1"/>
  <c r="Z297" i="1"/>
  <c r="AB297" i="1"/>
  <c r="AJ297" i="1" s="1"/>
  <c r="AK297" i="1" s="1"/>
  <c r="AL45" i="1"/>
  <c r="AN45" i="1" s="1"/>
  <c r="Z45" i="1"/>
  <c r="AB45" i="1"/>
  <c r="AJ45" i="1" s="1"/>
  <c r="AK45" i="1" s="1"/>
  <c r="AL98" i="1"/>
  <c r="AN98" i="1" s="1"/>
  <c r="Z98" i="1"/>
  <c r="AB98" i="1"/>
  <c r="AJ98" i="1" s="1"/>
  <c r="AL673" i="1"/>
  <c r="AN673" i="1" s="1"/>
  <c r="AB673" i="1"/>
  <c r="AJ673" i="1" s="1"/>
  <c r="Z673" i="1"/>
  <c r="AL925" i="1"/>
  <c r="AN925" i="1" s="1"/>
  <c r="AB925" i="1"/>
  <c r="AJ925" i="1" s="1"/>
  <c r="Z925" i="1"/>
  <c r="AL692" i="1"/>
  <c r="AN692" i="1" s="1"/>
  <c r="Z692" i="1"/>
  <c r="AB692" i="1"/>
  <c r="AJ692" i="1" s="1"/>
  <c r="AL572" i="1"/>
  <c r="AN572" i="1" s="1"/>
  <c r="Z572" i="1"/>
  <c r="AB572" i="1"/>
  <c r="AJ572" i="1" s="1"/>
  <c r="AK572" i="1" s="1"/>
  <c r="AL440" i="1"/>
  <c r="AN440" i="1" s="1"/>
  <c r="Z440" i="1"/>
  <c r="AB440" i="1"/>
  <c r="AJ440" i="1" s="1"/>
  <c r="AL320" i="1"/>
  <c r="AN320" i="1" s="1"/>
  <c r="Z320" i="1"/>
  <c r="AB320" i="1"/>
  <c r="AJ320" i="1" s="1"/>
  <c r="AK320" i="1" s="1"/>
  <c r="AL200" i="1"/>
  <c r="AN200" i="1" s="1"/>
  <c r="Z200" i="1"/>
  <c r="AB200" i="1"/>
  <c r="AJ200" i="1" s="1"/>
  <c r="AK200" i="1" s="1"/>
  <c r="AL41" i="1"/>
  <c r="AN41" i="1" s="1"/>
  <c r="Z41" i="1"/>
  <c r="AB41" i="1"/>
  <c r="AJ41" i="1" s="1"/>
  <c r="AK41" i="1" s="1"/>
  <c r="AL580" i="1"/>
  <c r="AN580" i="1" s="1"/>
  <c r="Z580" i="1"/>
  <c r="AB580" i="1"/>
  <c r="AJ580" i="1" s="1"/>
  <c r="AK580" i="1" s="1"/>
  <c r="AL893" i="1"/>
  <c r="AN893" i="1" s="1"/>
  <c r="Z893" i="1"/>
  <c r="AB893" i="1"/>
  <c r="AJ893" i="1" s="1"/>
  <c r="AK893" i="1" s="1"/>
  <c r="AL715" i="1"/>
  <c r="AN715" i="1" s="1"/>
  <c r="Z715" i="1"/>
  <c r="AB715" i="1"/>
  <c r="AL571" i="1"/>
  <c r="AN571" i="1" s="1"/>
  <c r="Z571" i="1"/>
  <c r="AB571" i="1"/>
  <c r="AJ571" i="1" s="1"/>
  <c r="AK571" i="1" s="1"/>
  <c r="AL427" i="1"/>
  <c r="AN427" i="1" s="1"/>
  <c r="Z427" i="1"/>
  <c r="AB427" i="1"/>
  <c r="AJ427" i="1" s="1"/>
  <c r="AK427" i="1" s="1"/>
  <c r="AL283" i="1"/>
  <c r="AN283" i="1" s="1"/>
  <c r="Z283" i="1"/>
  <c r="AB283" i="1"/>
  <c r="AJ283" i="1" s="1"/>
  <c r="AK283" i="1" s="1"/>
  <c r="AL139" i="1"/>
  <c r="AN139" i="1" s="1"/>
  <c r="Z139" i="1"/>
  <c r="AB139" i="1"/>
  <c r="AJ139" i="1" s="1"/>
  <c r="AK139" i="1" s="1"/>
  <c r="AL653" i="1"/>
  <c r="AN653" i="1" s="1"/>
  <c r="Z653" i="1"/>
  <c r="AB653" i="1"/>
  <c r="AJ653" i="1" s="1"/>
  <c r="AK653" i="1" s="1"/>
  <c r="AL445" i="1"/>
  <c r="AN445" i="1" s="1"/>
  <c r="AB445" i="1"/>
  <c r="AJ445" i="1" s="1"/>
  <c r="AK445" i="1" s="1"/>
  <c r="Z445" i="1"/>
  <c r="AL860" i="1"/>
  <c r="AN860" i="1" s="1"/>
  <c r="Z860" i="1"/>
  <c r="AB860" i="1"/>
  <c r="AJ860" i="1" s="1"/>
  <c r="AK860" i="1" s="1"/>
  <c r="AL1005" i="1"/>
  <c r="AN1005" i="1" s="1"/>
  <c r="Z1005" i="1"/>
  <c r="AB1005" i="1"/>
  <c r="AJ1005" i="1" s="1"/>
  <c r="AK1005" i="1" s="1"/>
  <c r="AL666" i="1"/>
  <c r="AN666" i="1" s="1"/>
  <c r="Z666" i="1"/>
  <c r="AB666" i="1"/>
  <c r="AJ666" i="1" s="1"/>
  <c r="AK666" i="1" s="1"/>
  <c r="AL414" i="1"/>
  <c r="AN414" i="1" s="1"/>
  <c r="Z414" i="1"/>
  <c r="AB414" i="1"/>
  <c r="AJ414" i="1" s="1"/>
  <c r="AK414" i="1" s="1"/>
  <c r="AL282" i="1"/>
  <c r="AN282" i="1" s="1"/>
  <c r="Z282" i="1"/>
  <c r="AB282" i="1"/>
  <c r="AJ282" i="1" s="1"/>
  <c r="AL162" i="1"/>
  <c r="AN162" i="1" s="1"/>
  <c r="Z162" i="1"/>
  <c r="AB162" i="1"/>
  <c r="AJ162" i="1" s="1"/>
  <c r="AK162" i="1" s="1"/>
  <c r="AL861" i="1"/>
  <c r="AN861" i="1" s="1"/>
  <c r="Z861" i="1"/>
  <c r="AB861" i="1"/>
  <c r="AJ861" i="1" s="1"/>
  <c r="AK861" i="1" s="1"/>
  <c r="AL158" i="1"/>
  <c r="AN158" i="1" s="1"/>
  <c r="Z158" i="1"/>
  <c r="AB158" i="1"/>
  <c r="AJ158" i="1" s="1"/>
  <c r="AK158" i="1" s="1"/>
  <c r="AL398" i="1"/>
  <c r="AN398" i="1" s="1"/>
  <c r="Z398" i="1"/>
  <c r="AB398" i="1"/>
  <c r="AJ398" i="1" s="1"/>
  <c r="AK398" i="1" s="1"/>
  <c r="AL518" i="1"/>
  <c r="AN518" i="1" s="1"/>
  <c r="Z518" i="1"/>
  <c r="AB518" i="1"/>
  <c r="AJ518" i="1" s="1"/>
  <c r="AK518" i="1" s="1"/>
  <c r="AL277" i="1"/>
  <c r="AN277" i="1" s="1"/>
  <c r="Z277" i="1"/>
  <c r="AB277" i="1"/>
  <c r="AJ277" i="1" s="1"/>
  <c r="AK277" i="1" s="1"/>
  <c r="AL400" i="1"/>
  <c r="AN400" i="1" s="1"/>
  <c r="Z400" i="1"/>
  <c r="AB400" i="1"/>
  <c r="AJ400" i="1" s="1"/>
  <c r="AK400" i="1" s="1"/>
  <c r="AL874" i="1"/>
  <c r="AN874" i="1" s="1"/>
  <c r="Z874" i="1"/>
  <c r="AB874" i="1"/>
  <c r="AJ874" i="1" s="1"/>
  <c r="AK874" i="1" s="1"/>
  <c r="AL1007" i="1"/>
  <c r="AN1007" i="1" s="1"/>
  <c r="AB1007" i="1"/>
  <c r="Z1007" i="1"/>
  <c r="AL688" i="1"/>
  <c r="AN688" i="1" s="1"/>
  <c r="Z688" i="1"/>
  <c r="AB688" i="1"/>
  <c r="AJ688" i="1" s="1"/>
  <c r="AK688" i="1" s="1"/>
  <c r="AL553" i="1"/>
  <c r="AN553" i="1" s="1"/>
  <c r="AB553" i="1"/>
  <c r="AJ553" i="1" s="1"/>
  <c r="AK553" i="1" s="1"/>
  <c r="Z553" i="1"/>
  <c r="AL886" i="1"/>
  <c r="AN886" i="1" s="1"/>
  <c r="Z886" i="1"/>
  <c r="AB886" i="1"/>
  <c r="AJ886" i="1" s="1"/>
  <c r="AK886" i="1" s="1"/>
  <c r="AL783" i="1"/>
  <c r="AN783" i="1" s="1"/>
  <c r="Z783" i="1"/>
  <c r="AB783" i="1"/>
  <c r="AJ783" i="1" s="1"/>
  <c r="AK783" i="1" s="1"/>
  <c r="AL651" i="1"/>
  <c r="AN651" i="1" s="1"/>
  <c r="Z651" i="1"/>
  <c r="AB651" i="1"/>
  <c r="AJ651" i="1" s="1"/>
  <c r="AK651" i="1" s="1"/>
  <c r="AL531" i="1"/>
  <c r="AN531" i="1" s="1"/>
  <c r="Z531" i="1"/>
  <c r="AB531" i="1"/>
  <c r="AJ531" i="1" s="1"/>
  <c r="AK531" i="1" s="1"/>
  <c r="AL399" i="1"/>
  <c r="AN399" i="1" s="1"/>
  <c r="Z399" i="1"/>
  <c r="AB399" i="1"/>
  <c r="AL279" i="1"/>
  <c r="AN279" i="1" s="1"/>
  <c r="Z279" i="1"/>
  <c r="AB279" i="1"/>
  <c r="AJ279" i="1" s="1"/>
  <c r="AK279" i="1" s="1"/>
  <c r="AL159" i="1"/>
  <c r="AN159" i="1" s="1"/>
  <c r="Z159" i="1"/>
  <c r="AB159" i="1"/>
  <c r="AJ159" i="1" s="1"/>
  <c r="AK159" i="1" s="1"/>
  <c r="AJ39" i="1"/>
  <c r="AK39" i="1" s="1"/>
  <c r="AL122" i="1"/>
  <c r="AN122" i="1" s="1"/>
  <c r="Z122" i="1"/>
  <c r="AB122" i="1"/>
  <c r="AJ122" i="1" s="1"/>
  <c r="AK122" i="1" s="1"/>
  <c r="AL696" i="1"/>
  <c r="AN696" i="1" s="1"/>
  <c r="Z696" i="1"/>
  <c r="AB696" i="1"/>
  <c r="AJ696" i="1" s="1"/>
  <c r="AK696" i="1" s="1"/>
  <c r="AL920" i="1"/>
  <c r="AN920" i="1" s="1"/>
  <c r="AV920" i="1" s="1"/>
  <c r="BA920" i="1" s="1"/>
  <c r="Z920" i="1"/>
  <c r="AB920" i="1"/>
  <c r="AJ920" i="1" s="1"/>
  <c r="AK920" i="1" s="1"/>
  <c r="AL734" i="1"/>
  <c r="AN734" i="1" s="1"/>
  <c r="Z734" i="1"/>
  <c r="AB734" i="1"/>
  <c r="AJ734" i="1" s="1"/>
  <c r="AL377" i="1"/>
  <c r="AN377" i="1" s="1"/>
  <c r="Z377" i="1"/>
  <c r="AB377" i="1"/>
  <c r="AJ377" i="1" s="1"/>
  <c r="AK377" i="1" s="1"/>
  <c r="AL460" i="1"/>
  <c r="AN460" i="1" s="1"/>
  <c r="Z460" i="1"/>
  <c r="AB460" i="1"/>
  <c r="AJ460" i="1" s="1"/>
  <c r="AK460" i="1" s="1"/>
  <c r="AL853" i="1"/>
  <c r="AN853" i="1" s="1"/>
  <c r="Z853" i="1"/>
  <c r="AB853" i="1"/>
  <c r="AJ853" i="1" s="1"/>
  <c r="AK853" i="1" s="1"/>
  <c r="AL3" i="1"/>
  <c r="AN3" i="1" s="1"/>
  <c r="Z3" i="1"/>
  <c r="AB3" i="1" s="1"/>
  <c r="AJ3" i="1" s="1"/>
  <c r="AL581" i="1"/>
  <c r="AN581" i="1" s="1"/>
  <c r="Z581" i="1"/>
  <c r="AB581" i="1"/>
  <c r="AJ581" i="1" s="1"/>
  <c r="AK581" i="1" s="1"/>
  <c r="AL517" i="1"/>
  <c r="AN517" i="1" s="1"/>
  <c r="AB517" i="1"/>
  <c r="AJ517" i="1" s="1"/>
  <c r="AK517" i="1" s="1"/>
  <c r="Z517" i="1"/>
  <c r="AL888" i="1"/>
  <c r="AN888" i="1" s="1"/>
  <c r="Z888" i="1"/>
  <c r="AB888" i="1"/>
  <c r="AJ888" i="1" s="1"/>
  <c r="AK888" i="1" s="1"/>
  <c r="AL780" i="1"/>
  <c r="AN780" i="1" s="1"/>
  <c r="Z780" i="1"/>
  <c r="AB780" i="1"/>
  <c r="AJ780" i="1" s="1"/>
  <c r="AK780" i="1" s="1"/>
  <c r="AL588" i="1"/>
  <c r="AN588" i="1" s="1"/>
  <c r="Z588" i="1"/>
  <c r="AB588" i="1"/>
  <c r="AJ588" i="1" s="1"/>
  <c r="AL468" i="1"/>
  <c r="AN468" i="1" s="1"/>
  <c r="Z468" i="1"/>
  <c r="AB468" i="1"/>
  <c r="AJ468" i="1" s="1"/>
  <c r="AK468" i="1" s="1"/>
  <c r="AJ348" i="1"/>
  <c r="AK348" i="1" s="1"/>
  <c r="AL180" i="1"/>
  <c r="AN180" i="1" s="1"/>
  <c r="Z180" i="1"/>
  <c r="AB180" i="1"/>
  <c r="AJ180" i="1" s="1"/>
  <c r="AL24" i="1"/>
  <c r="AN24" i="1" s="1"/>
  <c r="Z24" i="1"/>
  <c r="AB24" i="1"/>
  <c r="AL182" i="1"/>
  <c r="AN182" i="1" s="1"/>
  <c r="Z182" i="1"/>
  <c r="AB182" i="1"/>
  <c r="AJ182" i="1" s="1"/>
  <c r="AK182" i="1" s="1"/>
  <c r="AL833" i="1"/>
  <c r="AN833" i="1" s="1"/>
  <c r="Z833" i="1"/>
  <c r="AB833" i="1"/>
  <c r="AJ833" i="1" s="1"/>
  <c r="AK833" i="1" s="1"/>
  <c r="AL978" i="1"/>
  <c r="AN978" i="1" s="1"/>
  <c r="AB978" i="1"/>
  <c r="AJ978" i="1" s="1"/>
  <c r="AK978" i="1" s="1"/>
  <c r="Z978" i="1"/>
  <c r="AL647" i="1"/>
  <c r="AN647" i="1" s="1"/>
  <c r="Z647" i="1"/>
  <c r="AB647" i="1"/>
  <c r="AJ647" i="1" s="1"/>
  <c r="AK647" i="1" s="1"/>
  <c r="AL515" i="1"/>
  <c r="AN515" i="1" s="1"/>
  <c r="Z515" i="1"/>
  <c r="AB515" i="1"/>
  <c r="AL395" i="1"/>
  <c r="AN395" i="1" s="1"/>
  <c r="Z395" i="1"/>
  <c r="AB395" i="1"/>
  <c r="AJ395" i="1" s="1"/>
  <c r="AL263" i="1"/>
  <c r="AN263" i="1" s="1"/>
  <c r="Z263" i="1"/>
  <c r="AB263" i="1"/>
  <c r="AJ263" i="1" s="1"/>
  <c r="AK263" i="1" s="1"/>
  <c r="AL143" i="1"/>
  <c r="AN143" i="1" s="1"/>
  <c r="Z143" i="1"/>
  <c r="AB143" i="1"/>
  <c r="AJ143" i="1" s="1"/>
  <c r="AK143" i="1" s="1"/>
  <c r="AL7" i="1"/>
  <c r="AN7" i="1" s="1"/>
  <c r="Z7" i="1"/>
  <c r="AB7" i="1"/>
  <c r="AL376" i="1"/>
  <c r="AN376" i="1" s="1"/>
  <c r="Z376" i="1"/>
  <c r="AB376" i="1"/>
  <c r="AJ376" i="1" s="1"/>
  <c r="AK376" i="1" s="1"/>
  <c r="AL845" i="1"/>
  <c r="AN845" i="1" s="1"/>
  <c r="AV845" i="1" s="1"/>
  <c r="BA845" i="1" s="1"/>
  <c r="Z845" i="1"/>
  <c r="AB845" i="1"/>
  <c r="AJ845" i="1" s="1"/>
  <c r="AK845" i="1" s="1"/>
  <c r="AL990" i="1"/>
  <c r="AN990" i="1" s="1"/>
  <c r="Z990" i="1"/>
  <c r="AB990" i="1"/>
  <c r="AJ990" i="1" s="1"/>
  <c r="AK990" i="1" s="1"/>
  <c r="AL622" i="1"/>
  <c r="AN622" i="1" s="1"/>
  <c r="Z622" i="1"/>
  <c r="AB622" i="1"/>
  <c r="AJ622" i="1" s="1"/>
  <c r="AK622" i="1" s="1"/>
  <c r="AL502" i="1"/>
  <c r="AN502" i="1" s="1"/>
  <c r="Z502" i="1"/>
  <c r="AB502" i="1"/>
  <c r="AJ502" i="1" s="1"/>
  <c r="AL382" i="1"/>
  <c r="AN382" i="1" s="1"/>
  <c r="AV382" i="1" s="1"/>
  <c r="BA382" i="1" s="1"/>
  <c r="Z382" i="1"/>
  <c r="AB382" i="1"/>
  <c r="AJ382" i="1" s="1"/>
  <c r="AK382" i="1" s="1"/>
  <c r="AL250" i="1"/>
  <c r="AN250" i="1" s="1"/>
  <c r="Z250" i="1"/>
  <c r="AB250" i="1"/>
  <c r="AL130" i="1"/>
  <c r="AN130" i="1" s="1"/>
  <c r="Z130" i="1"/>
  <c r="AB130" i="1"/>
  <c r="AJ130" i="1" s="1"/>
  <c r="AK130" i="1" s="1"/>
  <c r="AL8" i="1"/>
  <c r="AN8" i="1" s="1"/>
  <c r="Z8" i="1"/>
  <c r="AB8" i="1"/>
  <c r="AJ8" i="1" s="1"/>
  <c r="AK8" i="1" s="1"/>
  <c r="AL145" i="1"/>
  <c r="AN145" i="1" s="1"/>
  <c r="Z145" i="1"/>
  <c r="AB145" i="1"/>
  <c r="AJ145" i="1" s="1"/>
  <c r="AL813" i="1"/>
  <c r="AN813" i="1" s="1"/>
  <c r="Z813" i="1"/>
  <c r="AB813" i="1"/>
  <c r="AL969" i="1"/>
  <c r="AN969" i="1" s="1"/>
  <c r="Z969" i="1"/>
  <c r="AB969" i="1"/>
  <c r="AL669" i="1"/>
  <c r="AN669" i="1" s="1"/>
  <c r="Z669" i="1"/>
  <c r="AB669" i="1"/>
  <c r="AJ669" i="1" s="1"/>
  <c r="AK669" i="1" s="1"/>
  <c r="AL537" i="1"/>
  <c r="AN537" i="1" s="1"/>
  <c r="Z537" i="1"/>
  <c r="AB537" i="1"/>
  <c r="AJ537" i="1" s="1"/>
  <c r="AK537" i="1" s="1"/>
  <c r="AL405" i="1"/>
  <c r="AN405" i="1" s="1"/>
  <c r="Z405" i="1"/>
  <c r="AB405" i="1"/>
  <c r="AJ405" i="1" s="1"/>
  <c r="AK405" i="1" s="1"/>
  <c r="AL285" i="1"/>
  <c r="AN285" i="1" s="1"/>
  <c r="Z285" i="1"/>
  <c r="AB285" i="1"/>
  <c r="AJ285" i="1" s="1"/>
  <c r="AK285" i="1" s="1"/>
  <c r="Z165" i="1"/>
  <c r="AL165" i="1"/>
  <c r="AN165" i="1" s="1"/>
  <c r="AB165" i="1"/>
  <c r="AJ165" i="1" s="1"/>
  <c r="AK165" i="1" s="1"/>
  <c r="AL33" i="1"/>
  <c r="AN33" i="1" s="1"/>
  <c r="Z33" i="1"/>
  <c r="AB33" i="1"/>
  <c r="AJ33" i="1" s="1"/>
  <c r="AL146" i="1"/>
  <c r="AN146" i="1" s="1"/>
  <c r="Z146" i="1"/>
  <c r="AB146" i="1"/>
  <c r="AJ146" i="1" s="1"/>
  <c r="AK146" i="1" s="1"/>
  <c r="AL764" i="1"/>
  <c r="AN764" i="1" s="1"/>
  <c r="Z764" i="1"/>
  <c r="AB764" i="1"/>
  <c r="AJ764" i="1" s="1"/>
  <c r="AL936" i="1"/>
  <c r="AN936" i="1" s="1"/>
  <c r="AB936" i="1"/>
  <c r="AJ936" i="1" s="1"/>
  <c r="AK936" i="1" s="1"/>
  <c r="Z936" i="1"/>
  <c r="AL680" i="1"/>
  <c r="AN680" i="1" s="1"/>
  <c r="Z680" i="1"/>
  <c r="AB680" i="1"/>
  <c r="AL560" i="1"/>
  <c r="AN560" i="1" s="1"/>
  <c r="Z560" i="1"/>
  <c r="AB560" i="1"/>
  <c r="AJ560" i="1" s="1"/>
  <c r="AK560" i="1" s="1"/>
  <c r="AL308" i="1"/>
  <c r="AN308" i="1" s="1"/>
  <c r="Z308" i="1"/>
  <c r="AB308" i="1"/>
  <c r="AJ308" i="1" s="1"/>
  <c r="AK308" i="1" s="1"/>
  <c r="AL188" i="1"/>
  <c r="AN188" i="1" s="1"/>
  <c r="Z188" i="1"/>
  <c r="AB188" i="1"/>
  <c r="AJ188" i="1" s="1"/>
  <c r="AL68" i="1"/>
  <c r="AN68" i="1" s="1"/>
  <c r="Z68" i="1"/>
  <c r="AB68" i="1"/>
  <c r="AJ68" i="1" s="1"/>
  <c r="AK68" i="1" s="1"/>
  <c r="AL50" i="1"/>
  <c r="AN50" i="1" s="1"/>
  <c r="Z50" i="1"/>
  <c r="AB50" i="1"/>
  <c r="AJ50" i="1" s="1"/>
  <c r="AK50" i="1" s="1"/>
  <c r="AL628" i="1"/>
  <c r="AN628" i="1" s="1"/>
  <c r="Z628" i="1"/>
  <c r="AB628" i="1"/>
  <c r="AJ628" i="1" s="1"/>
  <c r="AK628" i="1" s="1"/>
  <c r="AL904" i="1"/>
  <c r="AN904" i="1" s="1"/>
  <c r="Z904" i="1"/>
  <c r="AB904" i="1"/>
  <c r="AJ904" i="1" s="1"/>
  <c r="AK904" i="1" s="1"/>
  <c r="AL703" i="1"/>
  <c r="AN703" i="1" s="1"/>
  <c r="AB703" i="1"/>
  <c r="AJ703" i="1" s="1"/>
  <c r="Z703" i="1"/>
  <c r="AL559" i="1"/>
  <c r="AN559" i="1" s="1"/>
  <c r="AB559" i="1"/>
  <c r="AJ559" i="1" s="1"/>
  <c r="Z559" i="1"/>
  <c r="AL415" i="1"/>
  <c r="AN415" i="1" s="1"/>
  <c r="Z415" i="1"/>
  <c r="AB415" i="1"/>
  <c r="AL271" i="1"/>
  <c r="AN271" i="1" s="1"/>
  <c r="Z271" i="1"/>
  <c r="AB271" i="1"/>
  <c r="AJ271" i="1" s="1"/>
  <c r="AK271" i="1" s="1"/>
  <c r="AL127" i="1"/>
  <c r="AN127" i="1" s="1"/>
  <c r="Z127" i="1"/>
  <c r="AB127" i="1"/>
  <c r="AL473" i="1"/>
  <c r="AN473" i="1" s="1"/>
  <c r="Z473" i="1"/>
  <c r="AB473" i="1"/>
  <c r="AJ473" i="1" s="1"/>
  <c r="AK473" i="1" s="1"/>
  <c r="AL493" i="1"/>
  <c r="AN493" i="1" s="1"/>
  <c r="AB493" i="1"/>
  <c r="AJ493" i="1" s="1"/>
  <c r="AK493" i="1" s="1"/>
  <c r="Z493" i="1"/>
  <c r="AL872" i="1"/>
  <c r="AN872" i="1" s="1"/>
  <c r="AB872" i="1"/>
  <c r="AJ872" i="1" s="1"/>
  <c r="Z872" i="1"/>
  <c r="AL774" i="1"/>
  <c r="AN774" i="1" s="1"/>
  <c r="Z774" i="1"/>
  <c r="AB774" i="1"/>
  <c r="AJ774" i="1" s="1"/>
  <c r="AK774" i="1" s="1"/>
  <c r="AL654" i="1"/>
  <c r="AN654" i="1" s="1"/>
  <c r="Z654" i="1"/>
  <c r="AB654" i="1"/>
  <c r="AJ654" i="1" s="1"/>
  <c r="AK654" i="1" s="1"/>
  <c r="AL534" i="1"/>
  <c r="AN534" i="1" s="1"/>
  <c r="AV534" i="1" s="1"/>
  <c r="BA534" i="1" s="1"/>
  <c r="Z534" i="1"/>
  <c r="AB534" i="1"/>
  <c r="AJ534" i="1" s="1"/>
  <c r="AK534" i="1" s="1"/>
  <c r="AL402" i="1"/>
  <c r="AN402" i="1" s="1"/>
  <c r="Z402" i="1"/>
  <c r="AB402" i="1"/>
  <c r="AJ402" i="1" s="1"/>
  <c r="AK402" i="1" s="1"/>
  <c r="AL270" i="1"/>
  <c r="AN270" i="1" s="1"/>
  <c r="Z270" i="1"/>
  <c r="AB270" i="1"/>
  <c r="AJ270" i="1" s="1"/>
  <c r="AK270" i="1" s="1"/>
  <c r="AL150" i="1"/>
  <c r="AN150" i="1" s="1"/>
  <c r="Z150" i="1"/>
  <c r="AB150" i="1"/>
  <c r="AJ150" i="1" s="1"/>
  <c r="AK150" i="1" s="1"/>
  <c r="AL30" i="1"/>
  <c r="AN30" i="1" s="1"/>
  <c r="AV30" i="1" s="1"/>
  <c r="BA30" i="1" s="1"/>
  <c r="Z30" i="1"/>
  <c r="AB30" i="1"/>
  <c r="AJ30" i="1" s="1"/>
  <c r="AK30" i="1" s="1"/>
  <c r="AL1006" i="1"/>
  <c r="AN1006" i="1" s="1"/>
  <c r="AB1006" i="1"/>
  <c r="AJ1006" i="1" s="1"/>
  <c r="Z1006" i="1"/>
  <c r="AL730" i="1"/>
  <c r="AN730" i="1" s="1"/>
  <c r="Z730" i="1"/>
  <c r="AB730" i="1"/>
  <c r="AJ730" i="1" s="1"/>
  <c r="AL448" i="1"/>
  <c r="AN448" i="1" s="1"/>
  <c r="Z448" i="1"/>
  <c r="AB448" i="1"/>
  <c r="AJ448" i="1" s="1"/>
  <c r="AL885" i="1"/>
  <c r="AN885" i="1" s="1"/>
  <c r="Z885" i="1"/>
  <c r="AB885" i="1"/>
  <c r="AJ885" i="1" s="1"/>
  <c r="AK885" i="1" s="1"/>
  <c r="AL796" i="1"/>
  <c r="AN796" i="1" s="1"/>
  <c r="Z796" i="1"/>
  <c r="AB796" i="1"/>
  <c r="AJ796" i="1" s="1"/>
  <c r="AK796" i="1" s="1"/>
  <c r="AL676" i="1"/>
  <c r="AN676" i="1" s="1"/>
  <c r="Z676" i="1"/>
  <c r="AB676" i="1"/>
  <c r="AJ676" i="1" s="1"/>
  <c r="AK676" i="1" s="1"/>
  <c r="AL101" i="1"/>
  <c r="AN101" i="1" s="1"/>
  <c r="Z101" i="1"/>
  <c r="AB101" i="1"/>
  <c r="AJ101" i="1" s="1"/>
  <c r="AK101" i="1" s="1"/>
  <c r="AL601" i="1"/>
  <c r="AN601" i="1" s="1"/>
  <c r="Z601" i="1"/>
  <c r="AB601" i="1"/>
  <c r="AJ601" i="1" s="1"/>
  <c r="AK601" i="1" s="1"/>
  <c r="AL897" i="1"/>
  <c r="AN897" i="1" s="1"/>
  <c r="Z897" i="1"/>
  <c r="AB897" i="1"/>
  <c r="AJ897" i="1" s="1"/>
  <c r="AK897" i="1" s="1"/>
  <c r="AL771" i="1"/>
  <c r="AN771" i="1" s="1"/>
  <c r="Z771" i="1"/>
  <c r="AB771" i="1"/>
  <c r="AJ771" i="1" s="1"/>
  <c r="AL639" i="1"/>
  <c r="AN639" i="1" s="1"/>
  <c r="Z639" i="1"/>
  <c r="AB639" i="1"/>
  <c r="AJ639" i="1" s="1"/>
  <c r="AK639" i="1" s="1"/>
  <c r="AL519" i="1"/>
  <c r="AN519" i="1" s="1"/>
  <c r="Z519" i="1"/>
  <c r="AB519" i="1"/>
  <c r="AJ519" i="1" s="1"/>
  <c r="AK519" i="1" s="1"/>
  <c r="AJ399" i="1"/>
  <c r="AK399" i="1" s="1"/>
  <c r="AL267" i="1"/>
  <c r="AN267" i="1" s="1"/>
  <c r="AV267" i="1" s="1"/>
  <c r="BA267" i="1" s="1"/>
  <c r="Z267" i="1"/>
  <c r="AB267" i="1"/>
  <c r="AJ267" i="1" s="1"/>
  <c r="AK267" i="1" s="1"/>
  <c r="Z147" i="1"/>
  <c r="AL147" i="1"/>
  <c r="AN147" i="1" s="1"/>
  <c r="AB147" i="1"/>
  <c r="AJ147" i="1" s="1"/>
  <c r="AL27" i="1"/>
  <c r="AN27" i="1" s="1"/>
  <c r="Z27" i="1"/>
  <c r="AB27" i="1"/>
  <c r="AJ27" i="1" s="1"/>
  <c r="AK27" i="1" s="1"/>
  <c r="AL170" i="1"/>
  <c r="AN170" i="1" s="1"/>
  <c r="Z170" i="1"/>
  <c r="AB170" i="1"/>
  <c r="AJ170" i="1" s="1"/>
  <c r="AK170" i="1" s="1"/>
  <c r="AL742" i="1"/>
  <c r="AN742" i="1" s="1"/>
  <c r="Z742" i="1"/>
  <c r="AB742" i="1"/>
  <c r="AJ742" i="1" s="1"/>
  <c r="AK742" i="1" s="1"/>
  <c r="AL931" i="1"/>
  <c r="AN931" i="1" s="1"/>
  <c r="Z931" i="1"/>
  <c r="AB931" i="1"/>
  <c r="AJ931" i="1" s="1"/>
  <c r="AK931" i="1" s="1"/>
  <c r="AL722" i="1"/>
  <c r="AN722" i="1" s="1"/>
  <c r="Z722" i="1"/>
  <c r="AB722" i="1"/>
  <c r="AJ722" i="1" s="1"/>
  <c r="AK722" i="1" s="1"/>
  <c r="AL293" i="1"/>
  <c r="AN293" i="1" s="1"/>
  <c r="Z293" i="1"/>
  <c r="AB293" i="1"/>
  <c r="AJ293" i="1" s="1"/>
  <c r="AK293" i="1" s="1"/>
  <c r="AL508" i="1"/>
  <c r="AN508" i="1" s="1"/>
  <c r="Z508" i="1"/>
  <c r="AB508" i="1"/>
  <c r="AJ508" i="1" s="1"/>
  <c r="AL876" i="1"/>
  <c r="AN876" i="1" s="1"/>
  <c r="Z876" i="1"/>
  <c r="AB876" i="1"/>
  <c r="AJ876" i="1" s="1"/>
  <c r="AL413" i="1"/>
  <c r="AN413" i="1" s="1"/>
  <c r="Z413" i="1"/>
  <c r="AB413" i="1"/>
  <c r="AJ413" i="1" s="1"/>
  <c r="AK413" i="1" s="1"/>
  <c r="AL565" i="1"/>
  <c r="AN565" i="1" s="1"/>
  <c r="AB565" i="1"/>
  <c r="AJ565" i="1" s="1"/>
  <c r="AK565" i="1" s="1"/>
  <c r="Z565" i="1"/>
  <c r="AL899" i="1"/>
  <c r="AN899" i="1" s="1"/>
  <c r="Z899" i="1"/>
  <c r="AB899" i="1"/>
  <c r="AJ899" i="1" s="1"/>
  <c r="AK899" i="1" s="1"/>
  <c r="AL768" i="1"/>
  <c r="AN768" i="1" s="1"/>
  <c r="Z768" i="1"/>
  <c r="AB768" i="1"/>
  <c r="AL576" i="1"/>
  <c r="AN576" i="1" s="1"/>
  <c r="Z576" i="1"/>
  <c r="AB576" i="1"/>
  <c r="AJ576" i="1" s="1"/>
  <c r="AK576" i="1" s="1"/>
  <c r="AL456" i="1"/>
  <c r="AN456" i="1" s="1"/>
  <c r="Z456" i="1"/>
  <c r="AB456" i="1"/>
  <c r="AJ456" i="1" s="1"/>
  <c r="AK456" i="1" s="1"/>
  <c r="AL336" i="1"/>
  <c r="AN336" i="1" s="1"/>
  <c r="Z336" i="1"/>
  <c r="AB336" i="1"/>
  <c r="AJ336" i="1" s="1"/>
  <c r="AK336" i="1" s="1"/>
  <c r="AL168" i="1"/>
  <c r="AN168" i="1" s="1"/>
  <c r="Z168" i="1"/>
  <c r="AB168" i="1"/>
  <c r="AJ168" i="1" s="1"/>
  <c r="AK168" i="1" s="1"/>
  <c r="AJ24" i="1"/>
  <c r="AK24" i="1" s="1"/>
  <c r="AL230" i="1"/>
  <c r="AN230" i="1" s="1"/>
  <c r="Z230" i="1"/>
  <c r="AB230" i="1"/>
  <c r="AJ230" i="1" s="1"/>
  <c r="AL844" i="1"/>
  <c r="AN844" i="1" s="1"/>
  <c r="Z844" i="1"/>
  <c r="AB844" i="1"/>
  <c r="AJ844" i="1" s="1"/>
  <c r="AL989" i="1"/>
  <c r="AN989" i="1" s="1"/>
  <c r="Z989" i="1"/>
  <c r="AB989" i="1"/>
  <c r="AJ989" i="1" s="1"/>
  <c r="AL635" i="1"/>
  <c r="AN635" i="1" s="1"/>
  <c r="Z635" i="1"/>
  <c r="AB635" i="1"/>
  <c r="AJ635" i="1" s="1"/>
  <c r="AK635" i="1" s="1"/>
  <c r="AJ515" i="1"/>
  <c r="AK515" i="1" s="1"/>
  <c r="AL383" i="1"/>
  <c r="AN383" i="1" s="1"/>
  <c r="Z383" i="1"/>
  <c r="AB383" i="1"/>
  <c r="AJ383" i="1" s="1"/>
  <c r="AK383" i="1" s="1"/>
  <c r="AL251" i="1"/>
  <c r="AN251" i="1" s="1"/>
  <c r="Z251" i="1"/>
  <c r="AB251" i="1"/>
  <c r="AJ251" i="1" s="1"/>
  <c r="AL131" i="1"/>
  <c r="AN131" i="1" s="1"/>
  <c r="Z131" i="1"/>
  <c r="AB131" i="1"/>
  <c r="AJ131" i="1" s="1"/>
  <c r="AK131" i="1" s="1"/>
  <c r="AL593" i="1"/>
  <c r="AN593" i="1" s="1"/>
  <c r="Z593" i="1"/>
  <c r="AB593" i="1"/>
  <c r="AJ593" i="1" s="1"/>
  <c r="AK593" i="1" s="1"/>
  <c r="AL424" i="1"/>
  <c r="AN424" i="1" s="1"/>
  <c r="Z424" i="1"/>
  <c r="AB424" i="1"/>
  <c r="AJ424" i="1" s="1"/>
  <c r="AL856" i="1"/>
  <c r="AN856" i="1" s="1"/>
  <c r="AV856" i="1" s="1"/>
  <c r="BA856" i="1" s="1"/>
  <c r="Z856" i="1"/>
  <c r="AB856" i="1"/>
  <c r="AJ856" i="1" s="1"/>
  <c r="AK856" i="1" s="1"/>
  <c r="AL1001" i="1"/>
  <c r="AN1001" i="1" s="1"/>
  <c r="Z1001" i="1"/>
  <c r="AB1001" i="1"/>
  <c r="AJ1001" i="1" s="1"/>
  <c r="AL610" i="1"/>
  <c r="AN610" i="1" s="1"/>
  <c r="Z610" i="1"/>
  <c r="AB610" i="1"/>
  <c r="AL490" i="1"/>
  <c r="AN490" i="1" s="1"/>
  <c r="Z490" i="1"/>
  <c r="AB490" i="1"/>
  <c r="AJ490" i="1" s="1"/>
  <c r="AK490" i="1" s="1"/>
  <c r="AL370" i="1"/>
  <c r="AN370" i="1" s="1"/>
  <c r="Z370" i="1"/>
  <c r="AB370" i="1"/>
  <c r="AJ370" i="1" s="1"/>
  <c r="AK370" i="1" s="1"/>
  <c r="AJ250" i="1"/>
  <c r="AK250" i="1" s="1"/>
  <c r="AL118" i="1"/>
  <c r="AN118" i="1" s="1"/>
  <c r="Z118" i="1"/>
  <c r="AB118" i="1"/>
  <c r="AJ118" i="1" s="1"/>
  <c r="AK118" i="1" s="1"/>
  <c r="AL773" i="1"/>
  <c r="AN773" i="1" s="1"/>
  <c r="Z773" i="1"/>
  <c r="AB773" i="1"/>
  <c r="AJ773" i="1" s="1"/>
  <c r="AL193" i="1"/>
  <c r="AN193" i="1" s="1"/>
  <c r="Z193" i="1"/>
  <c r="AB193" i="1"/>
  <c r="AJ193" i="1" s="1"/>
  <c r="AK193" i="1" s="1"/>
  <c r="AL824" i="1"/>
  <c r="AN824" i="1" s="1"/>
  <c r="Z824" i="1"/>
  <c r="AB824" i="1"/>
  <c r="AJ824" i="1" s="1"/>
  <c r="AL980" i="1"/>
  <c r="AN980" i="1" s="1"/>
  <c r="AB980" i="1"/>
  <c r="AJ980" i="1" s="1"/>
  <c r="Z980" i="1"/>
  <c r="AL657" i="1"/>
  <c r="AN657" i="1" s="1"/>
  <c r="Z657" i="1"/>
  <c r="AB657" i="1"/>
  <c r="AJ657" i="1" s="1"/>
  <c r="AK657" i="1" s="1"/>
  <c r="AL393" i="1"/>
  <c r="AN393" i="1" s="1"/>
  <c r="Z393" i="1"/>
  <c r="AB393" i="1"/>
  <c r="AL273" i="1"/>
  <c r="AN273" i="1" s="1"/>
  <c r="Z273" i="1"/>
  <c r="AB273" i="1"/>
  <c r="AJ273" i="1" s="1"/>
  <c r="AL153" i="1"/>
  <c r="AN153" i="1" s="1"/>
  <c r="Z153" i="1"/>
  <c r="AB153" i="1"/>
  <c r="AJ153" i="1" s="1"/>
  <c r="AK153" i="1" s="1"/>
  <c r="AL194" i="1"/>
  <c r="AN194" i="1" s="1"/>
  <c r="Z194" i="1"/>
  <c r="AB194" i="1"/>
  <c r="AJ194" i="1" s="1"/>
  <c r="AK194" i="1" s="1"/>
  <c r="AL814" i="1"/>
  <c r="AN814" i="1" s="1"/>
  <c r="Z814" i="1"/>
  <c r="AB814" i="1"/>
  <c r="AJ814" i="1" s="1"/>
  <c r="AL947" i="1"/>
  <c r="AN947" i="1" s="1"/>
  <c r="Z947" i="1"/>
  <c r="AB947" i="1"/>
  <c r="AJ947" i="1" s="1"/>
  <c r="AL668" i="1"/>
  <c r="AN668" i="1" s="1"/>
  <c r="Z668" i="1"/>
  <c r="AB668" i="1"/>
  <c r="AJ668" i="1" s="1"/>
  <c r="AL548" i="1"/>
  <c r="AN548" i="1" s="1"/>
  <c r="Z548" i="1"/>
  <c r="AB548" i="1"/>
  <c r="AJ548" i="1" s="1"/>
  <c r="AL428" i="1"/>
  <c r="AN428" i="1" s="1"/>
  <c r="Z428" i="1"/>
  <c r="AB428" i="1"/>
  <c r="AJ428" i="1" s="1"/>
  <c r="AK428" i="1" s="1"/>
  <c r="AL296" i="1"/>
  <c r="AN296" i="1" s="1"/>
  <c r="Z296" i="1"/>
  <c r="AB296" i="1"/>
  <c r="AL176" i="1"/>
  <c r="AN176" i="1" s="1"/>
  <c r="Z176" i="1"/>
  <c r="AB176" i="1"/>
  <c r="AJ176" i="1" s="1"/>
  <c r="AK176" i="1" s="1"/>
  <c r="AL56" i="1"/>
  <c r="AN56" i="1" s="1"/>
  <c r="Z56" i="1"/>
  <c r="AB56" i="1"/>
  <c r="AJ56" i="1" s="1"/>
  <c r="AK56" i="1" s="1"/>
  <c r="AL100" i="1"/>
  <c r="AN100" i="1" s="1"/>
  <c r="Z100" i="1"/>
  <c r="AB100" i="1"/>
  <c r="AJ100" i="1" s="1"/>
  <c r="AL675" i="1"/>
  <c r="AN675" i="1" s="1"/>
  <c r="Z675" i="1"/>
  <c r="AB675" i="1"/>
  <c r="AJ675" i="1" s="1"/>
  <c r="AL915" i="1"/>
  <c r="AN915" i="1" s="1"/>
  <c r="Z915" i="1"/>
  <c r="AB915" i="1"/>
  <c r="AJ915" i="1" s="1"/>
  <c r="AL691" i="1"/>
  <c r="AN691" i="1" s="1"/>
  <c r="Z691" i="1"/>
  <c r="AB691" i="1"/>
  <c r="AL547" i="1"/>
  <c r="AN547" i="1" s="1"/>
  <c r="Z547" i="1"/>
  <c r="AB547" i="1"/>
  <c r="AJ547" i="1" s="1"/>
  <c r="AL403" i="1"/>
  <c r="AN403" i="1" s="1"/>
  <c r="Z403" i="1"/>
  <c r="AB403" i="1"/>
  <c r="AL259" i="1"/>
  <c r="AN259" i="1" s="1"/>
  <c r="Z259" i="1"/>
  <c r="AB259" i="1"/>
  <c r="AL115" i="1"/>
  <c r="AN115" i="1" s="1"/>
  <c r="Z115" i="1"/>
  <c r="AB115" i="1"/>
  <c r="AL305" i="1"/>
  <c r="AN305" i="1" s="1"/>
  <c r="Z305" i="1"/>
  <c r="AB305" i="1"/>
  <c r="AJ305" i="1" s="1"/>
  <c r="AK305" i="1" s="1"/>
  <c r="AL541" i="1"/>
  <c r="AN541" i="1" s="1"/>
  <c r="Z541" i="1"/>
  <c r="AB541" i="1"/>
  <c r="AJ541" i="1" s="1"/>
  <c r="AK541" i="1" s="1"/>
  <c r="AL883" i="1"/>
  <c r="AN883" i="1" s="1"/>
  <c r="AB883" i="1"/>
  <c r="AJ883" i="1" s="1"/>
  <c r="Z883" i="1"/>
  <c r="AL762" i="1"/>
  <c r="AN762" i="1" s="1"/>
  <c r="Z762" i="1"/>
  <c r="AB762" i="1"/>
  <c r="AJ762" i="1" s="1"/>
  <c r="AL642" i="1"/>
  <c r="AN642" i="1" s="1"/>
  <c r="Z642" i="1"/>
  <c r="AB642" i="1"/>
  <c r="AJ642" i="1" s="1"/>
  <c r="AL522" i="1"/>
  <c r="AN522" i="1" s="1"/>
  <c r="Z522" i="1"/>
  <c r="AB522" i="1"/>
  <c r="AJ522" i="1" s="1"/>
  <c r="AK522" i="1" s="1"/>
  <c r="AL390" i="1"/>
  <c r="AN390" i="1" s="1"/>
  <c r="Z390" i="1"/>
  <c r="AB390" i="1"/>
  <c r="AJ390" i="1" s="1"/>
  <c r="AK390" i="1" s="1"/>
  <c r="AL258" i="1"/>
  <c r="AN258" i="1" s="1"/>
  <c r="Z258" i="1"/>
  <c r="AB258" i="1"/>
  <c r="AJ258" i="1" s="1"/>
  <c r="AL138" i="1"/>
  <c r="AN138" i="1" s="1"/>
  <c r="Z138" i="1"/>
  <c r="AB138" i="1"/>
  <c r="AJ138" i="1" s="1"/>
  <c r="AK138" i="1" s="1"/>
  <c r="AL18" i="1"/>
  <c r="AN18" i="1" s="1"/>
  <c r="Z18" i="1"/>
  <c r="AB18" i="1"/>
  <c r="AJ18" i="1" s="1"/>
  <c r="AK18" i="1" s="1"/>
  <c r="AL494" i="1"/>
  <c r="AN494" i="1" s="1"/>
  <c r="Z494" i="1"/>
  <c r="AB494" i="1"/>
  <c r="AJ494" i="1" s="1"/>
  <c r="AK494" i="1" s="1"/>
  <c r="AL939" i="1"/>
  <c r="AN939" i="1" s="1"/>
  <c r="Z939" i="1"/>
  <c r="AB939" i="1"/>
  <c r="AJ939" i="1" s="1"/>
  <c r="AK939" i="1" s="1"/>
  <c r="AL326" i="1"/>
  <c r="AN326" i="1" s="1"/>
  <c r="Z326" i="1"/>
  <c r="AB326" i="1"/>
  <c r="AJ326" i="1" s="1"/>
  <c r="AK326" i="1" s="1"/>
  <c r="AL229" i="1"/>
  <c r="AN229" i="1" s="1"/>
  <c r="Z229" i="1"/>
  <c r="AB229" i="1"/>
  <c r="AJ229" i="1" s="1"/>
  <c r="AK229" i="1" s="1"/>
  <c r="AL240" i="1"/>
  <c r="AN240" i="1" s="1"/>
  <c r="Z240" i="1"/>
  <c r="AB240" i="1"/>
  <c r="AJ240" i="1" s="1"/>
  <c r="AK240" i="1" s="1"/>
  <c r="AL496" i="1"/>
  <c r="AN496" i="1" s="1"/>
  <c r="Z496" i="1"/>
  <c r="AB496" i="1"/>
  <c r="AJ496" i="1" s="1"/>
  <c r="AK496" i="1" s="1"/>
  <c r="AL896" i="1"/>
  <c r="AN896" i="1" s="1"/>
  <c r="AB896" i="1"/>
  <c r="AJ896" i="1" s="1"/>
  <c r="Z896" i="1"/>
  <c r="AL784" i="1"/>
  <c r="AN784" i="1" s="1"/>
  <c r="Z784" i="1"/>
  <c r="AB784" i="1"/>
  <c r="AJ784" i="1" s="1"/>
  <c r="AK784" i="1" s="1"/>
  <c r="AL16" i="1"/>
  <c r="AN16" i="1" s="1"/>
  <c r="Z16" i="1"/>
  <c r="AB16" i="1"/>
  <c r="AJ16" i="1" s="1"/>
  <c r="AL29" i="1"/>
  <c r="AN29" i="1" s="1"/>
  <c r="Z29" i="1"/>
  <c r="AB29" i="1"/>
  <c r="AJ29" i="1" s="1"/>
  <c r="AK29" i="1" s="1"/>
  <c r="AL649" i="1"/>
  <c r="AN649" i="1" s="1"/>
  <c r="Z649" i="1"/>
  <c r="AB649" i="1"/>
  <c r="AJ649" i="1" s="1"/>
  <c r="AK649" i="1" s="1"/>
  <c r="AL908" i="1"/>
  <c r="AN908" i="1" s="1"/>
  <c r="Z908" i="1"/>
  <c r="AB908" i="1"/>
  <c r="AJ908" i="1" s="1"/>
  <c r="AL627" i="1"/>
  <c r="AN627" i="1" s="1"/>
  <c r="Z627" i="1"/>
  <c r="AB627" i="1"/>
  <c r="AJ627" i="1" s="1"/>
  <c r="AK627" i="1" s="1"/>
  <c r="AL507" i="1"/>
  <c r="AN507" i="1" s="1"/>
  <c r="Z507" i="1"/>
  <c r="AB507" i="1"/>
  <c r="AJ507" i="1" s="1"/>
  <c r="AL387" i="1"/>
  <c r="AN387" i="1" s="1"/>
  <c r="Z387" i="1"/>
  <c r="AB387" i="1"/>
  <c r="AJ387" i="1" s="1"/>
  <c r="AK387" i="1" s="1"/>
  <c r="AL255" i="1"/>
  <c r="AN255" i="1" s="1"/>
  <c r="Z255" i="1"/>
  <c r="AB255" i="1"/>
  <c r="AJ255" i="1" s="1"/>
  <c r="AK255" i="1" s="1"/>
  <c r="AL135" i="1"/>
  <c r="AN135" i="1" s="1"/>
  <c r="Z135" i="1"/>
  <c r="AB135" i="1"/>
  <c r="AJ135" i="1" s="1"/>
  <c r="AK135" i="1" s="1"/>
  <c r="AL15" i="1"/>
  <c r="AN15" i="1" s="1"/>
  <c r="AV15" i="1" s="1"/>
  <c r="BA15" i="1" s="1"/>
  <c r="Z15" i="1"/>
  <c r="AB15" i="1"/>
  <c r="AJ15" i="1" s="1"/>
  <c r="AK15" i="1" s="1"/>
  <c r="AL218" i="1"/>
  <c r="AN218" i="1" s="1"/>
  <c r="Z218" i="1"/>
  <c r="AB218" i="1"/>
  <c r="AJ218" i="1" s="1"/>
  <c r="AK218" i="1" s="1"/>
  <c r="AL787" i="1"/>
  <c r="AN787" i="1" s="1"/>
  <c r="AB787" i="1"/>
  <c r="AJ787" i="1" s="1"/>
  <c r="Z787" i="1"/>
  <c r="AL942" i="1"/>
  <c r="AN942" i="1" s="1"/>
  <c r="Z942" i="1"/>
  <c r="AB942" i="1"/>
  <c r="AJ942" i="1" s="1"/>
  <c r="AK942" i="1" s="1"/>
  <c r="AL674" i="1"/>
  <c r="AN674" i="1" s="1"/>
  <c r="AV674" i="1" s="1"/>
  <c r="BA674" i="1" s="1"/>
  <c r="Z674" i="1"/>
  <c r="AB674" i="1"/>
  <c r="AJ674" i="1" s="1"/>
  <c r="AK674" i="1" s="1"/>
  <c r="AL185" i="1"/>
  <c r="AN185" i="1" s="1"/>
  <c r="Z185" i="1"/>
  <c r="AB185" i="1"/>
  <c r="AJ185" i="1" s="1"/>
  <c r="AK185" i="1" s="1"/>
  <c r="AL556" i="1"/>
  <c r="AN556" i="1" s="1"/>
  <c r="Z556" i="1"/>
  <c r="AB556" i="1"/>
  <c r="AJ556" i="1" s="1"/>
  <c r="AK556" i="1" s="1"/>
  <c r="AL887" i="1"/>
  <c r="AN887" i="1" s="1"/>
  <c r="Z887" i="1"/>
  <c r="AB887" i="1"/>
  <c r="AJ887" i="1" s="1"/>
  <c r="AL793" i="1"/>
  <c r="AN793" i="1" s="1"/>
  <c r="Z793" i="1"/>
  <c r="AB793" i="1"/>
  <c r="AJ793" i="1" s="1"/>
  <c r="AK793" i="1" s="1"/>
  <c r="AL221" i="1"/>
  <c r="AN221" i="1" s="1"/>
  <c r="Z221" i="1"/>
  <c r="AB221" i="1"/>
  <c r="AJ221" i="1" s="1"/>
  <c r="AL613" i="1"/>
  <c r="AN613" i="1" s="1"/>
  <c r="Z613" i="1"/>
  <c r="AB613" i="1"/>
  <c r="AJ613" i="1" s="1"/>
  <c r="AK613" i="1" s="1"/>
  <c r="AL922" i="1"/>
  <c r="AN922" i="1" s="1"/>
  <c r="AB922" i="1"/>
  <c r="AJ922" i="1" s="1"/>
  <c r="Z922" i="1"/>
  <c r="AL756" i="1"/>
  <c r="AN756" i="1" s="1"/>
  <c r="Z756" i="1"/>
  <c r="AB756" i="1"/>
  <c r="AJ756" i="1" s="1"/>
  <c r="AK756" i="1" s="1"/>
  <c r="AL564" i="1"/>
  <c r="AN564" i="1" s="1"/>
  <c r="Z564" i="1"/>
  <c r="AB564" i="1"/>
  <c r="AJ564" i="1" s="1"/>
  <c r="AK564" i="1" s="1"/>
  <c r="AL444" i="1"/>
  <c r="AN444" i="1" s="1"/>
  <c r="Z444" i="1"/>
  <c r="AB444" i="1"/>
  <c r="AJ444" i="1" s="1"/>
  <c r="AL324" i="1"/>
  <c r="AN324" i="1" s="1"/>
  <c r="Z324" i="1"/>
  <c r="AB324" i="1"/>
  <c r="AJ324" i="1" s="1"/>
  <c r="AK324" i="1" s="1"/>
  <c r="AL156" i="1"/>
  <c r="AN156" i="1" s="1"/>
  <c r="Z156" i="1"/>
  <c r="AB156" i="1"/>
  <c r="AJ156" i="1" s="1"/>
  <c r="AK156" i="1" s="1"/>
  <c r="AL6" i="1"/>
  <c r="AN6" i="1" s="1"/>
  <c r="Z6" i="1"/>
  <c r="AB6" i="1"/>
  <c r="AJ6" i="1" s="1"/>
  <c r="AK6" i="1" s="1"/>
  <c r="AL278" i="1"/>
  <c r="AN278" i="1" s="1"/>
  <c r="Z278" i="1"/>
  <c r="AB278" i="1"/>
  <c r="AJ278" i="1" s="1"/>
  <c r="AK278" i="1" s="1"/>
  <c r="AL855" i="1"/>
  <c r="AN855" i="1" s="1"/>
  <c r="Z855" i="1"/>
  <c r="AB855" i="1"/>
  <c r="AJ855" i="1" s="1"/>
  <c r="AK855" i="1" s="1"/>
  <c r="AL1000" i="1"/>
  <c r="AN1000" i="1" s="1"/>
  <c r="Z1000" i="1"/>
  <c r="AB1000" i="1"/>
  <c r="AJ1000" i="1" s="1"/>
  <c r="AK1000" i="1" s="1"/>
  <c r="AL623" i="1"/>
  <c r="AN623" i="1" s="1"/>
  <c r="Z623" i="1"/>
  <c r="AB623" i="1"/>
  <c r="AJ623" i="1" s="1"/>
  <c r="AK623" i="1" s="1"/>
  <c r="AL503" i="1"/>
  <c r="AN503" i="1" s="1"/>
  <c r="Z503" i="1"/>
  <c r="AB503" i="1"/>
  <c r="AJ503" i="1" s="1"/>
  <c r="AK503" i="1" s="1"/>
  <c r="AL371" i="1"/>
  <c r="AN371" i="1" s="1"/>
  <c r="Z371" i="1"/>
  <c r="AB371" i="1"/>
  <c r="AJ371" i="1" s="1"/>
  <c r="AK371" i="1" s="1"/>
  <c r="AL239" i="1"/>
  <c r="AN239" i="1" s="1"/>
  <c r="Z239" i="1"/>
  <c r="AB239" i="1"/>
  <c r="AJ239" i="1" s="1"/>
  <c r="AK239" i="1" s="1"/>
  <c r="AL119" i="1"/>
  <c r="AN119" i="1" s="1"/>
  <c r="Z119" i="1"/>
  <c r="AB119" i="1"/>
  <c r="AJ119" i="1" s="1"/>
  <c r="AK119" i="1" s="1"/>
  <c r="AL401" i="1"/>
  <c r="AN401" i="1" s="1"/>
  <c r="Z401" i="1"/>
  <c r="AB401" i="1"/>
  <c r="AJ401" i="1" s="1"/>
  <c r="AK401" i="1" s="1"/>
  <c r="AL472" i="1"/>
  <c r="AN472" i="1" s="1"/>
  <c r="Z472" i="1"/>
  <c r="AB472" i="1"/>
  <c r="AJ472" i="1" s="1"/>
  <c r="AK472" i="1" s="1"/>
  <c r="Z868" i="1"/>
  <c r="AL868" i="1"/>
  <c r="AN868" i="1" s="1"/>
  <c r="AB868" i="1"/>
  <c r="AJ868" i="1" s="1"/>
  <c r="AK868" i="1" s="1"/>
  <c r="AL802" i="1"/>
  <c r="AN802" i="1" s="1"/>
  <c r="Z802" i="1"/>
  <c r="AB802" i="1"/>
  <c r="AJ610" i="1"/>
  <c r="AK610" i="1" s="1"/>
  <c r="AL478" i="1"/>
  <c r="AN478" i="1" s="1"/>
  <c r="Z478" i="1"/>
  <c r="AB478" i="1"/>
  <c r="AJ478" i="1" s="1"/>
  <c r="AK478" i="1" s="1"/>
  <c r="AL358" i="1"/>
  <c r="AN358" i="1" s="1"/>
  <c r="Z358" i="1"/>
  <c r="AB358" i="1"/>
  <c r="AJ358" i="1" s="1"/>
  <c r="AL238" i="1"/>
  <c r="AN238" i="1" s="1"/>
  <c r="Z238" i="1"/>
  <c r="AB238" i="1"/>
  <c r="AJ238" i="1" s="1"/>
  <c r="AK238" i="1" s="1"/>
  <c r="AL106" i="1"/>
  <c r="AN106" i="1" s="1"/>
  <c r="AV106" i="1" s="1"/>
  <c r="BA106" i="1" s="1"/>
  <c r="Z106" i="1"/>
  <c r="AB106" i="1"/>
  <c r="AJ106" i="1" s="1"/>
  <c r="AK106" i="1" s="1"/>
  <c r="AL641" i="1"/>
  <c r="AN641" i="1" s="1"/>
  <c r="Z641" i="1"/>
  <c r="AB641" i="1"/>
  <c r="AJ641" i="1" s="1"/>
  <c r="AK641" i="1" s="1"/>
  <c r="AL241" i="1"/>
  <c r="AN241" i="1" s="1"/>
  <c r="Z241" i="1"/>
  <c r="AB241" i="1"/>
  <c r="AJ241" i="1" s="1"/>
  <c r="AK241" i="1" s="1"/>
  <c r="AL835" i="1"/>
  <c r="AN835" i="1" s="1"/>
  <c r="Z835" i="1"/>
  <c r="AB835" i="1"/>
  <c r="AJ835" i="1" s="1"/>
  <c r="AL991" i="1"/>
  <c r="AN991" i="1" s="1"/>
  <c r="Z991" i="1"/>
  <c r="AB991" i="1"/>
  <c r="AJ991" i="1" s="1"/>
  <c r="AL645" i="1"/>
  <c r="AN645" i="1" s="1"/>
  <c r="Z645" i="1"/>
  <c r="AB645" i="1"/>
  <c r="AJ645" i="1" s="1"/>
  <c r="AK645" i="1" s="1"/>
  <c r="AL525" i="1"/>
  <c r="AN525" i="1" s="1"/>
  <c r="Z525" i="1"/>
  <c r="AB525" i="1"/>
  <c r="AJ525" i="1" s="1"/>
  <c r="AK525" i="1" s="1"/>
  <c r="AJ393" i="1"/>
  <c r="AK393" i="1" s="1"/>
  <c r="AL261" i="1"/>
  <c r="AN261" i="1" s="1"/>
  <c r="Z261" i="1"/>
  <c r="AB261" i="1"/>
  <c r="AJ261" i="1" s="1"/>
  <c r="AK261" i="1" s="1"/>
  <c r="AL141" i="1"/>
  <c r="AN141" i="1" s="1"/>
  <c r="Z141" i="1"/>
  <c r="AB141" i="1"/>
  <c r="AJ141" i="1" s="1"/>
  <c r="AK141" i="1" s="1"/>
  <c r="AL21" i="1"/>
  <c r="AN21" i="1" s="1"/>
  <c r="Z21" i="1"/>
  <c r="AB21" i="1"/>
  <c r="AJ21" i="1" s="1"/>
  <c r="AK21" i="1" s="1"/>
  <c r="AL242" i="1"/>
  <c r="AN242" i="1" s="1"/>
  <c r="Z242" i="1"/>
  <c r="AB242" i="1"/>
  <c r="AJ242" i="1" s="1"/>
  <c r="AK242" i="1" s="1"/>
  <c r="AL825" i="1"/>
  <c r="AN825" i="1" s="1"/>
  <c r="Z825" i="1"/>
  <c r="AB825" i="1"/>
  <c r="AJ825" i="1" s="1"/>
  <c r="AL970" i="1"/>
  <c r="AN970" i="1" s="1"/>
  <c r="Z970" i="1"/>
  <c r="AB970" i="1"/>
  <c r="AJ970" i="1" s="1"/>
  <c r="AL656" i="1"/>
  <c r="AN656" i="1" s="1"/>
  <c r="Z656" i="1"/>
  <c r="AB656" i="1"/>
  <c r="AJ656" i="1" s="1"/>
  <c r="AK656" i="1" s="1"/>
  <c r="AL536" i="1"/>
  <c r="AN536" i="1" s="1"/>
  <c r="Z536" i="1"/>
  <c r="AB536" i="1"/>
  <c r="AJ536" i="1" s="1"/>
  <c r="AK536" i="1" s="1"/>
  <c r="AL416" i="1"/>
  <c r="AN416" i="1" s="1"/>
  <c r="Z416" i="1"/>
  <c r="AB416" i="1"/>
  <c r="AJ416" i="1" s="1"/>
  <c r="AK416" i="1" s="1"/>
  <c r="AJ296" i="1"/>
  <c r="AK296" i="1" s="1"/>
  <c r="AL164" i="1"/>
  <c r="AN164" i="1" s="1"/>
  <c r="Z164" i="1"/>
  <c r="AB164" i="1"/>
  <c r="AJ164" i="1" s="1"/>
  <c r="AK164" i="1" s="1"/>
  <c r="AL44" i="1"/>
  <c r="AN44" i="1" s="1"/>
  <c r="Z44" i="1"/>
  <c r="AB44" i="1"/>
  <c r="AJ44" i="1" s="1"/>
  <c r="AL148" i="1"/>
  <c r="AN148" i="1" s="1"/>
  <c r="Z148" i="1"/>
  <c r="AB148" i="1"/>
  <c r="AJ148" i="1" s="1"/>
  <c r="AK148" i="1" s="1"/>
  <c r="AL720" i="1"/>
  <c r="AN720" i="1" s="1"/>
  <c r="Z720" i="1"/>
  <c r="AB720" i="1"/>
  <c r="AJ720" i="1" s="1"/>
  <c r="AK720" i="1" s="1"/>
  <c r="AL926" i="1"/>
  <c r="AN926" i="1" s="1"/>
  <c r="AB926" i="1"/>
  <c r="AJ926" i="1" s="1"/>
  <c r="AK926" i="1" s="1"/>
  <c r="Z926" i="1"/>
  <c r="AL679" i="1"/>
  <c r="AN679" i="1" s="1"/>
  <c r="AB679" i="1"/>
  <c r="Z679" i="1"/>
  <c r="AL535" i="1"/>
  <c r="AN535" i="1" s="1"/>
  <c r="AB535" i="1"/>
  <c r="Z535" i="1"/>
  <c r="AL391" i="1"/>
  <c r="AN391" i="1" s="1"/>
  <c r="AB391" i="1"/>
  <c r="AJ391" i="1" s="1"/>
  <c r="Z391" i="1"/>
  <c r="AJ247" i="1"/>
  <c r="AK247" i="1" s="1"/>
  <c r="AL247" i="1"/>
  <c r="AN247" i="1" s="1"/>
  <c r="Z247" i="1"/>
  <c r="AB247" i="1"/>
  <c r="AL103" i="1"/>
  <c r="AN103" i="1" s="1"/>
  <c r="Z103" i="1"/>
  <c r="AB103" i="1"/>
  <c r="AJ103" i="1" s="1"/>
  <c r="AL137" i="1"/>
  <c r="AN137" i="1" s="1"/>
  <c r="Z137" i="1"/>
  <c r="AB137" i="1"/>
  <c r="AJ137" i="1" s="1"/>
  <c r="AL589" i="1"/>
  <c r="AN589" i="1" s="1"/>
  <c r="AB589" i="1"/>
  <c r="AJ589" i="1" s="1"/>
  <c r="AK589" i="1" s="1"/>
  <c r="Z589" i="1"/>
  <c r="AL894" i="1"/>
  <c r="AN894" i="1" s="1"/>
  <c r="Z894" i="1"/>
  <c r="AB894" i="1"/>
  <c r="AJ894" i="1" s="1"/>
  <c r="AK894" i="1" s="1"/>
  <c r="AL630" i="1"/>
  <c r="AN630" i="1" s="1"/>
  <c r="Z630" i="1"/>
  <c r="AB630" i="1"/>
  <c r="AJ630" i="1" s="1"/>
  <c r="AK630" i="1" s="1"/>
  <c r="AL510" i="1"/>
  <c r="AN510" i="1" s="1"/>
  <c r="Z510" i="1"/>
  <c r="AB510" i="1"/>
  <c r="AJ510" i="1" s="1"/>
  <c r="AK510" i="1" s="1"/>
  <c r="AL378" i="1"/>
  <c r="AN378" i="1" s="1"/>
  <c r="Z378" i="1"/>
  <c r="AB378" i="1"/>
  <c r="AJ378" i="1" s="1"/>
  <c r="AK378" i="1" s="1"/>
  <c r="AL126" i="1"/>
  <c r="AN126" i="1" s="1"/>
  <c r="Z126" i="1"/>
  <c r="AB126" i="1"/>
  <c r="AJ126" i="1" s="1"/>
  <c r="AK126" i="1" s="1"/>
  <c r="AL12" i="1"/>
  <c r="AN12" i="1" s="1"/>
  <c r="Z12" i="1"/>
  <c r="AB12" i="1"/>
  <c r="AJ12" i="1" s="1"/>
  <c r="AK12" i="1" s="1"/>
  <c r="AL873" i="1"/>
  <c r="AN873" i="1" s="1"/>
  <c r="Z873" i="1"/>
  <c r="AB873" i="1"/>
  <c r="AJ873" i="1" s="1"/>
  <c r="AL206" i="1"/>
  <c r="AN206" i="1" s="1"/>
  <c r="Z206" i="1"/>
  <c r="AB206" i="1"/>
  <c r="AJ206" i="1" s="1"/>
  <c r="AK206" i="1" s="1"/>
  <c r="AL544" i="1"/>
  <c r="AN544" i="1" s="1"/>
  <c r="Z544" i="1"/>
  <c r="AB544" i="1"/>
  <c r="AJ544" i="1" s="1"/>
  <c r="AK544" i="1" s="1"/>
  <c r="AL907" i="1"/>
  <c r="AN907" i="1" s="1"/>
  <c r="Z907" i="1"/>
  <c r="AB907" i="1"/>
  <c r="AJ907" i="1" s="1"/>
  <c r="AL749" i="1"/>
  <c r="AN749" i="1" s="1"/>
  <c r="Z749" i="1"/>
  <c r="AB749" i="1"/>
  <c r="AJ749" i="1" s="1"/>
  <c r="AK749" i="1" s="1"/>
  <c r="AL121" i="1"/>
  <c r="AN121" i="1" s="1"/>
  <c r="AV121" i="1" s="1"/>
  <c r="BA121" i="1" s="1"/>
  <c r="Z121" i="1"/>
  <c r="AB121" i="1"/>
  <c r="AJ121" i="1" s="1"/>
  <c r="AK121" i="1" s="1"/>
  <c r="AL695" i="1"/>
  <c r="AN695" i="1" s="1"/>
  <c r="Z695" i="1"/>
  <c r="AB695" i="1"/>
  <c r="AJ695" i="1" s="1"/>
  <c r="AK695" i="1" s="1"/>
  <c r="AL919" i="1"/>
  <c r="AN919" i="1" s="1"/>
  <c r="Z919" i="1"/>
  <c r="AB919" i="1"/>
  <c r="AJ919" i="1" s="1"/>
  <c r="AK919" i="1" s="1"/>
  <c r="AL759" i="1"/>
  <c r="AN759" i="1" s="1"/>
  <c r="Z759" i="1"/>
  <c r="AB759" i="1"/>
  <c r="AJ759" i="1" s="1"/>
  <c r="AK759" i="1" s="1"/>
  <c r="AL615" i="1"/>
  <c r="AN615" i="1" s="1"/>
  <c r="Z615" i="1"/>
  <c r="AB615" i="1"/>
  <c r="AL495" i="1"/>
  <c r="AN495" i="1" s="1"/>
  <c r="Z495" i="1"/>
  <c r="AB495" i="1"/>
  <c r="AJ495" i="1" s="1"/>
  <c r="AK495" i="1" s="1"/>
  <c r="AL375" i="1"/>
  <c r="AN375" i="1" s="1"/>
  <c r="Z375" i="1"/>
  <c r="AB375" i="1"/>
  <c r="AJ375" i="1" s="1"/>
  <c r="AK375" i="1" s="1"/>
  <c r="AL123" i="1"/>
  <c r="AN123" i="1" s="1"/>
  <c r="Z123" i="1"/>
  <c r="AB123" i="1"/>
  <c r="AJ123" i="1" s="1"/>
  <c r="AK123" i="1" s="1"/>
  <c r="AL785" i="1"/>
  <c r="AN785" i="1" s="1"/>
  <c r="AB785" i="1"/>
  <c r="AJ785" i="1" s="1"/>
  <c r="Z785" i="1"/>
  <c r="AL266" i="1"/>
  <c r="AN266" i="1" s="1"/>
  <c r="Z266" i="1"/>
  <c r="AB266" i="1"/>
  <c r="AJ266" i="1" s="1"/>
  <c r="AK266" i="1" s="1"/>
  <c r="AL808" i="1"/>
  <c r="AN808" i="1" s="1"/>
  <c r="Z808" i="1"/>
  <c r="AB808" i="1"/>
  <c r="AJ808" i="1" s="1"/>
  <c r="AK808" i="1" s="1"/>
  <c r="AL953" i="1"/>
  <c r="AN953" i="1" s="1"/>
  <c r="AV953" i="1" s="1"/>
  <c r="BA953" i="1" s="1"/>
  <c r="AB953" i="1"/>
  <c r="AJ953" i="1" s="1"/>
  <c r="AK953" i="1" s="1"/>
  <c r="Z953" i="1"/>
  <c r="AL65" i="1"/>
  <c r="AN65" i="1" s="1"/>
  <c r="Z65" i="1"/>
  <c r="AB65" i="1"/>
  <c r="AJ65" i="1" s="1"/>
  <c r="AL604" i="1"/>
  <c r="AN604" i="1" s="1"/>
  <c r="Z604" i="1"/>
  <c r="AB604" i="1"/>
  <c r="AJ604" i="1" s="1"/>
  <c r="AK604" i="1" s="1"/>
  <c r="AL910" i="1"/>
  <c r="AN910" i="1" s="1"/>
  <c r="AB910" i="1"/>
  <c r="AJ910" i="1" s="1"/>
  <c r="Z910" i="1"/>
  <c r="AL781" i="1"/>
  <c r="AN781" i="1" s="1"/>
  <c r="AV781" i="1" s="1"/>
  <c r="BA781" i="1" s="1"/>
  <c r="AB781" i="1"/>
  <c r="AJ781" i="1" s="1"/>
  <c r="AK781" i="1" s="1"/>
  <c r="Z781" i="1"/>
  <c r="AL77" i="1"/>
  <c r="AN77" i="1" s="1"/>
  <c r="Z77" i="1"/>
  <c r="AB77" i="1"/>
  <c r="AJ77" i="1" s="1"/>
  <c r="AK77" i="1" s="1"/>
  <c r="AL661" i="1"/>
  <c r="AN661" i="1" s="1"/>
  <c r="Z661" i="1"/>
  <c r="AB661" i="1"/>
  <c r="AJ661" i="1" s="1"/>
  <c r="AK661" i="1" s="1"/>
  <c r="AL933" i="1"/>
  <c r="AN933" i="1" s="1"/>
  <c r="Z933" i="1"/>
  <c r="AB933" i="1"/>
  <c r="AJ933" i="1" s="1"/>
  <c r="AL744" i="1"/>
  <c r="AN744" i="1" s="1"/>
  <c r="Z744" i="1"/>
  <c r="AB744" i="1"/>
  <c r="AJ744" i="1" s="1"/>
  <c r="AK744" i="1" s="1"/>
  <c r="AL432" i="1"/>
  <c r="AN432" i="1" s="1"/>
  <c r="Z432" i="1"/>
  <c r="AB432" i="1"/>
  <c r="AJ432" i="1" s="1"/>
  <c r="AK432" i="1" s="1"/>
  <c r="AL312" i="1"/>
  <c r="AN312" i="1" s="1"/>
  <c r="Z312" i="1"/>
  <c r="AB312" i="1"/>
  <c r="AJ312" i="1" s="1"/>
  <c r="AK312" i="1" s="1"/>
  <c r="AL132" i="1"/>
  <c r="AN132" i="1" s="1"/>
  <c r="Z132" i="1"/>
  <c r="AB132" i="1"/>
  <c r="AJ132" i="1" s="1"/>
  <c r="AK132" i="1" s="1"/>
  <c r="AL725" i="1"/>
  <c r="AN725" i="1" s="1"/>
  <c r="Z725" i="1"/>
  <c r="AB725" i="1"/>
  <c r="AJ725" i="1" s="1"/>
  <c r="AK725" i="1" s="1"/>
  <c r="AL374" i="1"/>
  <c r="AN374" i="1" s="1"/>
  <c r="Z374" i="1"/>
  <c r="AB374" i="1"/>
  <c r="AJ374" i="1" s="1"/>
  <c r="AK374" i="1" s="1"/>
  <c r="AL867" i="1"/>
  <c r="AN867" i="1" s="1"/>
  <c r="Z867" i="1"/>
  <c r="AB867" i="1"/>
  <c r="AJ867" i="1" s="1"/>
  <c r="AK867" i="1" s="1"/>
  <c r="AL791" i="1"/>
  <c r="AN791" i="1" s="1"/>
  <c r="Z791" i="1"/>
  <c r="AB791" i="1"/>
  <c r="AJ791" i="1" s="1"/>
  <c r="AK791" i="1" s="1"/>
  <c r="AL611" i="1"/>
  <c r="AN611" i="1" s="1"/>
  <c r="Z611" i="1"/>
  <c r="AB611" i="1"/>
  <c r="AJ611" i="1" s="1"/>
  <c r="AL491" i="1"/>
  <c r="AN491" i="1" s="1"/>
  <c r="Z491" i="1"/>
  <c r="AB491" i="1"/>
  <c r="AJ491" i="1" s="1"/>
  <c r="AK491" i="1" s="1"/>
  <c r="AL227" i="1"/>
  <c r="AN227" i="1" s="1"/>
  <c r="Z227" i="1"/>
  <c r="AB227" i="1"/>
  <c r="AJ227" i="1" s="1"/>
  <c r="AL107" i="1"/>
  <c r="AN107" i="1" s="1"/>
  <c r="Z107" i="1"/>
  <c r="AB107" i="1"/>
  <c r="AJ107" i="1" s="1"/>
  <c r="AL209" i="1"/>
  <c r="AN209" i="1" s="1"/>
  <c r="Z209" i="1"/>
  <c r="AB209" i="1"/>
  <c r="AJ209" i="1" s="1"/>
  <c r="AK209" i="1" s="1"/>
  <c r="AL520" i="1"/>
  <c r="AN520" i="1" s="1"/>
  <c r="Z520" i="1"/>
  <c r="AB520" i="1"/>
  <c r="AJ520" i="1" s="1"/>
  <c r="AK520" i="1" s="1"/>
  <c r="AL879" i="1"/>
  <c r="AN879" i="1" s="1"/>
  <c r="Z879" i="1"/>
  <c r="AB879" i="1"/>
  <c r="AJ879" i="1" s="1"/>
  <c r="AK879" i="1" s="1"/>
  <c r="AL790" i="1"/>
  <c r="AN790" i="1" s="1"/>
  <c r="Z790" i="1"/>
  <c r="AB790" i="1"/>
  <c r="AJ790" i="1" s="1"/>
  <c r="AL598" i="1"/>
  <c r="AN598" i="1" s="1"/>
  <c r="Z598" i="1"/>
  <c r="AB598" i="1"/>
  <c r="AJ598" i="1" s="1"/>
  <c r="AK598" i="1" s="1"/>
  <c r="AL466" i="1"/>
  <c r="AN466" i="1" s="1"/>
  <c r="Z466" i="1"/>
  <c r="AB466" i="1"/>
  <c r="AJ466" i="1" s="1"/>
  <c r="AL346" i="1"/>
  <c r="AN346" i="1" s="1"/>
  <c r="Z346" i="1"/>
  <c r="AB346" i="1"/>
  <c r="AJ346" i="1" s="1"/>
  <c r="AK346" i="1" s="1"/>
  <c r="AL226" i="1"/>
  <c r="AN226" i="1" s="1"/>
  <c r="Z226" i="1"/>
  <c r="AB226" i="1"/>
  <c r="AJ226" i="1" s="1"/>
  <c r="AK226" i="1" s="1"/>
  <c r="AL509" i="1"/>
  <c r="AN509" i="1" s="1"/>
  <c r="Z509" i="1"/>
  <c r="AB509" i="1"/>
  <c r="AJ509" i="1" s="1"/>
  <c r="AK509" i="1" s="1"/>
  <c r="AL337" i="1"/>
  <c r="AN337" i="1" s="1"/>
  <c r="AB337" i="1"/>
  <c r="AJ337" i="1" s="1"/>
  <c r="AK337" i="1" s="1"/>
  <c r="Z337" i="1"/>
  <c r="AL846" i="1"/>
  <c r="AN846" i="1" s="1"/>
  <c r="Z846" i="1"/>
  <c r="AB846" i="1"/>
  <c r="AJ846" i="1" s="1"/>
  <c r="AK846" i="1" s="1"/>
  <c r="AL1002" i="1"/>
  <c r="AN1002" i="1" s="1"/>
  <c r="Z1002" i="1"/>
  <c r="AB1002" i="1"/>
  <c r="AJ1002" i="1" s="1"/>
  <c r="AK1002" i="1" s="1"/>
  <c r="AL633" i="1"/>
  <c r="AN633" i="1" s="1"/>
  <c r="Z633" i="1"/>
  <c r="AB633" i="1"/>
  <c r="AJ633" i="1" s="1"/>
  <c r="AL513" i="1"/>
  <c r="AN513" i="1" s="1"/>
  <c r="Z513" i="1"/>
  <c r="AB513" i="1"/>
  <c r="AJ513" i="1" s="1"/>
  <c r="AK513" i="1" s="1"/>
  <c r="AL381" i="1"/>
  <c r="AN381" i="1" s="1"/>
  <c r="Z381" i="1"/>
  <c r="AB381" i="1"/>
  <c r="AJ381" i="1" s="1"/>
  <c r="AK381" i="1" s="1"/>
  <c r="AL249" i="1"/>
  <c r="AN249" i="1" s="1"/>
  <c r="Z249" i="1"/>
  <c r="AB249" i="1"/>
  <c r="AJ249" i="1" s="1"/>
  <c r="Z129" i="1"/>
  <c r="AL129" i="1"/>
  <c r="AN129" i="1" s="1"/>
  <c r="AB129" i="1"/>
  <c r="AJ129" i="1" s="1"/>
  <c r="AL9" i="1"/>
  <c r="AN9" i="1" s="1"/>
  <c r="Z9" i="1"/>
  <c r="AB9" i="1"/>
  <c r="AJ9" i="1" s="1"/>
  <c r="AK9" i="1" s="1"/>
  <c r="AL290" i="1"/>
  <c r="AN290" i="1" s="1"/>
  <c r="Z290" i="1"/>
  <c r="AB290" i="1"/>
  <c r="AJ290" i="1" s="1"/>
  <c r="AK290" i="1" s="1"/>
  <c r="AL836" i="1"/>
  <c r="AN836" i="1" s="1"/>
  <c r="AB836" i="1"/>
  <c r="AJ836" i="1" s="1"/>
  <c r="AK836" i="1" s="1"/>
  <c r="Z836" i="1"/>
  <c r="AL981" i="1"/>
  <c r="AN981" i="1" s="1"/>
  <c r="Z981" i="1"/>
  <c r="AB981" i="1"/>
  <c r="AJ981" i="1" s="1"/>
  <c r="AL524" i="1"/>
  <c r="AN524" i="1" s="1"/>
  <c r="Z524" i="1"/>
  <c r="AB524" i="1"/>
  <c r="AJ524" i="1" s="1"/>
  <c r="AK524" i="1" s="1"/>
  <c r="AL404" i="1"/>
  <c r="AN404" i="1" s="1"/>
  <c r="Z404" i="1"/>
  <c r="AB404" i="1"/>
  <c r="AJ404" i="1" s="1"/>
  <c r="AL284" i="1"/>
  <c r="AN284" i="1" s="1"/>
  <c r="Z284" i="1"/>
  <c r="AB284" i="1"/>
  <c r="AJ284" i="1" s="1"/>
  <c r="AK284" i="1" s="1"/>
  <c r="AL152" i="1"/>
  <c r="AN152" i="1" s="1"/>
  <c r="Z152" i="1"/>
  <c r="AB152" i="1"/>
  <c r="AL32" i="1"/>
  <c r="AN32" i="1" s="1"/>
  <c r="Z32" i="1"/>
  <c r="AB32" i="1"/>
  <c r="AJ32" i="1" s="1"/>
  <c r="AK32" i="1" s="1"/>
  <c r="AL196" i="1"/>
  <c r="AN196" i="1" s="1"/>
  <c r="Z196" i="1"/>
  <c r="AB196" i="1"/>
  <c r="AJ196" i="1" s="1"/>
  <c r="AK196" i="1" s="1"/>
  <c r="AL766" i="1"/>
  <c r="AN766" i="1" s="1"/>
  <c r="Z766" i="1"/>
  <c r="AB766" i="1"/>
  <c r="AJ766" i="1" s="1"/>
  <c r="AL937" i="1"/>
  <c r="AN937" i="1" s="1"/>
  <c r="AB937" i="1"/>
  <c r="AJ937" i="1" s="1"/>
  <c r="AK937" i="1" s="1"/>
  <c r="Z937" i="1"/>
  <c r="AL667" i="1"/>
  <c r="AN667" i="1" s="1"/>
  <c r="AB667" i="1"/>
  <c r="AJ667" i="1" s="1"/>
  <c r="AK667" i="1" s="1"/>
  <c r="Z667" i="1"/>
  <c r="AL523" i="1"/>
  <c r="AN523" i="1" s="1"/>
  <c r="AV523" i="1" s="1"/>
  <c r="BA523" i="1" s="1"/>
  <c r="AB523" i="1"/>
  <c r="AJ523" i="1" s="1"/>
  <c r="AK523" i="1" s="1"/>
  <c r="Z523" i="1"/>
  <c r="AL379" i="1"/>
  <c r="AN379" i="1" s="1"/>
  <c r="AB379" i="1"/>
  <c r="AJ379" i="1" s="1"/>
  <c r="AK379" i="1" s="1"/>
  <c r="Z379" i="1"/>
  <c r="AL235" i="1"/>
  <c r="AN235" i="1" s="1"/>
  <c r="Z235" i="1"/>
  <c r="AB235" i="1"/>
  <c r="AJ235" i="1" s="1"/>
  <c r="AK235" i="1" s="1"/>
  <c r="AL91" i="1"/>
  <c r="AN91" i="1" s="1"/>
  <c r="Z91" i="1"/>
  <c r="AB91" i="1"/>
  <c r="AL52" i="1"/>
  <c r="AN52" i="1" s="1"/>
  <c r="Z52" i="1"/>
  <c r="AB52" i="1"/>
  <c r="AJ52" i="1" s="1"/>
  <c r="AL637" i="1"/>
  <c r="AN637" i="1" s="1"/>
  <c r="AB637" i="1"/>
  <c r="AJ637" i="1" s="1"/>
  <c r="Z637" i="1"/>
  <c r="AL905" i="1"/>
  <c r="AN905" i="1" s="1"/>
  <c r="Z905" i="1"/>
  <c r="AB905" i="1"/>
  <c r="AJ905" i="1" s="1"/>
  <c r="AL750" i="1"/>
  <c r="AN750" i="1" s="1"/>
  <c r="Z750" i="1"/>
  <c r="AB750" i="1"/>
  <c r="AJ750" i="1" s="1"/>
  <c r="AK750" i="1" s="1"/>
  <c r="AL618" i="1"/>
  <c r="AN618" i="1" s="1"/>
  <c r="Z618" i="1"/>
  <c r="AB618" i="1"/>
  <c r="AL498" i="1"/>
  <c r="AN498" i="1" s="1"/>
  <c r="Z498" i="1"/>
  <c r="AB498" i="1"/>
  <c r="AJ498" i="1" s="1"/>
  <c r="AL366" i="1"/>
  <c r="AN366" i="1" s="1"/>
  <c r="Z366" i="1"/>
  <c r="AB366" i="1"/>
  <c r="AJ366" i="1" s="1"/>
  <c r="AK366" i="1" s="1"/>
  <c r="AL246" i="1"/>
  <c r="AN246" i="1" s="1"/>
  <c r="Z246" i="1"/>
  <c r="AB246" i="1"/>
  <c r="AJ246" i="1" s="1"/>
  <c r="AK246" i="1" s="1"/>
  <c r="AL114" i="1"/>
  <c r="AN114" i="1" s="1"/>
  <c r="Z114" i="1"/>
  <c r="AB114" i="1"/>
  <c r="AJ114" i="1" s="1"/>
  <c r="AK114" i="1" s="1"/>
  <c r="AL701" i="1"/>
  <c r="AN701" i="1" s="1"/>
  <c r="Z701" i="1"/>
  <c r="AB701" i="1"/>
  <c r="AJ701" i="1" s="1"/>
  <c r="AL542" i="1"/>
  <c r="AN542" i="1" s="1"/>
  <c r="Z542" i="1"/>
  <c r="AB542" i="1"/>
  <c r="AJ542" i="1" s="1"/>
  <c r="AK542" i="1" s="1"/>
  <c r="AL776" i="1"/>
  <c r="AN776" i="1" s="1"/>
  <c r="Z776" i="1"/>
  <c r="AB776" i="1"/>
  <c r="AJ776" i="1" s="1"/>
  <c r="AL181" i="1"/>
  <c r="AN181" i="1" s="1"/>
  <c r="Z181" i="1"/>
  <c r="AB181" i="1"/>
  <c r="AJ181" i="1" s="1"/>
  <c r="AK181" i="1" s="1"/>
  <c r="AL192" i="1"/>
  <c r="AN192" i="1" s="1"/>
  <c r="Z192" i="1"/>
  <c r="AB192" i="1"/>
  <c r="AJ192" i="1" s="1"/>
  <c r="AK192" i="1" s="1"/>
  <c r="AL592" i="1"/>
  <c r="AN592" i="1" s="1"/>
  <c r="Z592" i="1"/>
  <c r="AB592" i="1"/>
  <c r="AJ592" i="1" s="1"/>
  <c r="AL918" i="1"/>
  <c r="AN918" i="1" s="1"/>
  <c r="Z918" i="1"/>
  <c r="AB918" i="1"/>
  <c r="AJ918" i="1" s="1"/>
  <c r="AL772" i="1"/>
  <c r="AN772" i="1" s="1"/>
  <c r="Z772" i="1"/>
  <c r="AB772" i="1"/>
  <c r="AJ772" i="1" s="1"/>
  <c r="AK772" i="1" s="1"/>
  <c r="AL629" i="1"/>
  <c r="AN629" i="1" s="1"/>
  <c r="Z629" i="1"/>
  <c r="AB629" i="1"/>
  <c r="AJ629" i="1" s="1"/>
  <c r="AK629" i="1" s="1"/>
  <c r="AL169" i="1"/>
  <c r="AN169" i="1" s="1"/>
  <c r="Z169" i="1"/>
  <c r="AB169" i="1"/>
  <c r="AJ169" i="1" s="1"/>
  <c r="AL741" i="1"/>
  <c r="AN741" i="1" s="1"/>
  <c r="Z741" i="1"/>
  <c r="AB741" i="1"/>
  <c r="AL930" i="1"/>
  <c r="AN930" i="1" s="1"/>
  <c r="Z930" i="1"/>
  <c r="AB930" i="1"/>
  <c r="AL747" i="1"/>
  <c r="AN747" i="1" s="1"/>
  <c r="Z747" i="1"/>
  <c r="AB747" i="1"/>
  <c r="AJ747" i="1" s="1"/>
  <c r="AK747" i="1" s="1"/>
  <c r="AJ615" i="1"/>
  <c r="AK615" i="1" s="1"/>
  <c r="AL483" i="1"/>
  <c r="AN483" i="1" s="1"/>
  <c r="AV483" i="1" s="1"/>
  <c r="BA483" i="1" s="1"/>
  <c r="Z483" i="1"/>
  <c r="AB483" i="1"/>
  <c r="AJ483" i="1" s="1"/>
  <c r="AK483" i="1" s="1"/>
  <c r="AL363" i="1"/>
  <c r="AN363" i="1" s="1"/>
  <c r="Z363" i="1"/>
  <c r="AB363" i="1"/>
  <c r="AJ363" i="1" s="1"/>
  <c r="AL243" i="1"/>
  <c r="AN243" i="1" s="1"/>
  <c r="Z243" i="1"/>
  <c r="AB243" i="1"/>
  <c r="AJ243" i="1" s="1"/>
  <c r="AK243" i="1" s="1"/>
  <c r="Z111" i="1"/>
  <c r="AL111" i="1"/>
  <c r="AN111" i="1" s="1"/>
  <c r="AV111" i="1" s="1"/>
  <c r="BA111" i="1" s="1"/>
  <c r="AB111" i="1"/>
  <c r="AJ111" i="1" s="1"/>
  <c r="AK111" i="1" s="1"/>
  <c r="AL665" i="1"/>
  <c r="AN665" i="1" s="1"/>
  <c r="AV665" i="1" s="1"/>
  <c r="BA665" i="1" s="1"/>
  <c r="Z665" i="1"/>
  <c r="AB665" i="1"/>
  <c r="AJ665" i="1" s="1"/>
  <c r="AK665" i="1" s="1"/>
  <c r="AL314" i="1"/>
  <c r="AN314" i="1" s="1"/>
  <c r="Z314" i="1"/>
  <c r="AB314" i="1"/>
  <c r="AJ314" i="1" s="1"/>
  <c r="AK314" i="1" s="1"/>
  <c r="AL819" i="1"/>
  <c r="AN819" i="1" s="1"/>
  <c r="Z819" i="1"/>
  <c r="AB819" i="1"/>
  <c r="AJ819" i="1" s="1"/>
  <c r="AK819" i="1" s="1"/>
  <c r="AL964" i="1"/>
  <c r="AN964" i="1" s="1"/>
  <c r="AB964" i="1"/>
  <c r="AJ964" i="1" s="1"/>
  <c r="AK964" i="1" s="1"/>
  <c r="Z964" i="1"/>
  <c r="AL14" i="1"/>
  <c r="AN14" i="1" s="1"/>
  <c r="AV14" i="1" s="1"/>
  <c r="BA14" i="1" s="1"/>
  <c r="Z14" i="1"/>
  <c r="AB14" i="1"/>
  <c r="AJ14" i="1" s="1"/>
  <c r="AK14" i="1" s="1"/>
  <c r="AL76" i="1"/>
  <c r="AN76" i="1" s="1"/>
  <c r="Z76" i="1"/>
  <c r="AB76" i="1"/>
  <c r="AJ76" i="1" s="1"/>
  <c r="AK76" i="1" s="1"/>
  <c r="AL652" i="1"/>
  <c r="AN652" i="1" s="1"/>
  <c r="Z652" i="1"/>
  <c r="AB652" i="1"/>
  <c r="AJ652" i="1" s="1"/>
  <c r="AK652" i="1" s="1"/>
  <c r="AL921" i="1"/>
  <c r="AN921" i="1" s="1"/>
  <c r="Z921" i="1"/>
  <c r="AB921" i="1"/>
  <c r="AJ921" i="1" s="1"/>
  <c r="AL757" i="1"/>
  <c r="AN757" i="1" s="1"/>
  <c r="AB757" i="1"/>
  <c r="AJ757" i="1" s="1"/>
  <c r="Z757" i="1"/>
  <c r="AL752" i="1"/>
  <c r="AN752" i="1" s="1"/>
  <c r="Z752" i="1"/>
  <c r="AB752" i="1"/>
  <c r="AL944" i="1"/>
  <c r="AN944" i="1" s="1"/>
  <c r="AB944" i="1"/>
  <c r="Z944" i="1"/>
  <c r="AL708" i="1"/>
  <c r="AN708" i="1" s="1"/>
  <c r="Z708" i="1"/>
  <c r="AB708" i="1"/>
  <c r="AJ708" i="1" s="1"/>
  <c r="AK708" i="1" s="1"/>
  <c r="AL552" i="1"/>
  <c r="AN552" i="1" s="1"/>
  <c r="AV552" i="1" s="1"/>
  <c r="BA552" i="1" s="1"/>
  <c r="Z552" i="1"/>
  <c r="AB552" i="1"/>
  <c r="AJ552" i="1" s="1"/>
  <c r="AK552" i="1" s="1"/>
  <c r="AL420" i="1"/>
  <c r="AN420" i="1" s="1"/>
  <c r="Z420" i="1"/>
  <c r="AB420" i="1"/>
  <c r="AJ420" i="1" s="1"/>
  <c r="AK420" i="1" s="1"/>
  <c r="AL300" i="1"/>
  <c r="AN300" i="1" s="1"/>
  <c r="Z300" i="1"/>
  <c r="AB300" i="1"/>
  <c r="AJ300" i="1" s="1"/>
  <c r="AL120" i="1"/>
  <c r="AN120" i="1" s="1"/>
  <c r="Z120" i="1"/>
  <c r="AB120" i="1"/>
  <c r="AJ120" i="1" s="1"/>
  <c r="AL605" i="1"/>
  <c r="AN605" i="1" s="1"/>
  <c r="AV605" i="1" s="1"/>
  <c r="BA605" i="1" s="1"/>
  <c r="Z605" i="1"/>
  <c r="AB605" i="1"/>
  <c r="AJ605" i="1" s="1"/>
  <c r="AK605" i="1" s="1"/>
  <c r="AL422" i="1"/>
  <c r="AN422" i="1" s="1"/>
  <c r="Z422" i="1"/>
  <c r="AB422" i="1"/>
  <c r="AJ422" i="1" s="1"/>
  <c r="AK422" i="1" s="1"/>
  <c r="AL878" i="1"/>
  <c r="AN878" i="1" s="1"/>
  <c r="AB878" i="1"/>
  <c r="AJ878" i="1" s="1"/>
  <c r="AK878" i="1" s="1"/>
  <c r="Z878" i="1"/>
  <c r="AL779" i="1"/>
  <c r="AN779" i="1" s="1"/>
  <c r="Z779" i="1"/>
  <c r="AB779" i="1"/>
  <c r="AL599" i="1"/>
  <c r="AN599" i="1" s="1"/>
  <c r="AV599" i="1" s="1"/>
  <c r="BA599" i="1" s="1"/>
  <c r="Z599" i="1"/>
  <c r="AB599" i="1"/>
  <c r="AJ599" i="1" s="1"/>
  <c r="AK599" i="1" s="1"/>
  <c r="AL479" i="1"/>
  <c r="AN479" i="1" s="1"/>
  <c r="Z479" i="1"/>
  <c r="AB479" i="1"/>
  <c r="AJ479" i="1" s="1"/>
  <c r="AK479" i="1" s="1"/>
  <c r="AL359" i="1"/>
  <c r="AN359" i="1" s="1"/>
  <c r="Z359" i="1"/>
  <c r="AB359" i="1"/>
  <c r="AJ359" i="1" s="1"/>
  <c r="AK359" i="1" s="1"/>
  <c r="AL95" i="1"/>
  <c r="AN95" i="1" s="1"/>
  <c r="Z95" i="1"/>
  <c r="AB95" i="1"/>
  <c r="AJ95" i="1" s="1"/>
  <c r="AK95" i="1" s="1"/>
  <c r="AL89" i="1"/>
  <c r="AN89" i="1" s="1"/>
  <c r="Z89" i="1"/>
  <c r="AB89" i="1"/>
  <c r="AJ89" i="1" s="1"/>
  <c r="AL568" i="1"/>
  <c r="AN568" i="1" s="1"/>
  <c r="Z568" i="1"/>
  <c r="AB568" i="1"/>
  <c r="AJ568" i="1" s="1"/>
  <c r="AK568" i="1" s="1"/>
  <c r="AL890" i="1"/>
  <c r="AN890" i="1" s="1"/>
  <c r="AB890" i="1"/>
  <c r="AJ890" i="1" s="1"/>
  <c r="AK890" i="1" s="1"/>
  <c r="Z890" i="1"/>
  <c r="AL754" i="1"/>
  <c r="AN754" i="1" s="1"/>
  <c r="Z754" i="1"/>
  <c r="AB754" i="1"/>
  <c r="AL586" i="1"/>
  <c r="AN586" i="1" s="1"/>
  <c r="Z586" i="1"/>
  <c r="AB586" i="1"/>
  <c r="AJ586" i="1" s="1"/>
  <c r="AK586" i="1" s="1"/>
  <c r="AL334" i="1"/>
  <c r="AN334" i="1" s="1"/>
  <c r="Z334" i="1"/>
  <c r="AB334" i="1"/>
  <c r="AJ334" i="1" s="1"/>
  <c r="AK334" i="1" s="1"/>
  <c r="AL214" i="1"/>
  <c r="AN214" i="1" s="1"/>
  <c r="Z214" i="1"/>
  <c r="AB214" i="1"/>
  <c r="AJ214" i="1" s="1"/>
  <c r="AL94" i="1"/>
  <c r="AN94" i="1" s="1"/>
  <c r="Z94" i="1"/>
  <c r="AB94" i="1"/>
  <c r="AJ94" i="1" s="1"/>
  <c r="AK94" i="1" s="1"/>
  <c r="AL341" i="1"/>
  <c r="AN341" i="1" s="1"/>
  <c r="AV341" i="1" s="1"/>
  <c r="BA341" i="1" s="1"/>
  <c r="Z341" i="1"/>
  <c r="AB341" i="1"/>
  <c r="AJ341" i="1" s="1"/>
  <c r="AK341" i="1" s="1"/>
  <c r="AL385" i="1"/>
  <c r="AN385" i="1" s="1"/>
  <c r="Z385" i="1"/>
  <c r="AB385" i="1"/>
  <c r="AJ385" i="1" s="1"/>
  <c r="AK385" i="1" s="1"/>
  <c r="AL857" i="1"/>
  <c r="AN857" i="1" s="1"/>
  <c r="AB857" i="1"/>
  <c r="AJ857" i="1" s="1"/>
  <c r="AK857" i="1" s="1"/>
  <c r="Z857" i="1"/>
  <c r="AL801" i="1"/>
  <c r="AN801" i="1" s="1"/>
  <c r="Z801" i="1"/>
  <c r="AB801" i="1"/>
  <c r="AJ801" i="1" s="1"/>
  <c r="AL621" i="1"/>
  <c r="AN621" i="1" s="1"/>
  <c r="AV621" i="1" s="1"/>
  <c r="BA621" i="1" s="1"/>
  <c r="Z621" i="1"/>
  <c r="AB621" i="1"/>
  <c r="AJ621" i="1" s="1"/>
  <c r="AK621" i="1" s="1"/>
  <c r="AL501" i="1"/>
  <c r="AN501" i="1" s="1"/>
  <c r="Z501" i="1"/>
  <c r="AB501" i="1"/>
  <c r="AJ501" i="1" s="1"/>
  <c r="AK501" i="1" s="1"/>
  <c r="AL369" i="1"/>
  <c r="AN369" i="1" s="1"/>
  <c r="Z369" i="1"/>
  <c r="AB369" i="1"/>
  <c r="AJ369" i="1" s="1"/>
  <c r="AK369" i="1" s="1"/>
  <c r="AL117" i="1"/>
  <c r="AN117" i="1" s="1"/>
  <c r="Z117" i="1"/>
  <c r="AB117" i="1"/>
  <c r="AJ117" i="1" s="1"/>
  <c r="AK117" i="1" s="1"/>
  <c r="AL713" i="1"/>
  <c r="AN713" i="1" s="1"/>
  <c r="Z713" i="1"/>
  <c r="AB713" i="1"/>
  <c r="AJ713" i="1" s="1"/>
  <c r="AK713" i="1" s="1"/>
  <c r="AL338" i="1"/>
  <c r="AN338" i="1" s="1"/>
  <c r="Z338" i="1"/>
  <c r="AB338" i="1"/>
  <c r="AJ338" i="1" s="1"/>
  <c r="AL847" i="1"/>
  <c r="AN847" i="1" s="1"/>
  <c r="Z847" i="1"/>
  <c r="AB847" i="1"/>
  <c r="AJ847" i="1" s="1"/>
  <c r="AL992" i="1"/>
  <c r="AN992" i="1" s="1"/>
  <c r="AB992" i="1"/>
  <c r="AJ992" i="1" s="1"/>
  <c r="Z992" i="1"/>
  <c r="AL644" i="1"/>
  <c r="AN644" i="1" s="1"/>
  <c r="Z644" i="1"/>
  <c r="AB644" i="1"/>
  <c r="AJ644" i="1" s="1"/>
  <c r="AK644" i="1" s="1"/>
  <c r="AL512" i="1"/>
  <c r="AN512" i="1" s="1"/>
  <c r="Z512" i="1"/>
  <c r="AB512" i="1"/>
  <c r="AJ512" i="1" s="1"/>
  <c r="AK512" i="1" s="1"/>
  <c r="AL392" i="1"/>
  <c r="AN392" i="1" s="1"/>
  <c r="Z392" i="1"/>
  <c r="AB392" i="1"/>
  <c r="AJ392" i="1" s="1"/>
  <c r="AK392" i="1" s="1"/>
  <c r="AL272" i="1"/>
  <c r="AN272" i="1" s="1"/>
  <c r="Z272" i="1"/>
  <c r="AB272" i="1"/>
  <c r="AJ272" i="1" s="1"/>
  <c r="AK272" i="1" s="1"/>
  <c r="AJ152" i="1"/>
  <c r="AK152" i="1" s="1"/>
  <c r="AL20" i="1"/>
  <c r="AN20" i="1" s="1"/>
  <c r="Z20" i="1"/>
  <c r="AB20" i="1"/>
  <c r="AJ20" i="1" s="1"/>
  <c r="AK20" i="1" s="1"/>
  <c r="AL244" i="1"/>
  <c r="AN244" i="1" s="1"/>
  <c r="Z244" i="1"/>
  <c r="AB244" i="1"/>
  <c r="AJ244" i="1" s="1"/>
  <c r="AK244" i="1" s="1"/>
  <c r="AL803" i="1"/>
  <c r="AN803" i="1" s="1"/>
  <c r="Z803" i="1"/>
  <c r="AB803" i="1"/>
  <c r="AJ803" i="1" s="1"/>
  <c r="AK803" i="1" s="1"/>
  <c r="AL948" i="1"/>
  <c r="AN948" i="1" s="1"/>
  <c r="AB948" i="1"/>
  <c r="AJ948" i="1" s="1"/>
  <c r="AK948" i="1" s="1"/>
  <c r="Z948" i="1"/>
  <c r="AL655" i="1"/>
  <c r="AN655" i="1" s="1"/>
  <c r="Z655" i="1"/>
  <c r="AB655" i="1"/>
  <c r="AL511" i="1"/>
  <c r="AN511" i="1" s="1"/>
  <c r="Z511" i="1"/>
  <c r="AB511" i="1"/>
  <c r="AL367" i="1"/>
  <c r="AN367" i="1" s="1"/>
  <c r="AB367" i="1"/>
  <c r="Z367" i="1"/>
  <c r="AL223" i="1"/>
  <c r="AN223" i="1" s="1"/>
  <c r="Z223" i="1"/>
  <c r="AB223" i="1"/>
  <c r="AL79" i="1"/>
  <c r="AN79" i="1" s="1"/>
  <c r="Z79" i="1"/>
  <c r="AB79" i="1"/>
  <c r="AL109" i="1"/>
  <c r="AN109" i="1" s="1"/>
  <c r="Z109" i="1"/>
  <c r="AB109" i="1"/>
  <c r="AJ109" i="1" s="1"/>
  <c r="AK109" i="1" s="1"/>
  <c r="AL683" i="1"/>
  <c r="AN683" i="1" s="1"/>
  <c r="Z683" i="1"/>
  <c r="AB683" i="1"/>
  <c r="AJ683" i="1" s="1"/>
  <c r="AK683" i="1" s="1"/>
  <c r="AL916" i="1"/>
  <c r="AN916" i="1" s="1"/>
  <c r="Z916" i="1"/>
  <c r="AB916" i="1"/>
  <c r="AJ916" i="1" s="1"/>
  <c r="AK916" i="1" s="1"/>
  <c r="AL738" i="1"/>
  <c r="AN738" i="1" s="1"/>
  <c r="Z738" i="1"/>
  <c r="AB738" i="1"/>
  <c r="AJ738" i="1" s="1"/>
  <c r="AK738" i="1" s="1"/>
  <c r="AJ618" i="1"/>
  <c r="AK618" i="1" s="1"/>
  <c r="AL486" i="1"/>
  <c r="AN486" i="1" s="1"/>
  <c r="Z486" i="1"/>
  <c r="AB486" i="1"/>
  <c r="AJ486" i="1" s="1"/>
  <c r="AK486" i="1" s="1"/>
  <c r="AL354" i="1"/>
  <c r="AN354" i="1" s="1"/>
  <c r="Z354" i="1"/>
  <c r="AB354" i="1"/>
  <c r="AJ354" i="1" s="1"/>
  <c r="AL234" i="1"/>
  <c r="AN234" i="1" s="1"/>
  <c r="Z234" i="1"/>
  <c r="AB234" i="1"/>
  <c r="AJ234" i="1" s="1"/>
  <c r="AK234" i="1" s="1"/>
  <c r="AL569" i="1"/>
  <c r="AN569" i="1" s="1"/>
  <c r="Z569" i="1"/>
  <c r="AB569" i="1"/>
  <c r="AJ569" i="1" s="1"/>
  <c r="AK569" i="1" s="1"/>
  <c r="AL884" i="1"/>
  <c r="AN884" i="1" s="1"/>
  <c r="AB884" i="1"/>
  <c r="AJ884" i="1" s="1"/>
  <c r="AK884" i="1" s="1"/>
  <c r="Z884" i="1"/>
  <c r="AL950" i="1"/>
  <c r="AN950" i="1" s="1"/>
  <c r="AV950" i="1" s="1"/>
  <c r="BA950" i="1" s="1"/>
  <c r="AB950" i="1"/>
  <c r="AJ950" i="1" s="1"/>
  <c r="AK950" i="1" s="1"/>
  <c r="Z950" i="1"/>
  <c r="AL64" i="1"/>
  <c r="AN64" i="1" s="1"/>
  <c r="Z64" i="1"/>
  <c r="AB64" i="1"/>
  <c r="AL640" i="1"/>
  <c r="AN640" i="1" s="1"/>
  <c r="Z640" i="1"/>
  <c r="AB640" i="1"/>
  <c r="AL929" i="1"/>
  <c r="AN929" i="1" s="1"/>
  <c r="Z929" i="1"/>
  <c r="AB929" i="1"/>
  <c r="AJ929" i="1" s="1"/>
  <c r="AK929" i="1" s="1"/>
  <c r="AL760" i="1"/>
  <c r="AN760" i="1" s="1"/>
  <c r="Z760" i="1"/>
  <c r="AB760" i="1"/>
  <c r="AJ760" i="1" s="1"/>
  <c r="AK760" i="1" s="1"/>
  <c r="AL217" i="1"/>
  <c r="AN217" i="1" s="1"/>
  <c r="Z217" i="1"/>
  <c r="AB217" i="1"/>
  <c r="AJ217" i="1" s="1"/>
  <c r="AK217" i="1" s="1"/>
  <c r="AL786" i="1"/>
  <c r="AN786" i="1" s="1"/>
  <c r="AB786" i="1"/>
  <c r="AJ786" i="1" s="1"/>
  <c r="AK786" i="1" s="1"/>
  <c r="Z786" i="1"/>
  <c r="AL941" i="1"/>
  <c r="AN941" i="1" s="1"/>
  <c r="Z941" i="1"/>
  <c r="AB941" i="1"/>
  <c r="AJ941" i="1" s="1"/>
  <c r="AK941" i="1" s="1"/>
  <c r="AL735" i="1"/>
  <c r="AN735" i="1" s="1"/>
  <c r="Z735" i="1"/>
  <c r="AB735" i="1"/>
  <c r="AJ735" i="1" s="1"/>
  <c r="AL603" i="1"/>
  <c r="AN603" i="1" s="1"/>
  <c r="Z603" i="1"/>
  <c r="AB603" i="1"/>
  <c r="AJ603" i="1" s="1"/>
  <c r="AK603" i="1" s="1"/>
  <c r="AL471" i="1"/>
  <c r="AN471" i="1" s="1"/>
  <c r="Z471" i="1"/>
  <c r="AB471" i="1"/>
  <c r="AJ471" i="1" s="1"/>
  <c r="AK471" i="1" s="1"/>
  <c r="AL351" i="1"/>
  <c r="AN351" i="1" s="1"/>
  <c r="Z351" i="1"/>
  <c r="AB351" i="1"/>
  <c r="AJ351" i="1" s="1"/>
  <c r="AK351" i="1" s="1"/>
  <c r="AL231" i="1"/>
  <c r="AN231" i="1" s="1"/>
  <c r="Z231" i="1"/>
  <c r="AB231" i="1"/>
  <c r="AJ231" i="1" s="1"/>
  <c r="AK231" i="1" s="1"/>
  <c r="AL521" i="1"/>
  <c r="AN521" i="1" s="1"/>
  <c r="Z521" i="1"/>
  <c r="AB521" i="1"/>
  <c r="AJ521" i="1" s="1"/>
  <c r="AK521" i="1" s="1"/>
  <c r="AL362" i="1"/>
  <c r="AN362" i="1" s="1"/>
  <c r="Z362" i="1"/>
  <c r="AB362" i="1"/>
  <c r="AJ362" i="1" s="1"/>
  <c r="AL830" i="1"/>
  <c r="AN830" i="1" s="1"/>
  <c r="Z830" i="1"/>
  <c r="AB830" i="1"/>
  <c r="AJ830" i="1" s="1"/>
  <c r="AL975" i="1"/>
  <c r="AN975" i="1" s="1"/>
  <c r="Z975" i="1"/>
  <c r="AB975" i="1"/>
  <c r="AJ975" i="1" s="1"/>
  <c r="AL917" i="1"/>
  <c r="AN917" i="1" s="1"/>
  <c r="Z917" i="1"/>
  <c r="AB917" i="1"/>
  <c r="AJ917" i="1" s="1"/>
  <c r="AK917" i="1" s="1"/>
  <c r="AL124" i="1"/>
  <c r="AN124" i="1" s="1"/>
  <c r="Z124" i="1"/>
  <c r="AB124" i="1"/>
  <c r="AJ124" i="1" s="1"/>
  <c r="AK124" i="1" s="1"/>
  <c r="AL698" i="1"/>
  <c r="AN698" i="1" s="1"/>
  <c r="Z698" i="1"/>
  <c r="AB698" i="1"/>
  <c r="AJ698" i="1" s="1"/>
  <c r="AK698" i="1" s="1"/>
  <c r="AL932" i="1"/>
  <c r="AN932" i="1" s="1"/>
  <c r="AV932" i="1" s="1"/>
  <c r="BA932" i="1" s="1"/>
  <c r="AB932" i="1"/>
  <c r="AJ932" i="1" s="1"/>
  <c r="AK932" i="1" s="1"/>
  <c r="Z932" i="1"/>
  <c r="AL745" i="1"/>
  <c r="AN745" i="1" s="1"/>
  <c r="AB745" i="1"/>
  <c r="AJ745" i="1" s="1"/>
  <c r="AK745" i="1" s="1"/>
  <c r="Z745" i="1"/>
  <c r="AL797" i="1"/>
  <c r="AN797" i="1" s="1"/>
  <c r="AB797" i="1"/>
  <c r="AJ797" i="1" s="1"/>
  <c r="AK797" i="1" s="1"/>
  <c r="Z797" i="1"/>
  <c r="AL955" i="1"/>
  <c r="AN955" i="1" s="1"/>
  <c r="AB955" i="1"/>
  <c r="AJ955" i="1" s="1"/>
  <c r="AK955" i="1" s="1"/>
  <c r="Z955" i="1"/>
  <c r="AL660" i="1"/>
  <c r="AN660" i="1" s="1"/>
  <c r="Z660" i="1"/>
  <c r="AB660" i="1"/>
  <c r="AJ660" i="1" s="1"/>
  <c r="AL540" i="1"/>
  <c r="AN540" i="1" s="1"/>
  <c r="Z540" i="1"/>
  <c r="AB540" i="1"/>
  <c r="AJ540" i="1" s="1"/>
  <c r="AK540" i="1" s="1"/>
  <c r="AL288" i="1"/>
  <c r="AN288" i="1" s="1"/>
  <c r="Z288" i="1"/>
  <c r="AB288" i="1"/>
  <c r="AJ288" i="1" s="1"/>
  <c r="AK288" i="1" s="1"/>
  <c r="AL108" i="1"/>
  <c r="AN108" i="1" s="1"/>
  <c r="Z108" i="1"/>
  <c r="AB108" i="1"/>
  <c r="AJ108" i="1" s="1"/>
  <c r="AK108" i="1" s="1"/>
  <c r="AL449" i="1"/>
  <c r="AN449" i="1" s="1"/>
  <c r="Z449" i="1"/>
  <c r="AB449" i="1"/>
  <c r="AJ449" i="1" s="1"/>
  <c r="AL470" i="1"/>
  <c r="AN470" i="1" s="1"/>
  <c r="Z470" i="1"/>
  <c r="AB470" i="1"/>
  <c r="AJ470" i="1" s="1"/>
  <c r="AK470" i="1" s="1"/>
  <c r="AL889" i="1"/>
  <c r="AN889" i="1" s="1"/>
  <c r="AB889" i="1"/>
  <c r="AJ889" i="1" s="1"/>
  <c r="AK889" i="1" s="1"/>
  <c r="Z889" i="1"/>
  <c r="AL767" i="1"/>
  <c r="AN767" i="1" s="1"/>
  <c r="Z767" i="1"/>
  <c r="AB767" i="1"/>
  <c r="AJ767" i="1" s="1"/>
  <c r="AK767" i="1" s="1"/>
  <c r="AL587" i="1"/>
  <c r="AN587" i="1" s="1"/>
  <c r="Z587" i="1"/>
  <c r="AB587" i="1"/>
  <c r="AJ587" i="1" s="1"/>
  <c r="AK587" i="1" s="1"/>
  <c r="AL467" i="1"/>
  <c r="AN467" i="1" s="1"/>
  <c r="Z467" i="1"/>
  <c r="AB467" i="1"/>
  <c r="AJ467" i="1" s="1"/>
  <c r="AL347" i="1"/>
  <c r="AN347" i="1" s="1"/>
  <c r="Z347" i="1"/>
  <c r="AB347" i="1"/>
  <c r="AJ347" i="1" s="1"/>
  <c r="AK347" i="1" s="1"/>
  <c r="AL215" i="1"/>
  <c r="AN215" i="1" s="1"/>
  <c r="Z215" i="1"/>
  <c r="AB215" i="1"/>
  <c r="AJ215" i="1" s="1"/>
  <c r="AK215" i="1" s="1"/>
  <c r="AL83" i="1"/>
  <c r="AN83" i="1" s="1"/>
  <c r="Z83" i="1"/>
  <c r="AB83" i="1"/>
  <c r="AJ83" i="1" s="1"/>
  <c r="AK83" i="1" s="1"/>
  <c r="AL28" i="1"/>
  <c r="AN28" i="1" s="1"/>
  <c r="Z28" i="1"/>
  <c r="AB28" i="1"/>
  <c r="AJ28" i="1" s="1"/>
  <c r="AK28" i="1" s="1"/>
  <c r="AL616" i="1"/>
  <c r="AN616" i="1" s="1"/>
  <c r="Z616" i="1"/>
  <c r="AB616" i="1"/>
  <c r="AJ616" i="1" s="1"/>
  <c r="AK616" i="1" s="1"/>
  <c r="AL901" i="1"/>
  <c r="AN901" i="1" s="1"/>
  <c r="AB901" i="1"/>
  <c r="AJ901" i="1" s="1"/>
  <c r="AK901" i="1" s="1"/>
  <c r="Z901" i="1"/>
  <c r="AL706" i="1"/>
  <c r="AN706" i="1" s="1"/>
  <c r="Z706" i="1"/>
  <c r="AB706" i="1"/>
  <c r="AJ706" i="1" s="1"/>
  <c r="AL574" i="1"/>
  <c r="AN574" i="1" s="1"/>
  <c r="Z574" i="1"/>
  <c r="AB574" i="1"/>
  <c r="AJ574" i="1" s="1"/>
  <c r="AL454" i="1"/>
  <c r="AN454" i="1" s="1"/>
  <c r="Z454" i="1"/>
  <c r="AB454" i="1"/>
  <c r="AJ454" i="1" s="1"/>
  <c r="AK454" i="1" s="1"/>
  <c r="AL322" i="1"/>
  <c r="AN322" i="1" s="1"/>
  <c r="Z322" i="1"/>
  <c r="AB322" i="1"/>
  <c r="AL202" i="1"/>
  <c r="AN202" i="1" s="1"/>
  <c r="Z202" i="1"/>
  <c r="AB202" i="1"/>
  <c r="AJ202" i="1" s="1"/>
  <c r="AK202" i="1" s="1"/>
  <c r="AL82" i="1"/>
  <c r="AN82" i="1" s="1"/>
  <c r="Z82" i="1"/>
  <c r="AB82" i="1"/>
  <c r="AJ82" i="1" s="1"/>
  <c r="AK82" i="1" s="1"/>
  <c r="AL433" i="1"/>
  <c r="AN433" i="1" s="1"/>
  <c r="Z433" i="1"/>
  <c r="AB433" i="1"/>
  <c r="AJ433" i="1" s="1"/>
  <c r="AL869" i="1"/>
  <c r="AN869" i="1" s="1"/>
  <c r="AB869" i="1"/>
  <c r="AJ869" i="1" s="1"/>
  <c r="Z869" i="1"/>
  <c r="AL777" i="1"/>
  <c r="AN777" i="1" s="1"/>
  <c r="Z777" i="1"/>
  <c r="AB777" i="1"/>
  <c r="AJ777" i="1" s="1"/>
  <c r="AK777" i="1" s="1"/>
  <c r="AL609" i="1"/>
  <c r="AN609" i="1" s="1"/>
  <c r="Z609" i="1"/>
  <c r="AB609" i="1"/>
  <c r="AJ609" i="1" s="1"/>
  <c r="AL489" i="1"/>
  <c r="AN489" i="1" s="1"/>
  <c r="Z489" i="1"/>
  <c r="AB489" i="1"/>
  <c r="AJ489" i="1" s="1"/>
  <c r="AL357" i="1"/>
  <c r="AN357" i="1" s="1"/>
  <c r="Z357" i="1"/>
  <c r="AB357" i="1"/>
  <c r="AJ357" i="1" s="1"/>
  <c r="AK357" i="1" s="1"/>
  <c r="AL237" i="1"/>
  <c r="AN237" i="1" s="1"/>
  <c r="Z237" i="1"/>
  <c r="AB237" i="1"/>
  <c r="AJ237" i="1" s="1"/>
  <c r="AK237" i="1" s="1"/>
  <c r="AL105" i="1"/>
  <c r="AN105" i="1" s="1"/>
  <c r="Z105" i="1"/>
  <c r="AB105" i="1"/>
  <c r="AL545" i="1"/>
  <c r="AN545" i="1" s="1"/>
  <c r="Z545" i="1"/>
  <c r="AB545" i="1"/>
  <c r="AJ545" i="1" s="1"/>
  <c r="AL386" i="1"/>
  <c r="AN386" i="1" s="1"/>
  <c r="Z386" i="1"/>
  <c r="AB386" i="1"/>
  <c r="AJ386" i="1" s="1"/>
  <c r="AK386" i="1" s="1"/>
  <c r="AL858" i="1"/>
  <c r="AN858" i="1" s="1"/>
  <c r="AV858" i="1" s="1"/>
  <c r="BA858" i="1" s="1"/>
  <c r="AB858" i="1"/>
  <c r="AJ858" i="1" s="1"/>
  <c r="AK858" i="1" s="1"/>
  <c r="Z858" i="1"/>
  <c r="AL1003" i="1"/>
  <c r="AN1003" i="1" s="1"/>
  <c r="Z1003" i="1"/>
  <c r="AB1003" i="1"/>
  <c r="AJ1003" i="1" s="1"/>
  <c r="AK1003" i="1" s="1"/>
  <c r="AL632" i="1"/>
  <c r="AN632" i="1" s="1"/>
  <c r="Z632" i="1"/>
  <c r="AB632" i="1"/>
  <c r="AJ632" i="1" s="1"/>
  <c r="AK632" i="1" s="1"/>
  <c r="AL380" i="1"/>
  <c r="AN380" i="1" s="1"/>
  <c r="Z380" i="1"/>
  <c r="AB380" i="1"/>
  <c r="AJ380" i="1" s="1"/>
  <c r="AK380" i="1" s="1"/>
  <c r="AL260" i="1"/>
  <c r="AN260" i="1" s="1"/>
  <c r="Z260" i="1"/>
  <c r="AB260" i="1"/>
  <c r="AJ260" i="1" s="1"/>
  <c r="AL140" i="1"/>
  <c r="AN140" i="1" s="1"/>
  <c r="Z140" i="1"/>
  <c r="AB140" i="1"/>
  <c r="AJ140" i="1" s="1"/>
  <c r="AK140" i="1" s="1"/>
  <c r="AL10" i="1"/>
  <c r="AN10" i="1" s="1"/>
  <c r="Z10" i="1"/>
  <c r="AB10" i="1"/>
  <c r="AJ10" i="1" s="1"/>
  <c r="AL292" i="1"/>
  <c r="AN292" i="1" s="1"/>
  <c r="Z292" i="1"/>
  <c r="AB292" i="1"/>
  <c r="AJ292" i="1" s="1"/>
  <c r="AK292" i="1" s="1"/>
  <c r="Z826" i="1"/>
  <c r="AL826" i="1"/>
  <c r="AN826" i="1" s="1"/>
  <c r="AB826" i="1"/>
  <c r="AJ826" i="1" s="1"/>
  <c r="AK826" i="1" s="1"/>
  <c r="AL959" i="1"/>
  <c r="AN959" i="1" s="1"/>
  <c r="Z959" i="1"/>
  <c r="AB959" i="1"/>
  <c r="AJ959" i="1" s="1"/>
  <c r="AK959" i="1" s="1"/>
  <c r="AL643" i="1"/>
  <c r="AN643" i="1" s="1"/>
  <c r="Z643" i="1"/>
  <c r="AB643" i="1"/>
  <c r="AL499" i="1"/>
  <c r="AN499" i="1" s="1"/>
  <c r="Z499" i="1"/>
  <c r="AB499" i="1"/>
  <c r="AL355" i="1"/>
  <c r="AN355" i="1" s="1"/>
  <c r="Z355" i="1"/>
  <c r="AB355" i="1"/>
  <c r="AJ355" i="1" s="1"/>
  <c r="AL211" i="1"/>
  <c r="AN211" i="1" s="1"/>
  <c r="Z211" i="1"/>
  <c r="AB211" i="1"/>
  <c r="AL67" i="1"/>
  <c r="AN67" i="1" s="1"/>
  <c r="Z67" i="1"/>
  <c r="AB67" i="1"/>
  <c r="AL157" i="1"/>
  <c r="AN157" i="1" s="1"/>
  <c r="Z157" i="1"/>
  <c r="AB157" i="1"/>
  <c r="AJ157" i="1" s="1"/>
  <c r="AK157" i="1" s="1"/>
  <c r="AL729" i="1"/>
  <c r="AN729" i="1" s="1"/>
  <c r="Z729" i="1"/>
  <c r="AB729" i="1"/>
  <c r="AJ729" i="1" s="1"/>
  <c r="AK729" i="1" s="1"/>
  <c r="AL927" i="1"/>
  <c r="AN927" i="1" s="1"/>
  <c r="Z927" i="1"/>
  <c r="AB927" i="1"/>
  <c r="AJ927" i="1" s="1"/>
  <c r="AK927" i="1" s="1"/>
  <c r="AL726" i="1"/>
  <c r="AN726" i="1" s="1"/>
  <c r="Z726" i="1"/>
  <c r="AB726" i="1"/>
  <c r="AJ726" i="1" s="1"/>
  <c r="AK726" i="1" s="1"/>
  <c r="AL606" i="1"/>
  <c r="AN606" i="1" s="1"/>
  <c r="Z606" i="1"/>
  <c r="AB606" i="1"/>
  <c r="AJ606" i="1" s="1"/>
  <c r="AK606" i="1" s="1"/>
  <c r="AL474" i="1"/>
  <c r="AN474" i="1" s="1"/>
  <c r="Z474" i="1"/>
  <c r="AB474" i="1"/>
  <c r="AJ474" i="1" s="1"/>
  <c r="AL342" i="1"/>
  <c r="AN342" i="1" s="1"/>
  <c r="Z342" i="1"/>
  <c r="AB342" i="1"/>
  <c r="AJ342" i="1" s="1"/>
  <c r="AK342" i="1" s="1"/>
  <c r="AL222" i="1"/>
  <c r="AN222" i="1" s="1"/>
  <c r="Z222" i="1"/>
  <c r="AB222" i="1"/>
  <c r="AJ222" i="1" s="1"/>
  <c r="AK222" i="1" s="1"/>
  <c r="AL102" i="1"/>
  <c r="AN102" i="1" s="1"/>
  <c r="Z102" i="1"/>
  <c r="AB102" i="1"/>
  <c r="AJ102" i="1" s="1"/>
  <c r="AK102" i="1" s="1"/>
  <c r="AL461" i="1"/>
  <c r="AN461" i="1" s="1"/>
  <c r="Z461" i="1"/>
  <c r="AB461" i="1"/>
  <c r="AJ461" i="1" s="1"/>
  <c r="AK461" i="1" s="1"/>
  <c r="AL590" i="1"/>
  <c r="AN590" i="1" s="1"/>
  <c r="Z590" i="1"/>
  <c r="AB590" i="1"/>
  <c r="AJ590" i="1" s="1"/>
  <c r="AK590" i="1" s="1"/>
  <c r="AL254" i="1"/>
  <c r="AN254" i="1" s="1"/>
  <c r="Z254" i="1"/>
  <c r="AB254" i="1"/>
  <c r="AJ254" i="1" s="1"/>
  <c r="AK254" i="1" s="1"/>
  <c r="AL73" i="1"/>
  <c r="AN73" i="1" s="1"/>
  <c r="Z73" i="1"/>
  <c r="AB73" i="1"/>
  <c r="AJ73" i="1" s="1"/>
  <c r="AK73" i="1" s="1"/>
  <c r="AL144" i="1"/>
  <c r="AN144" i="1" s="1"/>
  <c r="Z144" i="1"/>
  <c r="AB144" i="1"/>
  <c r="AJ144" i="1" s="1"/>
  <c r="AK144" i="1" s="1"/>
  <c r="AL112" i="1"/>
  <c r="AN112" i="1" s="1"/>
  <c r="Z112" i="1"/>
  <c r="AB112" i="1"/>
  <c r="AJ112" i="1" s="1"/>
  <c r="AL686" i="1"/>
  <c r="AN686" i="1" s="1"/>
  <c r="Z686" i="1"/>
  <c r="AB686" i="1"/>
  <c r="AJ686" i="1" s="1"/>
  <c r="AL940" i="1"/>
  <c r="AN940" i="1" s="1"/>
  <c r="Z940" i="1"/>
  <c r="AB940" i="1"/>
  <c r="AJ940" i="1" s="1"/>
  <c r="AK940" i="1" s="1"/>
  <c r="AL748" i="1"/>
  <c r="AN748" i="1" s="1"/>
  <c r="Z748" i="1"/>
  <c r="AB748" i="1"/>
  <c r="AJ748" i="1" s="1"/>
  <c r="AK748" i="1" s="1"/>
  <c r="AL497" i="1"/>
  <c r="AN497" i="1" s="1"/>
  <c r="Z497" i="1"/>
  <c r="AB497" i="1"/>
  <c r="AJ497" i="1" s="1"/>
  <c r="AL265" i="1"/>
  <c r="AN265" i="1" s="1"/>
  <c r="Z265" i="1"/>
  <c r="AB265" i="1"/>
  <c r="AJ265" i="1" s="1"/>
  <c r="AK265" i="1" s="1"/>
  <c r="AL807" i="1"/>
  <c r="AN807" i="1" s="1"/>
  <c r="Z807" i="1"/>
  <c r="AB807" i="1"/>
  <c r="AJ807" i="1" s="1"/>
  <c r="AK807" i="1" s="1"/>
  <c r="AL952" i="1"/>
  <c r="AN952" i="1" s="1"/>
  <c r="Z952" i="1"/>
  <c r="AB952" i="1"/>
  <c r="AJ952" i="1" s="1"/>
  <c r="AK952" i="1" s="1"/>
  <c r="AL723" i="1"/>
  <c r="AN723" i="1" s="1"/>
  <c r="Z723" i="1"/>
  <c r="AB723" i="1"/>
  <c r="AJ723" i="1" s="1"/>
  <c r="AK723" i="1" s="1"/>
  <c r="AL591" i="1"/>
  <c r="AN591" i="1" s="1"/>
  <c r="Z591" i="1"/>
  <c r="AB591" i="1"/>
  <c r="AJ591" i="1" s="1"/>
  <c r="AK591" i="1" s="1"/>
  <c r="AL339" i="1"/>
  <c r="AN339" i="1" s="1"/>
  <c r="Z339" i="1"/>
  <c r="AB339" i="1"/>
  <c r="AJ339" i="1" s="1"/>
  <c r="AK339" i="1" s="1"/>
  <c r="Z219" i="1"/>
  <c r="AL219" i="1"/>
  <c r="AN219" i="1" s="1"/>
  <c r="AB219" i="1"/>
  <c r="AJ219" i="1" s="1"/>
  <c r="AL99" i="1"/>
  <c r="AN99" i="1" s="1"/>
  <c r="Z99" i="1"/>
  <c r="AB99" i="1"/>
  <c r="AJ99" i="1" s="1"/>
  <c r="AK99" i="1" s="1"/>
  <c r="AL389" i="1"/>
  <c r="AN389" i="1" s="1"/>
  <c r="Z389" i="1"/>
  <c r="AB389" i="1"/>
  <c r="AL410" i="1"/>
  <c r="AN410" i="1" s="1"/>
  <c r="Z410" i="1"/>
  <c r="AB410" i="1"/>
  <c r="AJ410" i="1" s="1"/>
  <c r="AK410" i="1" s="1"/>
  <c r="AL841" i="1"/>
  <c r="AN841" i="1" s="1"/>
  <c r="AB841" i="1"/>
  <c r="AJ841" i="1" s="1"/>
  <c r="AK841" i="1" s="1"/>
  <c r="Z841" i="1"/>
  <c r="AL986" i="1"/>
  <c r="AN986" i="1" s="1"/>
  <c r="AB986" i="1"/>
  <c r="AJ986" i="1" s="1"/>
  <c r="AK986" i="1" s="1"/>
  <c r="Z986" i="1"/>
  <c r="AL737" i="1"/>
  <c r="AN737" i="1" s="1"/>
  <c r="Z737" i="1"/>
  <c r="AB737" i="1"/>
  <c r="AJ737" i="1" s="1"/>
  <c r="AK737" i="1" s="1"/>
  <c r="AL172" i="1"/>
  <c r="AN172" i="1" s="1"/>
  <c r="Z172" i="1"/>
  <c r="AB172" i="1"/>
  <c r="AJ172" i="1" s="1"/>
  <c r="AL743" i="1"/>
  <c r="AN743" i="1" s="1"/>
  <c r="Z743" i="1"/>
  <c r="AB743" i="1"/>
  <c r="AJ743" i="1" s="1"/>
  <c r="AL943" i="1"/>
  <c r="AN943" i="1" s="1"/>
  <c r="AB943" i="1"/>
  <c r="AJ943" i="1" s="1"/>
  <c r="Z943" i="1"/>
  <c r="AL733" i="1"/>
  <c r="AN733" i="1" s="1"/>
  <c r="Z733" i="1"/>
  <c r="AB733" i="1"/>
  <c r="AJ733" i="1" s="1"/>
  <c r="AK733" i="1" s="1"/>
  <c r="AL85" i="1"/>
  <c r="AN85" i="1" s="1"/>
  <c r="Z85" i="1"/>
  <c r="AB85" i="1"/>
  <c r="AJ85" i="1" s="1"/>
  <c r="AK85" i="1" s="1"/>
  <c r="AL810" i="1"/>
  <c r="AN810" i="1" s="1"/>
  <c r="Z810" i="1"/>
  <c r="AB810" i="1"/>
  <c r="AJ810" i="1" s="1"/>
  <c r="AK810" i="1" s="1"/>
  <c r="AL966" i="1"/>
  <c r="AN966" i="1" s="1"/>
  <c r="AB966" i="1"/>
  <c r="AJ966" i="1" s="1"/>
  <c r="AK966" i="1" s="1"/>
  <c r="Z966" i="1"/>
  <c r="AL648" i="1"/>
  <c r="AN648" i="1" s="1"/>
  <c r="Z648" i="1"/>
  <c r="AB648" i="1"/>
  <c r="AJ648" i="1" s="1"/>
  <c r="AK648" i="1" s="1"/>
  <c r="AL528" i="1"/>
  <c r="AN528" i="1" s="1"/>
  <c r="Z528" i="1"/>
  <c r="AB528" i="1"/>
  <c r="AJ528" i="1" s="1"/>
  <c r="AK528" i="1" s="1"/>
  <c r="AL408" i="1"/>
  <c r="AN408" i="1" s="1"/>
  <c r="Z408" i="1"/>
  <c r="AB408" i="1"/>
  <c r="AJ408" i="1" s="1"/>
  <c r="AK408" i="1" s="1"/>
  <c r="AL276" i="1"/>
  <c r="AN276" i="1" s="1"/>
  <c r="Z276" i="1"/>
  <c r="AB276" i="1"/>
  <c r="AJ276" i="1" s="1"/>
  <c r="AL96" i="1"/>
  <c r="AN96" i="1" s="1"/>
  <c r="Z96" i="1"/>
  <c r="AB96" i="1"/>
  <c r="AJ96" i="1" s="1"/>
  <c r="AL245" i="1"/>
  <c r="AN245" i="1" s="1"/>
  <c r="Z245" i="1"/>
  <c r="AB245" i="1"/>
  <c r="AJ245" i="1" s="1"/>
  <c r="AK245" i="1" s="1"/>
  <c r="AL662" i="1"/>
  <c r="AN662" i="1" s="1"/>
  <c r="Z662" i="1"/>
  <c r="AB662" i="1"/>
  <c r="AJ662" i="1" s="1"/>
  <c r="AL900" i="1"/>
  <c r="AN900" i="1" s="1"/>
  <c r="Z900" i="1"/>
  <c r="AB900" i="1"/>
  <c r="AJ900" i="1" s="1"/>
  <c r="AL755" i="1"/>
  <c r="AN755" i="1" s="1"/>
  <c r="Z755" i="1"/>
  <c r="AB755" i="1"/>
  <c r="AJ755" i="1" s="1"/>
  <c r="AK755" i="1" s="1"/>
  <c r="AL455" i="1"/>
  <c r="AN455" i="1" s="1"/>
  <c r="Z455" i="1"/>
  <c r="AB455" i="1"/>
  <c r="AJ455" i="1" s="1"/>
  <c r="AK455" i="1" s="1"/>
  <c r="AL335" i="1"/>
  <c r="AN335" i="1" s="1"/>
  <c r="Z335" i="1"/>
  <c r="AB335" i="1"/>
  <c r="AJ335" i="1" s="1"/>
  <c r="AK335" i="1" s="1"/>
  <c r="AL203" i="1"/>
  <c r="AN203" i="1" s="1"/>
  <c r="Z203" i="1"/>
  <c r="AB203" i="1"/>
  <c r="AJ203" i="1" s="1"/>
  <c r="AK203" i="1" s="1"/>
  <c r="AL88" i="1"/>
  <c r="AN88" i="1" s="1"/>
  <c r="Z88" i="1"/>
  <c r="AB88" i="1"/>
  <c r="AJ88" i="1" s="1"/>
  <c r="AL664" i="1"/>
  <c r="AN664" i="1" s="1"/>
  <c r="Z664" i="1"/>
  <c r="AB664" i="1"/>
  <c r="AJ664" i="1" s="1"/>
  <c r="AL912" i="1"/>
  <c r="AN912" i="1" s="1"/>
  <c r="Z912" i="1"/>
  <c r="AB912" i="1"/>
  <c r="AJ912" i="1" s="1"/>
  <c r="AK912" i="1" s="1"/>
  <c r="AL694" i="1"/>
  <c r="AN694" i="1" s="1"/>
  <c r="Z694" i="1"/>
  <c r="AB694" i="1"/>
  <c r="AJ694" i="1" s="1"/>
  <c r="AK694" i="1" s="1"/>
  <c r="AL562" i="1"/>
  <c r="AN562" i="1" s="1"/>
  <c r="Z562" i="1"/>
  <c r="AB562" i="1"/>
  <c r="AJ562" i="1" s="1"/>
  <c r="AK562" i="1" s="1"/>
  <c r="AL442" i="1"/>
  <c r="AN442" i="1" s="1"/>
  <c r="Z442" i="1"/>
  <c r="AB442" i="1"/>
  <c r="AJ442" i="1" s="1"/>
  <c r="AK442" i="1" s="1"/>
  <c r="AJ322" i="1"/>
  <c r="AK322" i="1" s="1"/>
  <c r="AL190" i="1"/>
  <c r="AN190" i="1" s="1"/>
  <c r="Z190" i="1"/>
  <c r="AB190" i="1"/>
  <c r="AJ190" i="1" s="1"/>
  <c r="AK190" i="1" s="1"/>
  <c r="AJ70" i="1"/>
  <c r="AK70" i="1" s="1"/>
  <c r="AL70" i="1"/>
  <c r="AN70" i="1" s="1"/>
  <c r="Z70" i="1"/>
  <c r="AB70" i="1"/>
  <c r="AL257" i="1"/>
  <c r="AN257" i="1" s="1"/>
  <c r="Z257" i="1"/>
  <c r="AB257" i="1"/>
  <c r="AJ257" i="1" s="1"/>
  <c r="AK257" i="1" s="1"/>
  <c r="AL481" i="1"/>
  <c r="AN481" i="1" s="1"/>
  <c r="AB481" i="1"/>
  <c r="AJ481" i="1" s="1"/>
  <c r="AK481" i="1" s="1"/>
  <c r="Z481" i="1"/>
  <c r="AL880" i="1"/>
  <c r="AN880" i="1" s="1"/>
  <c r="Z880" i="1"/>
  <c r="AB880" i="1"/>
  <c r="AJ880" i="1" s="1"/>
  <c r="AK880" i="1" s="1"/>
  <c r="AL765" i="1"/>
  <c r="AN765" i="1" s="1"/>
  <c r="Z765" i="1"/>
  <c r="AB765" i="1"/>
  <c r="AJ765" i="1" s="1"/>
  <c r="AK765" i="1" s="1"/>
  <c r="AL477" i="1"/>
  <c r="AN477" i="1" s="1"/>
  <c r="Z477" i="1"/>
  <c r="AB477" i="1"/>
  <c r="AJ477" i="1" s="1"/>
  <c r="AK477" i="1" s="1"/>
  <c r="AL345" i="1"/>
  <c r="AN345" i="1" s="1"/>
  <c r="Z345" i="1"/>
  <c r="AB345" i="1"/>
  <c r="AJ345" i="1" s="1"/>
  <c r="AL225" i="1"/>
  <c r="AN225" i="1" s="1"/>
  <c r="AV225" i="1" s="1"/>
  <c r="BA225" i="1" s="1"/>
  <c r="Z225" i="1"/>
  <c r="AB225" i="1"/>
  <c r="AJ225" i="1" s="1"/>
  <c r="AK225" i="1" s="1"/>
  <c r="AJ105" i="1"/>
  <c r="AK105" i="1" s="1"/>
  <c r="AL425" i="1"/>
  <c r="AN425" i="1" s="1"/>
  <c r="Z425" i="1"/>
  <c r="AB425" i="1"/>
  <c r="AJ425" i="1" s="1"/>
  <c r="AK425" i="1" s="1"/>
  <c r="AL434" i="1"/>
  <c r="AN434" i="1" s="1"/>
  <c r="Z434" i="1"/>
  <c r="AB434" i="1"/>
  <c r="AJ434" i="1" s="1"/>
  <c r="AK434" i="1" s="1"/>
  <c r="AL870" i="1"/>
  <c r="AN870" i="1" s="1"/>
  <c r="AB870" i="1"/>
  <c r="AJ870" i="1" s="1"/>
  <c r="AK870" i="1" s="1"/>
  <c r="Z870" i="1"/>
  <c r="AL788" i="1"/>
  <c r="AN788" i="1" s="1"/>
  <c r="Z788" i="1"/>
  <c r="AB788" i="1"/>
  <c r="AL620" i="1"/>
  <c r="AN620" i="1" s="1"/>
  <c r="Z620" i="1"/>
  <c r="AB620" i="1"/>
  <c r="AJ620" i="1" s="1"/>
  <c r="AK620" i="1" s="1"/>
  <c r="AL500" i="1"/>
  <c r="AN500" i="1" s="1"/>
  <c r="Z500" i="1"/>
  <c r="AB500" i="1"/>
  <c r="AJ500" i="1" s="1"/>
  <c r="AK500" i="1" s="1"/>
  <c r="AL368" i="1"/>
  <c r="AN368" i="1" s="1"/>
  <c r="Z368" i="1"/>
  <c r="AB368" i="1"/>
  <c r="AJ368" i="1" s="1"/>
  <c r="AL248" i="1"/>
  <c r="AN248" i="1" s="1"/>
  <c r="Z248" i="1"/>
  <c r="AB248" i="1"/>
  <c r="AJ248" i="1" s="1"/>
  <c r="AK248" i="1" s="1"/>
  <c r="AL128" i="1"/>
  <c r="AN128" i="1" s="1"/>
  <c r="Z128" i="1"/>
  <c r="AB128" i="1"/>
  <c r="AJ128" i="1" s="1"/>
  <c r="AK128" i="1" s="1"/>
  <c r="AL761" i="1"/>
  <c r="AN761" i="1" s="1"/>
  <c r="Z761" i="1"/>
  <c r="AB761" i="1"/>
  <c r="AJ761" i="1" s="1"/>
  <c r="AK761" i="1" s="1"/>
  <c r="AL340" i="1"/>
  <c r="AN340" i="1" s="1"/>
  <c r="Z340" i="1"/>
  <c r="AB340" i="1"/>
  <c r="AJ340" i="1" s="1"/>
  <c r="AK340" i="1" s="1"/>
  <c r="AL837" i="1"/>
  <c r="AN837" i="1" s="1"/>
  <c r="Z837" i="1"/>
  <c r="AB837" i="1"/>
  <c r="AJ837" i="1" s="1"/>
  <c r="AK837" i="1" s="1"/>
  <c r="AL982" i="1"/>
  <c r="AN982" i="1" s="1"/>
  <c r="Z982" i="1"/>
  <c r="AB982" i="1"/>
  <c r="AJ982" i="1" s="1"/>
  <c r="AK982" i="1" s="1"/>
  <c r="AL631" i="1"/>
  <c r="AN631" i="1" s="1"/>
  <c r="AB631" i="1"/>
  <c r="AJ631" i="1" s="1"/>
  <c r="AK631" i="1" s="1"/>
  <c r="Z631" i="1"/>
  <c r="AL487" i="1"/>
  <c r="AN487" i="1" s="1"/>
  <c r="Z487" i="1"/>
  <c r="AB487" i="1"/>
  <c r="AJ487" i="1" s="1"/>
  <c r="AK487" i="1" s="1"/>
  <c r="AL343" i="1"/>
  <c r="AN343" i="1" s="1"/>
  <c r="Z343" i="1"/>
  <c r="AB343" i="1"/>
  <c r="AL199" i="1"/>
  <c r="AN199" i="1" s="1"/>
  <c r="Z199" i="1"/>
  <c r="AB199" i="1"/>
  <c r="AL55" i="1"/>
  <c r="AN55" i="1" s="1"/>
  <c r="Z55" i="1"/>
  <c r="AB55" i="1"/>
  <c r="AL205" i="1"/>
  <c r="AN205" i="1" s="1"/>
  <c r="Z205" i="1"/>
  <c r="AB205" i="1"/>
  <c r="AJ205" i="1" s="1"/>
  <c r="AK205" i="1" s="1"/>
  <c r="AL775" i="1"/>
  <c r="AN775" i="1" s="1"/>
  <c r="Z775" i="1"/>
  <c r="AB775" i="1"/>
  <c r="AJ775" i="1" s="1"/>
  <c r="AK775" i="1" s="1"/>
  <c r="AL938" i="1"/>
  <c r="AN938" i="1" s="1"/>
  <c r="AB938" i="1"/>
  <c r="AJ938" i="1" s="1"/>
  <c r="AK938" i="1" s="1"/>
  <c r="Z938" i="1"/>
  <c r="AL714" i="1"/>
  <c r="AN714" i="1" s="1"/>
  <c r="Z714" i="1"/>
  <c r="AB714" i="1"/>
  <c r="AJ714" i="1" s="1"/>
  <c r="AL594" i="1"/>
  <c r="AN594" i="1" s="1"/>
  <c r="Z594" i="1"/>
  <c r="AB594" i="1"/>
  <c r="AJ594" i="1" s="1"/>
  <c r="AK594" i="1" s="1"/>
  <c r="AL330" i="1"/>
  <c r="AN330" i="1" s="1"/>
  <c r="Z330" i="1"/>
  <c r="AB330" i="1"/>
  <c r="AL210" i="1"/>
  <c r="AN210" i="1" s="1"/>
  <c r="Z210" i="1"/>
  <c r="AB210" i="1"/>
  <c r="AJ210" i="1" s="1"/>
  <c r="AL90" i="1"/>
  <c r="AN90" i="1" s="1"/>
  <c r="Z90" i="1"/>
  <c r="AB90" i="1"/>
  <c r="AJ90" i="1" s="1"/>
  <c r="AK90" i="1" s="1"/>
  <c r="AL895" i="1"/>
  <c r="AN895" i="1" s="1"/>
  <c r="AB895" i="1"/>
  <c r="AJ895" i="1" s="1"/>
  <c r="AK895" i="1" s="1"/>
  <c r="Z895" i="1"/>
  <c r="AL805" i="1"/>
  <c r="AN805" i="1" s="1"/>
  <c r="AB805" i="1"/>
  <c r="AJ805" i="1" s="1"/>
  <c r="AK805" i="1" s="1"/>
  <c r="Z805" i="1"/>
  <c r="AL160" i="1"/>
  <c r="AN160" i="1" s="1"/>
  <c r="Z160" i="1"/>
  <c r="AB160" i="1"/>
  <c r="AJ160" i="1" s="1"/>
  <c r="AK160" i="1" s="1"/>
  <c r="AL732" i="1"/>
  <c r="AN732" i="1" s="1"/>
  <c r="Z732" i="1"/>
  <c r="AB732" i="1"/>
  <c r="AJ732" i="1" s="1"/>
  <c r="AK732" i="1" s="1"/>
  <c r="AL951" i="1"/>
  <c r="AN951" i="1" s="1"/>
  <c r="AV951" i="1" s="1"/>
  <c r="BA951" i="1" s="1"/>
  <c r="Z951" i="1"/>
  <c r="AB951" i="1"/>
  <c r="AJ951" i="1" s="1"/>
  <c r="AK951" i="1" s="1"/>
  <c r="AL437" i="1"/>
  <c r="AN437" i="1" s="1"/>
  <c r="Z437" i="1"/>
  <c r="AB437" i="1"/>
  <c r="AJ437" i="1" s="1"/>
  <c r="AK437" i="1" s="1"/>
  <c r="AL313" i="1"/>
  <c r="AN313" i="1" s="1"/>
  <c r="Z313" i="1"/>
  <c r="AB313" i="1"/>
  <c r="AJ313" i="1" s="1"/>
  <c r="AK313" i="1" s="1"/>
  <c r="AL818" i="1"/>
  <c r="AN818" i="1" s="1"/>
  <c r="AV818" i="1" s="1"/>
  <c r="BA818" i="1" s="1"/>
  <c r="Z818" i="1"/>
  <c r="AB818" i="1"/>
  <c r="AJ818" i="1" s="1"/>
  <c r="AK818" i="1" s="1"/>
  <c r="AL963" i="1"/>
  <c r="AN963" i="1" s="1"/>
  <c r="AV963" i="1" s="1"/>
  <c r="BA963" i="1" s="1"/>
  <c r="Z963" i="1"/>
  <c r="AB963" i="1"/>
  <c r="AJ963" i="1" s="1"/>
  <c r="AK963" i="1" s="1"/>
  <c r="AL711" i="1"/>
  <c r="AN711" i="1" s="1"/>
  <c r="Z711" i="1"/>
  <c r="AB711" i="1"/>
  <c r="AJ711" i="1" s="1"/>
  <c r="AK711" i="1" s="1"/>
  <c r="AL579" i="1"/>
  <c r="AN579" i="1" s="1"/>
  <c r="Z579" i="1"/>
  <c r="AB579" i="1"/>
  <c r="AJ579" i="1" s="1"/>
  <c r="AL459" i="1"/>
  <c r="AN459" i="1" s="1"/>
  <c r="AV459" i="1" s="1"/>
  <c r="BA459" i="1" s="1"/>
  <c r="Z459" i="1"/>
  <c r="AB459" i="1"/>
  <c r="AJ459" i="1" s="1"/>
  <c r="AK459" i="1" s="1"/>
  <c r="AL327" i="1"/>
  <c r="AN327" i="1" s="1"/>
  <c r="Z327" i="1"/>
  <c r="AB327" i="1"/>
  <c r="AL207" i="1"/>
  <c r="AN207" i="1" s="1"/>
  <c r="Z207" i="1"/>
  <c r="AB207" i="1"/>
  <c r="AJ207" i="1" s="1"/>
  <c r="AK207" i="1" s="1"/>
  <c r="AL87" i="1"/>
  <c r="AN87" i="1" s="1"/>
  <c r="Z87" i="1"/>
  <c r="AB87" i="1"/>
  <c r="AJ87" i="1" s="1"/>
  <c r="AK87" i="1" s="1"/>
  <c r="AJ389" i="1"/>
  <c r="AK389" i="1" s="1"/>
  <c r="AL458" i="1"/>
  <c r="AN458" i="1" s="1"/>
  <c r="Z458" i="1"/>
  <c r="AB458" i="1"/>
  <c r="AJ458" i="1" s="1"/>
  <c r="AK458" i="1" s="1"/>
  <c r="AL852" i="1"/>
  <c r="AN852" i="1" s="1"/>
  <c r="Z852" i="1"/>
  <c r="AB852" i="1"/>
  <c r="AJ852" i="1" s="1"/>
  <c r="AK852" i="1" s="1"/>
  <c r="AL997" i="1"/>
  <c r="AN997" i="1" s="1"/>
  <c r="AB997" i="1"/>
  <c r="AJ997" i="1" s="1"/>
  <c r="AK997" i="1" s="1"/>
  <c r="Z997" i="1"/>
  <c r="AL689" i="1"/>
  <c r="AN689" i="1" s="1"/>
  <c r="Z689" i="1"/>
  <c r="AB689" i="1"/>
  <c r="AJ689" i="1" s="1"/>
  <c r="AK689" i="1" s="1"/>
  <c r="AL220" i="1"/>
  <c r="AN220" i="1" s="1"/>
  <c r="Z220" i="1"/>
  <c r="AB220" i="1"/>
  <c r="AJ220" i="1" s="1"/>
  <c r="AK220" i="1" s="1"/>
  <c r="AL789" i="1"/>
  <c r="AN789" i="1" s="1"/>
  <c r="Z789" i="1"/>
  <c r="AB789" i="1"/>
  <c r="AJ789" i="1" s="1"/>
  <c r="AK789" i="1" s="1"/>
  <c r="AL954" i="1"/>
  <c r="AN954" i="1" s="1"/>
  <c r="AB954" i="1"/>
  <c r="AJ954" i="1" s="1"/>
  <c r="AK954" i="1" s="1"/>
  <c r="Z954" i="1"/>
  <c r="AL697" i="1"/>
  <c r="AN697" i="1" s="1"/>
  <c r="Z697" i="1"/>
  <c r="AB697" i="1"/>
  <c r="AJ697" i="1" s="1"/>
  <c r="AK697" i="1" s="1"/>
  <c r="AL133" i="1"/>
  <c r="AN133" i="1" s="1"/>
  <c r="Z133" i="1"/>
  <c r="AB133" i="1"/>
  <c r="AJ133" i="1" s="1"/>
  <c r="AK133" i="1" s="1"/>
  <c r="AL821" i="1"/>
  <c r="AN821" i="1" s="1"/>
  <c r="AB821" i="1"/>
  <c r="AJ821" i="1" s="1"/>
  <c r="AK821" i="1" s="1"/>
  <c r="Z821" i="1"/>
  <c r="AL977" i="1"/>
  <c r="AN977" i="1" s="1"/>
  <c r="Z977" i="1"/>
  <c r="AB977" i="1"/>
  <c r="AJ977" i="1" s="1"/>
  <c r="AK977" i="1" s="1"/>
  <c r="AL636" i="1"/>
  <c r="AN636" i="1" s="1"/>
  <c r="Z636" i="1"/>
  <c r="AB636" i="1"/>
  <c r="AJ636" i="1" s="1"/>
  <c r="AL516" i="1"/>
  <c r="AN516" i="1" s="1"/>
  <c r="Z516" i="1"/>
  <c r="AB516" i="1"/>
  <c r="AJ516" i="1" s="1"/>
  <c r="AL396" i="1"/>
  <c r="AN396" i="1" s="1"/>
  <c r="Z396" i="1"/>
  <c r="AB396" i="1"/>
  <c r="AJ396" i="1" s="1"/>
  <c r="AK396" i="1" s="1"/>
  <c r="AL264" i="1"/>
  <c r="AN264" i="1" s="1"/>
  <c r="Z264" i="1"/>
  <c r="AB264" i="1"/>
  <c r="AJ264" i="1" s="1"/>
  <c r="AK264" i="1" s="1"/>
  <c r="AL84" i="1"/>
  <c r="AN84" i="1" s="1"/>
  <c r="Z84" i="1"/>
  <c r="AB84" i="1"/>
  <c r="AJ84" i="1" s="1"/>
  <c r="AK84" i="1" s="1"/>
  <c r="AL53" i="1"/>
  <c r="AN53" i="1" s="1"/>
  <c r="Z53" i="1"/>
  <c r="AB53" i="1"/>
  <c r="AJ53" i="1" s="1"/>
  <c r="AK53" i="1" s="1"/>
  <c r="AL707" i="1"/>
  <c r="AN707" i="1" s="1"/>
  <c r="Z707" i="1"/>
  <c r="AB707" i="1"/>
  <c r="AJ707" i="1" s="1"/>
  <c r="AK707" i="1" s="1"/>
  <c r="AL911" i="1"/>
  <c r="AN911" i="1" s="1"/>
  <c r="AB911" i="1"/>
  <c r="AJ911" i="1" s="1"/>
  <c r="AK911" i="1" s="1"/>
  <c r="Z911" i="1"/>
  <c r="AL731" i="1"/>
  <c r="AN731" i="1" s="1"/>
  <c r="Z731" i="1"/>
  <c r="AB731" i="1"/>
  <c r="AJ731" i="1" s="1"/>
  <c r="AK731" i="1" s="1"/>
  <c r="AL575" i="1"/>
  <c r="AN575" i="1" s="1"/>
  <c r="Z575" i="1"/>
  <c r="AB575" i="1"/>
  <c r="AJ575" i="1" s="1"/>
  <c r="AK575" i="1" s="1"/>
  <c r="AL443" i="1"/>
  <c r="AN443" i="1" s="1"/>
  <c r="Z443" i="1"/>
  <c r="AB443" i="1"/>
  <c r="AL323" i="1"/>
  <c r="AN323" i="1" s="1"/>
  <c r="Z323" i="1"/>
  <c r="AB323" i="1"/>
  <c r="AJ323" i="1" s="1"/>
  <c r="AL191" i="1"/>
  <c r="AN191" i="1" s="1"/>
  <c r="Z191" i="1"/>
  <c r="AB191" i="1"/>
  <c r="AJ191" i="1" s="1"/>
  <c r="AK191" i="1" s="1"/>
  <c r="AL71" i="1"/>
  <c r="AN71" i="1" s="1"/>
  <c r="Z71" i="1"/>
  <c r="AB71" i="1"/>
  <c r="AJ71" i="1" s="1"/>
  <c r="AK71" i="1" s="1"/>
  <c r="AL136" i="1"/>
  <c r="AN136" i="1" s="1"/>
  <c r="Z136" i="1"/>
  <c r="AB136" i="1"/>
  <c r="AJ136" i="1" s="1"/>
  <c r="AK136" i="1" s="1"/>
  <c r="AL709" i="1"/>
  <c r="AN709" i="1" s="1"/>
  <c r="AB709" i="1"/>
  <c r="AJ709" i="1" s="1"/>
  <c r="AK709" i="1" s="1"/>
  <c r="Z709" i="1"/>
  <c r="AL923" i="1"/>
  <c r="AN923" i="1" s="1"/>
  <c r="AB923" i="1"/>
  <c r="AJ923" i="1" s="1"/>
  <c r="AK923" i="1" s="1"/>
  <c r="Z923" i="1"/>
  <c r="AL682" i="1"/>
  <c r="AN682" i="1" s="1"/>
  <c r="Z682" i="1"/>
  <c r="AB682" i="1"/>
  <c r="AJ682" i="1" s="1"/>
  <c r="AK682" i="1" s="1"/>
  <c r="AL550" i="1"/>
  <c r="AN550" i="1" s="1"/>
  <c r="Z550" i="1"/>
  <c r="AB550" i="1"/>
  <c r="AJ550" i="1" s="1"/>
  <c r="AK550" i="1" s="1"/>
  <c r="AL430" i="1"/>
  <c r="AN430" i="1" s="1"/>
  <c r="Z430" i="1"/>
  <c r="AB430" i="1"/>
  <c r="AJ430" i="1" s="1"/>
  <c r="AL310" i="1"/>
  <c r="AN310" i="1" s="1"/>
  <c r="Z310" i="1"/>
  <c r="AB310" i="1"/>
  <c r="AJ310" i="1" s="1"/>
  <c r="AK310" i="1" s="1"/>
  <c r="AL178" i="1"/>
  <c r="AN178" i="1" s="1"/>
  <c r="Z178" i="1"/>
  <c r="AB178" i="1"/>
  <c r="AJ178" i="1" s="1"/>
  <c r="AL58" i="1"/>
  <c r="AN58" i="1" s="1"/>
  <c r="Z58" i="1"/>
  <c r="AB58" i="1"/>
  <c r="AJ58" i="1" s="1"/>
  <c r="AK58" i="1" s="1"/>
  <c r="AL161" i="1"/>
  <c r="AN161" i="1" s="1"/>
  <c r="Z161" i="1"/>
  <c r="AB161" i="1"/>
  <c r="AJ161" i="1" s="1"/>
  <c r="AK161" i="1" s="1"/>
  <c r="AL625" i="1"/>
  <c r="AN625" i="1" s="1"/>
  <c r="AB625" i="1"/>
  <c r="AJ625" i="1" s="1"/>
  <c r="AK625" i="1" s="1"/>
  <c r="Z625" i="1"/>
  <c r="AL891" i="1"/>
  <c r="AN891" i="1" s="1"/>
  <c r="Z891" i="1"/>
  <c r="AB891" i="1"/>
  <c r="AJ891" i="1" s="1"/>
  <c r="AK891" i="1" s="1"/>
  <c r="AL717" i="1"/>
  <c r="AN717" i="1" s="1"/>
  <c r="Z717" i="1"/>
  <c r="AB717" i="1"/>
  <c r="AL597" i="1"/>
  <c r="AN597" i="1" s="1"/>
  <c r="Z597" i="1"/>
  <c r="AB597" i="1"/>
  <c r="AJ597" i="1" s="1"/>
  <c r="AK597" i="1" s="1"/>
  <c r="AL465" i="1"/>
  <c r="AN465" i="1" s="1"/>
  <c r="Z465" i="1"/>
  <c r="AB465" i="1"/>
  <c r="AJ465" i="1" s="1"/>
  <c r="AK465" i="1" s="1"/>
  <c r="AL333" i="1"/>
  <c r="AN333" i="1" s="1"/>
  <c r="Z333" i="1"/>
  <c r="AB333" i="1"/>
  <c r="AJ333" i="1" s="1"/>
  <c r="AK333" i="1" s="1"/>
  <c r="AL213" i="1"/>
  <c r="AN213" i="1" s="1"/>
  <c r="Z213" i="1"/>
  <c r="AB213" i="1"/>
  <c r="AJ213" i="1" s="1"/>
  <c r="AK213" i="1" s="1"/>
  <c r="Z93" i="1"/>
  <c r="AL93" i="1"/>
  <c r="AN93" i="1" s="1"/>
  <c r="AB93" i="1"/>
  <c r="AJ93" i="1" s="1"/>
  <c r="AK93" i="1" s="1"/>
  <c r="AL281" i="1"/>
  <c r="AN281" i="1" s="1"/>
  <c r="Z281" i="1"/>
  <c r="AB281" i="1"/>
  <c r="AJ281" i="1" s="1"/>
  <c r="AL482" i="1"/>
  <c r="AN482" i="1" s="1"/>
  <c r="Z482" i="1"/>
  <c r="AB482" i="1"/>
  <c r="AJ482" i="1" s="1"/>
  <c r="AK482" i="1" s="1"/>
  <c r="AL881" i="1"/>
  <c r="AN881" i="1" s="1"/>
  <c r="Z881" i="1"/>
  <c r="AB881" i="1"/>
  <c r="AJ881" i="1" s="1"/>
  <c r="AK881" i="1" s="1"/>
  <c r="AL740" i="1"/>
  <c r="AN740" i="1" s="1"/>
  <c r="Z740" i="1"/>
  <c r="AB740" i="1"/>
  <c r="AJ740" i="1" s="1"/>
  <c r="AK740" i="1" s="1"/>
  <c r="AL608" i="1"/>
  <c r="AN608" i="1" s="1"/>
  <c r="Z608" i="1"/>
  <c r="AB608" i="1"/>
  <c r="AJ608" i="1" s="1"/>
  <c r="AK608" i="1" s="1"/>
  <c r="AL488" i="1"/>
  <c r="AN488" i="1" s="1"/>
  <c r="Z488" i="1"/>
  <c r="AB488" i="1"/>
  <c r="AJ488" i="1" s="1"/>
  <c r="AK488" i="1" s="1"/>
  <c r="AL236" i="1"/>
  <c r="AN236" i="1" s="1"/>
  <c r="Z236" i="1"/>
  <c r="AB236" i="1"/>
  <c r="AJ236" i="1" s="1"/>
  <c r="AK236" i="1" s="1"/>
  <c r="AL116" i="1"/>
  <c r="AN116" i="1" s="1"/>
  <c r="Z116" i="1"/>
  <c r="AB116" i="1"/>
  <c r="AJ116" i="1" s="1"/>
  <c r="AL677" i="1"/>
  <c r="AN677" i="1" s="1"/>
  <c r="Z677" i="1"/>
  <c r="AB677" i="1"/>
  <c r="AJ677" i="1" s="1"/>
  <c r="AK677" i="1" s="1"/>
  <c r="AL388" i="1"/>
  <c r="AN388" i="1" s="1"/>
  <c r="Z388" i="1"/>
  <c r="AB388" i="1"/>
  <c r="AJ388" i="1" s="1"/>
  <c r="AK388" i="1" s="1"/>
  <c r="AL848" i="1"/>
  <c r="AN848" i="1" s="1"/>
  <c r="Z848" i="1"/>
  <c r="AB848" i="1"/>
  <c r="AJ848" i="1" s="1"/>
  <c r="AK848" i="1" s="1"/>
  <c r="AL993" i="1"/>
  <c r="AN993" i="1" s="1"/>
  <c r="Z993" i="1"/>
  <c r="AB993" i="1"/>
  <c r="AJ993" i="1" s="1"/>
  <c r="AK993" i="1" s="1"/>
  <c r="AL619" i="1"/>
  <c r="AN619" i="1" s="1"/>
  <c r="Z619" i="1"/>
  <c r="AB619" i="1"/>
  <c r="AJ619" i="1" s="1"/>
  <c r="AL475" i="1"/>
  <c r="AN475" i="1" s="1"/>
  <c r="Z475" i="1"/>
  <c r="AB475" i="1"/>
  <c r="AJ475" i="1" s="1"/>
  <c r="AL331" i="1"/>
  <c r="AN331" i="1" s="1"/>
  <c r="Z331" i="1"/>
  <c r="AB331" i="1"/>
  <c r="AL187" i="1"/>
  <c r="AN187" i="1" s="1"/>
  <c r="Z187" i="1"/>
  <c r="AB187" i="1"/>
  <c r="AL43" i="1"/>
  <c r="AN43" i="1" s="1"/>
  <c r="Z43" i="1"/>
  <c r="AB43" i="1"/>
  <c r="AJ43" i="1" s="1"/>
  <c r="AK43" i="1" s="1"/>
  <c r="AL253" i="1"/>
  <c r="AN253" i="1" s="1"/>
  <c r="Z253" i="1"/>
  <c r="AB253" i="1"/>
  <c r="AJ253" i="1" s="1"/>
  <c r="AK253" i="1" s="1"/>
  <c r="AL804" i="1"/>
  <c r="AN804" i="1" s="1"/>
  <c r="AB804" i="1"/>
  <c r="AJ804" i="1" s="1"/>
  <c r="AK804" i="1" s="1"/>
  <c r="Z804" i="1"/>
  <c r="AL949" i="1"/>
  <c r="AN949" i="1" s="1"/>
  <c r="AB949" i="1"/>
  <c r="AJ949" i="1" s="1"/>
  <c r="AK949" i="1" s="1"/>
  <c r="Z949" i="1"/>
  <c r="AL702" i="1"/>
  <c r="AN702" i="1" s="1"/>
  <c r="Z702" i="1"/>
  <c r="AB702" i="1"/>
  <c r="AJ702" i="1" s="1"/>
  <c r="AK702" i="1" s="1"/>
  <c r="AL582" i="1"/>
  <c r="AN582" i="1" s="1"/>
  <c r="Z582" i="1"/>
  <c r="AB582" i="1"/>
  <c r="AJ582" i="1" s="1"/>
  <c r="AK582" i="1" s="1"/>
  <c r="AL462" i="1"/>
  <c r="AN462" i="1" s="1"/>
  <c r="Z462" i="1"/>
  <c r="AB462" i="1"/>
  <c r="AJ462" i="1" s="1"/>
  <c r="AK462" i="1" s="1"/>
  <c r="AJ330" i="1"/>
  <c r="AK330" i="1" s="1"/>
  <c r="AL198" i="1"/>
  <c r="AN198" i="1" s="1"/>
  <c r="Z198" i="1"/>
  <c r="AB198" i="1"/>
  <c r="AJ198" i="1" s="1"/>
  <c r="AK198" i="1" s="1"/>
  <c r="AL78" i="1"/>
  <c r="AN78" i="1" s="1"/>
  <c r="Z78" i="1"/>
  <c r="AB78" i="1"/>
  <c r="AJ78" i="1" s="1"/>
  <c r="AK78" i="1" s="1"/>
  <c r="AL329" i="1"/>
  <c r="AN329" i="1" s="1"/>
  <c r="Z329" i="1"/>
  <c r="AB329" i="1"/>
  <c r="AJ329" i="1" s="1"/>
  <c r="AK329" i="1" s="1"/>
  <c r="AL62" i="1"/>
  <c r="AN62" i="1" s="1"/>
  <c r="AV62" i="1" s="1"/>
  <c r="BA62" i="1" s="1"/>
  <c r="Z62" i="1"/>
  <c r="AB62" i="1"/>
  <c r="AJ62" i="1" s="1"/>
  <c r="AK62" i="1" s="1"/>
  <c r="AL961" i="1"/>
  <c r="AN961" i="1" s="1"/>
  <c r="Z961" i="1"/>
  <c r="AB961" i="1"/>
  <c r="AJ961" i="1" s="1"/>
  <c r="AK961" i="1" s="1"/>
  <c r="AL61" i="1"/>
  <c r="AN61" i="1" s="1"/>
  <c r="Z61" i="1"/>
  <c r="AB61" i="1"/>
  <c r="AJ61" i="1" s="1"/>
  <c r="AK61" i="1" s="1"/>
  <c r="AJ64" i="1"/>
  <c r="AK64" i="1" s="1"/>
  <c r="AL208" i="1"/>
  <c r="AN208" i="1" s="1"/>
  <c r="AV208" i="1" s="1"/>
  <c r="BA208" i="1" s="1"/>
  <c r="Z208" i="1"/>
  <c r="AB208" i="1"/>
  <c r="AJ208" i="1" s="1"/>
  <c r="AK208" i="1" s="1"/>
  <c r="AL778" i="1"/>
  <c r="AN778" i="1" s="1"/>
  <c r="Z778" i="1"/>
  <c r="AB778" i="1"/>
  <c r="AJ778" i="1" s="1"/>
  <c r="AK778" i="1" s="1"/>
  <c r="AL962" i="1"/>
  <c r="AN962" i="1" s="1"/>
  <c r="AB962" i="1"/>
  <c r="AJ962" i="1" s="1"/>
  <c r="AK962" i="1" s="1"/>
  <c r="Z962" i="1"/>
  <c r="AL736" i="1"/>
  <c r="AN736" i="1" s="1"/>
  <c r="AV736" i="1" s="1"/>
  <c r="BA736" i="1" s="1"/>
  <c r="Z736" i="1"/>
  <c r="AB736" i="1"/>
  <c r="AJ736" i="1" s="1"/>
  <c r="AK736" i="1" s="1"/>
  <c r="AL353" i="1"/>
  <c r="AN353" i="1" s="1"/>
  <c r="AV353" i="1" s="1"/>
  <c r="BA353" i="1" s="1"/>
  <c r="Z353" i="1"/>
  <c r="AB353" i="1"/>
  <c r="AJ353" i="1" s="1"/>
  <c r="AK353" i="1" s="1"/>
  <c r="AL361" i="1"/>
  <c r="AN361" i="1" s="1"/>
  <c r="Z361" i="1"/>
  <c r="AB361" i="1"/>
  <c r="AJ361" i="1" s="1"/>
  <c r="AK361" i="1" s="1"/>
  <c r="AL829" i="1"/>
  <c r="AN829" i="1" s="1"/>
  <c r="AB829" i="1"/>
  <c r="AJ829" i="1" s="1"/>
  <c r="AK829" i="1" s="1"/>
  <c r="Z829" i="1"/>
  <c r="AL974" i="1"/>
  <c r="AN974" i="1" s="1"/>
  <c r="AB974" i="1"/>
  <c r="AJ974" i="1" s="1"/>
  <c r="AK974" i="1" s="1"/>
  <c r="Z974" i="1"/>
  <c r="AL699" i="1"/>
  <c r="AN699" i="1" s="1"/>
  <c r="Z699" i="1"/>
  <c r="AB699" i="1"/>
  <c r="AJ699" i="1" s="1"/>
  <c r="AK699" i="1" s="1"/>
  <c r="AL567" i="1"/>
  <c r="AN567" i="1" s="1"/>
  <c r="Z567" i="1"/>
  <c r="AB567" i="1"/>
  <c r="AJ567" i="1" s="1"/>
  <c r="AK567" i="1" s="1"/>
  <c r="AL447" i="1"/>
  <c r="AN447" i="1" s="1"/>
  <c r="Z447" i="1"/>
  <c r="AB447" i="1"/>
  <c r="AJ447" i="1" s="1"/>
  <c r="AK447" i="1" s="1"/>
  <c r="AJ327" i="1"/>
  <c r="AK327" i="1" s="1"/>
  <c r="AL195" i="1"/>
  <c r="AN195" i="1" s="1"/>
  <c r="Z195" i="1"/>
  <c r="AB195" i="1"/>
  <c r="AJ195" i="1" s="1"/>
  <c r="AK195" i="1" s="1"/>
  <c r="AL75" i="1"/>
  <c r="AN75" i="1" s="1"/>
  <c r="Z75" i="1"/>
  <c r="AB75" i="1"/>
  <c r="AJ75" i="1" s="1"/>
  <c r="AL269" i="1"/>
  <c r="AN269" i="1" s="1"/>
  <c r="AV269" i="1" s="1"/>
  <c r="BA269" i="1" s="1"/>
  <c r="Z269" i="1"/>
  <c r="AB269" i="1"/>
  <c r="AJ269" i="1" s="1"/>
  <c r="AK269" i="1" s="1"/>
  <c r="AL506" i="1"/>
  <c r="AN506" i="1" s="1"/>
  <c r="Z506" i="1"/>
  <c r="AB506" i="1"/>
  <c r="AJ506" i="1" s="1"/>
  <c r="AK506" i="1" s="1"/>
  <c r="AL864" i="1"/>
  <c r="AN864" i="1" s="1"/>
  <c r="AV864" i="1" s="1"/>
  <c r="BA864" i="1" s="1"/>
  <c r="AB864" i="1"/>
  <c r="AJ864" i="1" s="1"/>
  <c r="AK864" i="1" s="1"/>
  <c r="Z864" i="1"/>
  <c r="AL794" i="1"/>
  <c r="AN794" i="1" s="1"/>
  <c r="Z794" i="1"/>
  <c r="AB794" i="1"/>
  <c r="AJ794" i="1" s="1"/>
  <c r="AK794" i="1" s="1"/>
  <c r="AL617" i="1"/>
  <c r="AN617" i="1" s="1"/>
  <c r="Z617" i="1"/>
  <c r="AB617" i="1"/>
  <c r="AJ617" i="1" s="1"/>
  <c r="AL268" i="1"/>
  <c r="AN268" i="1" s="1"/>
  <c r="Z268" i="1"/>
  <c r="AB268" i="1"/>
  <c r="AJ268" i="1" s="1"/>
  <c r="AK268" i="1" s="1"/>
  <c r="AL809" i="1"/>
  <c r="AN809" i="1" s="1"/>
  <c r="Z809" i="1"/>
  <c r="AB809" i="1"/>
  <c r="AJ809" i="1" s="1"/>
  <c r="AK809" i="1" s="1"/>
  <c r="AL965" i="1"/>
  <c r="AN965" i="1" s="1"/>
  <c r="AB965" i="1"/>
  <c r="AJ965" i="1" s="1"/>
  <c r="AK965" i="1" s="1"/>
  <c r="Z965" i="1"/>
  <c r="AL685" i="1"/>
  <c r="AN685" i="1" s="1"/>
  <c r="Z685" i="1"/>
  <c r="AB685" i="1"/>
  <c r="AJ685" i="1" s="1"/>
  <c r="AL325" i="1"/>
  <c r="AN325" i="1" s="1"/>
  <c r="AB325" i="1"/>
  <c r="AJ325" i="1" s="1"/>
  <c r="AK325" i="1" s="1"/>
  <c r="Z325" i="1"/>
  <c r="AL832" i="1"/>
  <c r="AN832" i="1" s="1"/>
  <c r="Z832" i="1"/>
  <c r="AB832" i="1"/>
  <c r="AJ832" i="1" s="1"/>
  <c r="AK832" i="1" s="1"/>
  <c r="AL988" i="1"/>
  <c r="AN988" i="1" s="1"/>
  <c r="Z988" i="1"/>
  <c r="AB988" i="1"/>
  <c r="AJ988" i="1" s="1"/>
  <c r="AK988" i="1" s="1"/>
  <c r="AL504" i="1"/>
  <c r="AN504" i="1" s="1"/>
  <c r="Z504" i="1"/>
  <c r="AB504" i="1"/>
  <c r="AJ504" i="1" s="1"/>
  <c r="AK504" i="1" s="1"/>
  <c r="AL384" i="1"/>
  <c r="AN384" i="1" s="1"/>
  <c r="Z384" i="1"/>
  <c r="AB384" i="1"/>
  <c r="AJ384" i="1" s="1"/>
  <c r="AK384" i="1" s="1"/>
  <c r="AL252" i="1"/>
  <c r="AN252" i="1" s="1"/>
  <c r="Z252" i="1"/>
  <c r="AB252" i="1"/>
  <c r="AJ252" i="1" s="1"/>
  <c r="AK252" i="1" s="1"/>
  <c r="AL72" i="1"/>
  <c r="AN72" i="1" s="1"/>
  <c r="Z72" i="1"/>
  <c r="AB72" i="1"/>
  <c r="AJ72" i="1" s="1"/>
  <c r="AK72" i="1" s="1"/>
  <c r="AL753" i="1"/>
  <c r="AN753" i="1" s="1"/>
  <c r="Z753" i="1"/>
  <c r="AB753" i="1"/>
  <c r="AJ753" i="1" s="1"/>
  <c r="AK753" i="1" s="1"/>
  <c r="AL934" i="1"/>
  <c r="AN934" i="1" s="1"/>
  <c r="Z934" i="1"/>
  <c r="AB934" i="1"/>
  <c r="AJ934" i="1" s="1"/>
  <c r="AK934" i="1" s="1"/>
  <c r="AL719" i="1"/>
  <c r="AN719" i="1" s="1"/>
  <c r="Z719" i="1"/>
  <c r="AB719" i="1"/>
  <c r="AL563" i="1"/>
  <c r="AN563" i="1" s="1"/>
  <c r="Z563" i="1"/>
  <c r="AB563" i="1"/>
  <c r="AJ563" i="1" s="1"/>
  <c r="AK563" i="1" s="1"/>
  <c r="AJ443" i="1"/>
  <c r="AK443" i="1" s="1"/>
  <c r="AL311" i="1"/>
  <c r="AN311" i="1" s="1"/>
  <c r="Z311" i="1"/>
  <c r="AB311" i="1"/>
  <c r="AJ311" i="1" s="1"/>
  <c r="AK311" i="1" s="1"/>
  <c r="AL179" i="1"/>
  <c r="AN179" i="1" s="1"/>
  <c r="Z179" i="1"/>
  <c r="AB179" i="1"/>
  <c r="AJ179" i="1" s="1"/>
  <c r="AL59" i="1"/>
  <c r="AN59" i="1" s="1"/>
  <c r="Z59" i="1"/>
  <c r="AB59" i="1"/>
  <c r="AJ59" i="1" s="1"/>
  <c r="AK59" i="1" s="1"/>
  <c r="AL184" i="1"/>
  <c r="AN184" i="1" s="1"/>
  <c r="Z184" i="1"/>
  <c r="AB184" i="1"/>
  <c r="AJ184" i="1" s="1"/>
  <c r="AK184" i="1" s="1"/>
  <c r="AL799" i="1"/>
  <c r="AN799" i="1" s="1"/>
  <c r="Z799" i="1"/>
  <c r="AB799" i="1"/>
  <c r="AJ799" i="1" s="1"/>
  <c r="AK799" i="1" s="1"/>
  <c r="AL946" i="1"/>
  <c r="AN946" i="1" s="1"/>
  <c r="Z946" i="1"/>
  <c r="AB946" i="1"/>
  <c r="AJ946" i="1" s="1"/>
  <c r="AK946" i="1" s="1"/>
  <c r="AL670" i="1"/>
  <c r="AN670" i="1" s="1"/>
  <c r="Z670" i="1"/>
  <c r="AB670" i="1"/>
  <c r="AJ670" i="1" s="1"/>
  <c r="AK670" i="1" s="1"/>
  <c r="AL538" i="1"/>
  <c r="AN538" i="1" s="1"/>
  <c r="Z538" i="1"/>
  <c r="AB538" i="1"/>
  <c r="AJ538" i="1" s="1"/>
  <c r="AK538" i="1" s="1"/>
  <c r="AL418" i="1"/>
  <c r="AN418" i="1" s="1"/>
  <c r="Z418" i="1"/>
  <c r="AB418" i="1"/>
  <c r="AJ418" i="1" s="1"/>
  <c r="AK418" i="1" s="1"/>
  <c r="AL298" i="1"/>
  <c r="AN298" i="1" s="1"/>
  <c r="Z298" i="1"/>
  <c r="AB298" i="1"/>
  <c r="AJ298" i="1" s="1"/>
  <c r="AK298" i="1" s="1"/>
  <c r="AL46" i="1"/>
  <c r="AN46" i="1" s="1"/>
  <c r="Z46" i="1"/>
  <c r="AB46" i="1"/>
  <c r="AJ46" i="1" s="1"/>
  <c r="AK46" i="1" s="1"/>
  <c r="AL672" i="1"/>
  <c r="AN672" i="1" s="1"/>
  <c r="Z672" i="1"/>
  <c r="AB672" i="1"/>
  <c r="AJ672" i="1" s="1"/>
  <c r="AK672" i="1" s="1"/>
  <c r="AL913" i="1"/>
  <c r="AN913" i="1" s="1"/>
  <c r="AB913" i="1"/>
  <c r="AJ913" i="1" s="1"/>
  <c r="AK913" i="1" s="1"/>
  <c r="Z913" i="1"/>
  <c r="AL705" i="1"/>
  <c r="AN705" i="1" s="1"/>
  <c r="Z705" i="1"/>
  <c r="AB705" i="1"/>
  <c r="AL585" i="1"/>
  <c r="AN585" i="1" s="1"/>
  <c r="AV585" i="1" s="1"/>
  <c r="BA585" i="1" s="1"/>
  <c r="Z585" i="1"/>
  <c r="AB585" i="1"/>
  <c r="AJ585" i="1" s="1"/>
  <c r="AK585" i="1" s="1"/>
  <c r="AL453" i="1"/>
  <c r="AN453" i="1" s="1"/>
  <c r="Z453" i="1"/>
  <c r="AB453" i="1"/>
  <c r="AJ453" i="1" s="1"/>
  <c r="AK453" i="1" s="1"/>
  <c r="AL321" i="1"/>
  <c r="AN321" i="1" s="1"/>
  <c r="Z321" i="1"/>
  <c r="AB321" i="1"/>
  <c r="AJ321" i="1" s="1"/>
  <c r="AK321" i="1" s="1"/>
  <c r="Z201" i="1"/>
  <c r="AL201" i="1"/>
  <c r="AN201" i="1" s="1"/>
  <c r="AB201" i="1"/>
  <c r="AJ201" i="1" s="1"/>
  <c r="AL81" i="1"/>
  <c r="AN81" i="1" s="1"/>
  <c r="AV81" i="1" s="1"/>
  <c r="BA81" i="1" s="1"/>
  <c r="Z81" i="1"/>
  <c r="AB81" i="1"/>
  <c r="AJ81" i="1" s="1"/>
  <c r="AK81" i="1" s="1"/>
  <c r="AL530" i="1"/>
  <c r="AN530" i="1" s="1"/>
  <c r="Z530" i="1"/>
  <c r="AB530" i="1"/>
  <c r="AJ530" i="1" s="1"/>
  <c r="AK530" i="1" s="1"/>
  <c r="AL892" i="1"/>
  <c r="AN892" i="1" s="1"/>
  <c r="Z892" i="1"/>
  <c r="AB892" i="1"/>
  <c r="AJ892" i="1" s="1"/>
  <c r="AK892" i="1" s="1"/>
  <c r="AL728" i="1"/>
  <c r="AN728" i="1" s="1"/>
  <c r="Z728" i="1"/>
  <c r="AB728" i="1"/>
  <c r="AL596" i="1"/>
  <c r="AN596" i="1" s="1"/>
  <c r="AV596" i="1" s="1"/>
  <c r="BA596" i="1" s="1"/>
  <c r="Z596" i="1"/>
  <c r="AB596" i="1"/>
  <c r="AJ596" i="1" s="1"/>
  <c r="AK596" i="1" s="1"/>
  <c r="AL476" i="1"/>
  <c r="AN476" i="1" s="1"/>
  <c r="Z476" i="1"/>
  <c r="AB476" i="1"/>
  <c r="AJ476" i="1" s="1"/>
  <c r="AL356" i="1"/>
  <c r="AN356" i="1" s="1"/>
  <c r="Z356" i="1"/>
  <c r="AB356" i="1"/>
  <c r="AJ356" i="1" s="1"/>
  <c r="AK356" i="1" s="1"/>
  <c r="AL224" i="1"/>
  <c r="AN224" i="1" s="1"/>
  <c r="Z224" i="1"/>
  <c r="AB224" i="1"/>
  <c r="AJ224" i="1" s="1"/>
  <c r="AK224" i="1" s="1"/>
  <c r="AL104" i="1"/>
  <c r="AN104" i="1" s="1"/>
  <c r="AV104" i="1" s="1"/>
  <c r="BA104" i="1" s="1"/>
  <c r="Z104" i="1"/>
  <c r="AB104" i="1"/>
  <c r="AJ104" i="1" s="1"/>
  <c r="AK104" i="1" s="1"/>
  <c r="AL533" i="1"/>
  <c r="AN533" i="1" s="1"/>
  <c r="Z533" i="1"/>
  <c r="AB533" i="1"/>
  <c r="AJ533" i="1" s="1"/>
  <c r="AL436" i="1"/>
  <c r="AN436" i="1" s="1"/>
  <c r="Z436" i="1"/>
  <c r="AB436" i="1"/>
  <c r="AJ436" i="1" s="1"/>
  <c r="AL859" i="1"/>
  <c r="AN859" i="1" s="1"/>
  <c r="Z859" i="1"/>
  <c r="AB859" i="1"/>
  <c r="AL751" i="1"/>
  <c r="AN751" i="1" s="1"/>
  <c r="AB751" i="1"/>
  <c r="Z751" i="1"/>
  <c r="AL607" i="1"/>
  <c r="AN607" i="1" s="1"/>
  <c r="AB607" i="1"/>
  <c r="Z607" i="1"/>
  <c r="AL463" i="1"/>
  <c r="AN463" i="1" s="1"/>
  <c r="AB463" i="1"/>
  <c r="AJ463" i="1" s="1"/>
  <c r="AK463" i="1" s="1"/>
  <c r="Z463" i="1"/>
  <c r="AL319" i="1"/>
  <c r="AN319" i="1" s="1"/>
  <c r="AB319" i="1"/>
  <c r="AJ319" i="1" s="1"/>
  <c r="AK319" i="1" s="1"/>
  <c r="Z319" i="1"/>
  <c r="AL175" i="1"/>
  <c r="AN175" i="1" s="1"/>
  <c r="Z175" i="1"/>
  <c r="AB175" i="1"/>
  <c r="AJ175" i="1" s="1"/>
  <c r="AK175" i="1" s="1"/>
  <c r="AL31" i="1"/>
  <c r="AN31" i="1" s="1"/>
  <c r="Z31" i="1"/>
  <c r="AB31" i="1"/>
  <c r="AJ31" i="1" s="1"/>
  <c r="AK31" i="1" s="1"/>
  <c r="AL301" i="1"/>
  <c r="AN301" i="1" s="1"/>
  <c r="Z301" i="1"/>
  <c r="AB301" i="1"/>
  <c r="AJ301" i="1" s="1"/>
  <c r="AK301" i="1" s="1"/>
  <c r="AL815" i="1"/>
  <c r="AN815" i="1" s="1"/>
  <c r="Z815" i="1"/>
  <c r="AB815" i="1"/>
  <c r="AJ815" i="1" s="1"/>
  <c r="AK815" i="1" s="1"/>
  <c r="AL960" i="1"/>
  <c r="AN960" i="1" s="1"/>
  <c r="AV960" i="1" s="1"/>
  <c r="BA960" i="1" s="1"/>
  <c r="AB960" i="1"/>
  <c r="AJ960" i="1" s="1"/>
  <c r="AK960" i="1" s="1"/>
  <c r="Z960" i="1"/>
  <c r="AL690" i="1"/>
  <c r="AN690" i="1" s="1"/>
  <c r="Z690" i="1"/>
  <c r="AB690" i="1"/>
  <c r="AJ690" i="1" s="1"/>
  <c r="AK690" i="1" s="1"/>
  <c r="AL570" i="1"/>
  <c r="AN570" i="1" s="1"/>
  <c r="Z570" i="1"/>
  <c r="AB570" i="1"/>
  <c r="AJ570" i="1" s="1"/>
  <c r="AK570" i="1" s="1"/>
  <c r="AL450" i="1"/>
  <c r="AN450" i="1" s="1"/>
  <c r="Z450" i="1"/>
  <c r="AB450" i="1"/>
  <c r="AJ450" i="1" s="1"/>
  <c r="AK450" i="1" s="1"/>
  <c r="AL318" i="1"/>
  <c r="AN318" i="1" s="1"/>
  <c r="AV318" i="1" s="1"/>
  <c r="BA318" i="1" s="1"/>
  <c r="Z318" i="1"/>
  <c r="AB318" i="1"/>
  <c r="AJ318" i="1" s="1"/>
  <c r="AK318" i="1" s="1"/>
  <c r="AL186" i="1"/>
  <c r="AN186" i="1" s="1"/>
  <c r="Z186" i="1"/>
  <c r="AB186" i="1"/>
  <c r="AJ186" i="1" s="1"/>
  <c r="AK186" i="1" s="1"/>
  <c r="AL66" i="1"/>
  <c r="AN66" i="1" s="1"/>
  <c r="Z66" i="1"/>
  <c r="AB66" i="1"/>
  <c r="AL173" i="1"/>
  <c r="AN173" i="1" s="1"/>
  <c r="Z173" i="1"/>
  <c r="AB173" i="1"/>
  <c r="AJ173" i="1" s="1"/>
  <c r="AK173" i="1" s="1"/>
  <c r="AL110" i="1"/>
  <c r="AN110" i="1" s="1"/>
  <c r="Z110" i="1"/>
  <c r="AB110" i="1"/>
  <c r="AJ110" i="1" s="1"/>
  <c r="AK110" i="1" s="1"/>
  <c r="AL350" i="1"/>
  <c r="AN350" i="1" s="1"/>
  <c r="Z350" i="1"/>
  <c r="AB350" i="1"/>
  <c r="AJ350" i="1" s="1"/>
  <c r="AK350" i="1" s="1"/>
  <c r="AL256" i="1"/>
  <c r="AN256" i="1" s="1"/>
  <c r="Z256" i="1"/>
  <c r="AB256" i="1"/>
  <c r="AJ256" i="1" s="1"/>
  <c r="AK256" i="1" s="1"/>
  <c r="AL828" i="1"/>
  <c r="AN828" i="1" s="1"/>
  <c r="Z828" i="1"/>
  <c r="AB828" i="1"/>
  <c r="AJ828" i="1" s="1"/>
  <c r="AL973" i="1"/>
  <c r="AN973" i="1" s="1"/>
  <c r="Z973" i="1"/>
  <c r="AB973" i="1"/>
  <c r="AJ973" i="1" s="1"/>
  <c r="AK973" i="1" s="1"/>
  <c r="AL724" i="1"/>
  <c r="AN724" i="1" s="1"/>
  <c r="Z724" i="1"/>
  <c r="AB724" i="1"/>
  <c r="AJ724" i="1" s="1"/>
  <c r="AK724" i="1" s="1"/>
  <c r="AL317" i="1"/>
  <c r="AN317" i="1" s="1"/>
  <c r="Z317" i="1"/>
  <c r="AB317" i="1"/>
  <c r="AJ317" i="1" s="1"/>
  <c r="AL409" i="1"/>
  <c r="AN409" i="1" s="1"/>
  <c r="AB409" i="1"/>
  <c r="AJ409" i="1" s="1"/>
  <c r="Z409" i="1"/>
  <c r="AJ840" i="1"/>
  <c r="AK840" i="1" s="1"/>
  <c r="AL840" i="1"/>
  <c r="AN840" i="1" s="1"/>
  <c r="AB840" i="1"/>
  <c r="Z840" i="1"/>
  <c r="AL985" i="1"/>
  <c r="AN985" i="1" s="1"/>
  <c r="AV985" i="1" s="1"/>
  <c r="BA985" i="1" s="1"/>
  <c r="AB985" i="1"/>
  <c r="AJ985" i="1" s="1"/>
  <c r="AK985" i="1" s="1"/>
  <c r="Z985" i="1"/>
  <c r="AL555" i="1"/>
  <c r="AN555" i="1" s="1"/>
  <c r="Z555" i="1"/>
  <c r="AB555" i="1"/>
  <c r="AJ555" i="1" s="1"/>
  <c r="AK555" i="1" s="1"/>
  <c r="AL435" i="1"/>
  <c r="AN435" i="1" s="1"/>
  <c r="Z435" i="1"/>
  <c r="AB435" i="1"/>
  <c r="AJ435" i="1" s="1"/>
  <c r="AL315" i="1"/>
  <c r="AN315" i="1" s="1"/>
  <c r="Z315" i="1"/>
  <c r="AB315" i="1"/>
  <c r="AJ315" i="1" s="1"/>
  <c r="AK315" i="1" s="1"/>
  <c r="Z183" i="1"/>
  <c r="AL183" i="1"/>
  <c r="AN183" i="1" s="1"/>
  <c r="AB183" i="1"/>
  <c r="AJ183" i="1" s="1"/>
  <c r="AL63" i="1"/>
  <c r="AN63" i="1" s="1"/>
  <c r="Z63" i="1"/>
  <c r="AB63" i="1"/>
  <c r="AJ63" i="1" s="1"/>
  <c r="AK63" i="1" s="1"/>
  <c r="AL113" i="1"/>
  <c r="AN113" i="1" s="1"/>
  <c r="Z113" i="1"/>
  <c r="AB113" i="1"/>
  <c r="AJ113" i="1" s="1"/>
  <c r="AK113" i="1" s="1"/>
  <c r="AL554" i="1"/>
  <c r="AN554" i="1" s="1"/>
  <c r="Z554" i="1"/>
  <c r="AB554" i="1"/>
  <c r="AJ554" i="1" s="1"/>
  <c r="AK554" i="1" s="1"/>
  <c r="AL875" i="1"/>
  <c r="AN875" i="1" s="1"/>
  <c r="Z875" i="1"/>
  <c r="AB875" i="1"/>
  <c r="AJ875" i="1" s="1"/>
  <c r="AK875" i="1" s="1"/>
  <c r="AL782" i="1"/>
  <c r="AN782" i="1" s="1"/>
  <c r="Z782" i="1"/>
  <c r="AB782" i="1"/>
  <c r="AJ782" i="1" s="1"/>
  <c r="AK782" i="1" s="1"/>
  <c r="AL557" i="1"/>
  <c r="AN557" i="1" s="1"/>
  <c r="Z557" i="1"/>
  <c r="AB557" i="1"/>
  <c r="AJ557" i="1" s="1"/>
  <c r="AK557" i="1" s="1"/>
  <c r="AL316" i="1"/>
  <c r="AN316" i="1" s="1"/>
  <c r="Z316" i="1"/>
  <c r="AB316" i="1"/>
  <c r="AJ316" i="1" s="1"/>
  <c r="AK316" i="1" s="1"/>
  <c r="AL820" i="1"/>
  <c r="AN820" i="1" s="1"/>
  <c r="Z820" i="1"/>
  <c r="AB820" i="1"/>
  <c r="AJ820" i="1" s="1"/>
  <c r="AK820" i="1" s="1"/>
  <c r="AL976" i="1"/>
  <c r="AN976" i="1" s="1"/>
  <c r="Z976" i="1"/>
  <c r="AB976" i="1"/>
  <c r="AJ976" i="1" s="1"/>
  <c r="AK976" i="1" s="1"/>
  <c r="AL49" i="1"/>
  <c r="AN49" i="1" s="1"/>
  <c r="Z49" i="1"/>
  <c r="AB49" i="1"/>
  <c r="AJ49" i="1" s="1"/>
  <c r="AK49" i="1" s="1"/>
  <c r="AL373" i="1"/>
  <c r="AN373" i="1" s="1"/>
  <c r="Z373" i="1"/>
  <c r="AB373" i="1"/>
  <c r="AJ373" i="1" s="1"/>
  <c r="AK373" i="1" s="1"/>
  <c r="AL843" i="1"/>
  <c r="AN843" i="1" s="1"/>
  <c r="Z843" i="1"/>
  <c r="AB843" i="1"/>
  <c r="AJ843" i="1" s="1"/>
  <c r="AK843" i="1" s="1"/>
  <c r="AL999" i="1"/>
  <c r="AN999" i="1" s="1"/>
  <c r="Z999" i="1"/>
  <c r="AB999" i="1"/>
  <c r="AJ999" i="1" s="1"/>
  <c r="AK999" i="1" s="1"/>
  <c r="AL624" i="1"/>
  <c r="AN624" i="1" s="1"/>
  <c r="Z624" i="1"/>
  <c r="AB624" i="1"/>
  <c r="AJ624" i="1" s="1"/>
  <c r="AK624" i="1" s="1"/>
  <c r="AL492" i="1"/>
  <c r="AN492" i="1" s="1"/>
  <c r="Z492" i="1"/>
  <c r="AB492" i="1"/>
  <c r="AJ492" i="1" s="1"/>
  <c r="AL372" i="1"/>
  <c r="AN372" i="1" s="1"/>
  <c r="Z372" i="1"/>
  <c r="AB372" i="1"/>
  <c r="AJ372" i="1" s="1"/>
  <c r="AL228" i="1"/>
  <c r="AN228" i="1" s="1"/>
  <c r="Z228" i="1"/>
  <c r="AB228" i="1"/>
  <c r="AJ228" i="1" s="1"/>
  <c r="AK228" i="1" s="1"/>
  <c r="AL60" i="1"/>
  <c r="AN60" i="1" s="1"/>
  <c r="Z60" i="1"/>
  <c r="AB60" i="1"/>
  <c r="AJ60" i="1" s="1"/>
  <c r="AK60" i="1" s="1"/>
  <c r="AL26" i="1"/>
  <c r="AN26" i="1" s="1"/>
  <c r="Z26" i="1"/>
  <c r="AB26" i="1"/>
  <c r="AJ26" i="1" s="1"/>
  <c r="AK26" i="1" s="1"/>
  <c r="AL798" i="1"/>
  <c r="AN798" i="1" s="1"/>
  <c r="AB798" i="1"/>
  <c r="AJ798" i="1" s="1"/>
  <c r="AK798" i="1" s="1"/>
  <c r="Z798" i="1"/>
  <c r="AL945" i="1"/>
  <c r="AN945" i="1" s="1"/>
  <c r="Z945" i="1"/>
  <c r="AB945" i="1"/>
  <c r="AJ945" i="1" s="1"/>
  <c r="AK945" i="1" s="1"/>
  <c r="AL671" i="1"/>
  <c r="AN671" i="1" s="1"/>
  <c r="Z671" i="1"/>
  <c r="AB671" i="1"/>
  <c r="AJ671" i="1" s="1"/>
  <c r="AK671" i="1" s="1"/>
  <c r="AL551" i="1"/>
  <c r="AN551" i="1" s="1"/>
  <c r="Z551" i="1"/>
  <c r="AB551" i="1"/>
  <c r="AJ551" i="1" s="1"/>
  <c r="AK551" i="1" s="1"/>
  <c r="AL431" i="1"/>
  <c r="AN431" i="1" s="1"/>
  <c r="Z431" i="1"/>
  <c r="AB431" i="1"/>
  <c r="AJ431" i="1" s="1"/>
  <c r="AK431" i="1" s="1"/>
  <c r="AL299" i="1"/>
  <c r="AN299" i="1" s="1"/>
  <c r="Z299" i="1"/>
  <c r="AB299" i="1"/>
  <c r="AJ299" i="1" s="1"/>
  <c r="AK299" i="1" s="1"/>
  <c r="AL167" i="1"/>
  <c r="AN167" i="1" s="1"/>
  <c r="Z167" i="1"/>
  <c r="AB167" i="1"/>
  <c r="AJ167" i="1" s="1"/>
  <c r="AK167" i="1" s="1"/>
  <c r="AL47" i="1"/>
  <c r="AN47" i="1" s="1"/>
  <c r="Z47" i="1"/>
  <c r="AB47" i="1"/>
  <c r="AJ47" i="1" s="1"/>
  <c r="AK47" i="1" s="1"/>
  <c r="AL232" i="1"/>
  <c r="AN232" i="1" s="1"/>
  <c r="Z232" i="1"/>
  <c r="AB232" i="1"/>
  <c r="AJ232" i="1" s="1"/>
  <c r="AK232" i="1" s="1"/>
  <c r="AL812" i="1"/>
  <c r="AN812" i="1" s="1"/>
  <c r="Z812" i="1"/>
  <c r="AB812" i="1"/>
  <c r="AJ812" i="1" s="1"/>
  <c r="AK812" i="1" s="1"/>
  <c r="AL957" i="1"/>
  <c r="AN957" i="1" s="1"/>
  <c r="Z957" i="1"/>
  <c r="AB957" i="1"/>
  <c r="AJ957" i="1" s="1"/>
  <c r="AK957" i="1" s="1"/>
  <c r="AL658" i="1"/>
  <c r="AN658" i="1" s="1"/>
  <c r="Z658" i="1"/>
  <c r="AB658" i="1"/>
  <c r="AJ658" i="1" s="1"/>
  <c r="AK658" i="1" s="1"/>
  <c r="AL406" i="1"/>
  <c r="AN406" i="1" s="1"/>
  <c r="Z406" i="1"/>
  <c r="AB406" i="1"/>
  <c r="AJ406" i="1" s="1"/>
  <c r="AK406" i="1" s="1"/>
  <c r="AL286" i="1"/>
  <c r="AN286" i="1" s="1"/>
  <c r="Z286" i="1"/>
  <c r="AB286" i="1"/>
  <c r="AJ286" i="1" s="1"/>
  <c r="AL166" i="1"/>
  <c r="AN166" i="1" s="1"/>
  <c r="Z166" i="1"/>
  <c r="AB166" i="1"/>
  <c r="AJ166" i="1" s="1"/>
  <c r="AK166" i="1" s="1"/>
  <c r="AL34" i="1"/>
  <c r="AN34" i="1" s="1"/>
  <c r="Z34" i="1"/>
  <c r="AB34" i="1"/>
  <c r="AJ34" i="1" s="1"/>
  <c r="AK34" i="1" s="1"/>
  <c r="AL13" i="1"/>
  <c r="AN13" i="1" s="1"/>
  <c r="Z13" i="1"/>
  <c r="AB13" i="1"/>
  <c r="AJ13" i="1" s="1"/>
  <c r="AL718" i="1"/>
  <c r="AN718" i="1" s="1"/>
  <c r="Z718" i="1"/>
  <c r="AB718" i="1"/>
  <c r="AJ718" i="1" s="1"/>
  <c r="AK718" i="1" s="1"/>
  <c r="AL924" i="1"/>
  <c r="AN924" i="1" s="1"/>
  <c r="Z924" i="1"/>
  <c r="AB924" i="1"/>
  <c r="AJ924" i="1" s="1"/>
  <c r="AK924" i="1" s="1"/>
  <c r="AL693" i="1"/>
  <c r="AN693" i="1" s="1"/>
  <c r="Z693" i="1"/>
  <c r="AB693" i="1"/>
  <c r="AJ693" i="1" s="1"/>
  <c r="AK693" i="1" s="1"/>
  <c r="AL573" i="1"/>
  <c r="AN573" i="1" s="1"/>
  <c r="Z573" i="1"/>
  <c r="AB573" i="1"/>
  <c r="AJ573" i="1" s="1"/>
  <c r="AK573" i="1" s="1"/>
  <c r="AL441" i="1"/>
  <c r="AN441" i="1" s="1"/>
  <c r="Z441" i="1"/>
  <c r="AB441" i="1"/>
  <c r="AJ441" i="1" s="1"/>
  <c r="AK441" i="1" s="1"/>
  <c r="AL189" i="1"/>
  <c r="AN189" i="1" s="1"/>
  <c r="Z189" i="1"/>
  <c r="AB189" i="1"/>
  <c r="AJ189" i="1" s="1"/>
  <c r="AK189" i="1" s="1"/>
  <c r="AL69" i="1"/>
  <c r="AN69" i="1" s="1"/>
  <c r="Z69" i="1"/>
  <c r="AB69" i="1"/>
  <c r="AJ69" i="1" s="1"/>
  <c r="AK69" i="1" s="1"/>
  <c r="AL125" i="1"/>
  <c r="AN125" i="1" s="1"/>
  <c r="Z125" i="1"/>
  <c r="AB125" i="1"/>
  <c r="AJ125" i="1" s="1"/>
  <c r="AK125" i="1" s="1"/>
  <c r="AL578" i="1"/>
  <c r="AN578" i="1" s="1"/>
  <c r="Z578" i="1"/>
  <c r="AB578" i="1"/>
  <c r="AJ578" i="1" s="1"/>
  <c r="AK578" i="1" s="1"/>
  <c r="AL903" i="1"/>
  <c r="AN903" i="1" s="1"/>
  <c r="Z903" i="1"/>
  <c r="AB903" i="1"/>
  <c r="AJ903" i="1" s="1"/>
  <c r="AK903" i="1" s="1"/>
  <c r="AL716" i="1"/>
  <c r="AN716" i="1" s="1"/>
  <c r="Z716" i="1"/>
  <c r="AB716" i="1"/>
  <c r="AL584" i="1"/>
  <c r="AN584" i="1" s="1"/>
  <c r="Z584" i="1"/>
  <c r="AB584" i="1"/>
  <c r="AJ584" i="1" s="1"/>
  <c r="AL464" i="1"/>
  <c r="AN464" i="1" s="1"/>
  <c r="Z464" i="1"/>
  <c r="AB464" i="1"/>
  <c r="AJ464" i="1" s="1"/>
  <c r="AK464" i="1" s="1"/>
  <c r="AL344" i="1"/>
  <c r="AN344" i="1" s="1"/>
  <c r="Z344" i="1"/>
  <c r="AB344" i="1"/>
  <c r="AJ344" i="1" s="1"/>
  <c r="AK344" i="1" s="1"/>
  <c r="AL92" i="1"/>
  <c r="AN92" i="1" s="1"/>
  <c r="Z92" i="1"/>
  <c r="AB92" i="1"/>
  <c r="AJ92" i="1" s="1"/>
  <c r="AK92" i="1" s="1"/>
  <c r="AL365" i="1"/>
  <c r="AN365" i="1" s="1"/>
  <c r="Z365" i="1"/>
  <c r="AB365" i="1"/>
  <c r="AJ365" i="1" s="1"/>
  <c r="AK365" i="1" s="1"/>
  <c r="AL484" i="1"/>
  <c r="AN484" i="1" s="1"/>
  <c r="Z484" i="1"/>
  <c r="AB484" i="1"/>
  <c r="AJ484" i="1" s="1"/>
  <c r="AK484" i="1" s="1"/>
  <c r="AL871" i="1"/>
  <c r="AN871" i="1" s="1"/>
  <c r="AV871" i="1" s="1"/>
  <c r="BA871" i="1" s="1"/>
  <c r="AB871" i="1"/>
  <c r="AJ871" i="1" s="1"/>
  <c r="AK871" i="1" s="1"/>
  <c r="Z871" i="1"/>
  <c r="AL739" i="1"/>
  <c r="AN739" i="1" s="1"/>
  <c r="AB739" i="1"/>
  <c r="AJ739" i="1" s="1"/>
  <c r="AK739" i="1" s="1"/>
  <c r="Z739" i="1"/>
  <c r="AL595" i="1"/>
  <c r="AN595" i="1" s="1"/>
  <c r="AV595" i="1" s="1"/>
  <c r="BA595" i="1" s="1"/>
  <c r="AB595" i="1"/>
  <c r="AJ595" i="1" s="1"/>
  <c r="AK595" i="1" s="1"/>
  <c r="Z595" i="1"/>
  <c r="AL451" i="1"/>
  <c r="AN451" i="1" s="1"/>
  <c r="AV451" i="1" s="1"/>
  <c r="BA451" i="1" s="1"/>
  <c r="AB451" i="1"/>
  <c r="AJ451" i="1" s="1"/>
  <c r="AK451" i="1" s="1"/>
  <c r="Z451" i="1"/>
  <c r="AL307" i="1"/>
  <c r="AN307" i="1" s="1"/>
  <c r="Z307" i="1"/>
  <c r="AB307" i="1"/>
  <c r="AJ307" i="1" s="1"/>
  <c r="AK307" i="1" s="1"/>
  <c r="AL163" i="1"/>
  <c r="AN163" i="1" s="1"/>
  <c r="Z163" i="1"/>
  <c r="AB163" i="1"/>
  <c r="AJ163" i="1" s="1"/>
  <c r="AK163" i="1" s="1"/>
  <c r="AL19" i="1"/>
  <c r="AN19" i="1" s="1"/>
  <c r="Z19" i="1"/>
  <c r="AB19" i="1"/>
  <c r="AJ19" i="1" s="1"/>
  <c r="AL349" i="1"/>
  <c r="AN349" i="1" s="1"/>
  <c r="AB349" i="1"/>
  <c r="AJ349" i="1" s="1"/>
  <c r="AK349" i="1" s="1"/>
  <c r="Z349" i="1"/>
  <c r="AL838" i="1"/>
  <c r="AN838" i="1" s="1"/>
  <c r="Z838" i="1"/>
  <c r="AB838" i="1"/>
  <c r="AJ838" i="1" s="1"/>
  <c r="AK838" i="1" s="1"/>
  <c r="AL971" i="1"/>
  <c r="AN971" i="1" s="1"/>
  <c r="Z971" i="1"/>
  <c r="AB971" i="1"/>
  <c r="AJ971" i="1" s="1"/>
  <c r="AK971" i="1" s="1"/>
  <c r="AL558" i="1"/>
  <c r="AN558" i="1" s="1"/>
  <c r="Z558" i="1"/>
  <c r="AB558" i="1"/>
  <c r="AJ558" i="1" s="1"/>
  <c r="AK558" i="1" s="1"/>
  <c r="AL438" i="1"/>
  <c r="AN438" i="1" s="1"/>
  <c r="Z438" i="1"/>
  <c r="AB438" i="1"/>
  <c r="AJ438" i="1" s="1"/>
  <c r="AK438" i="1" s="1"/>
  <c r="AL306" i="1"/>
  <c r="AN306" i="1" s="1"/>
  <c r="Z306" i="1"/>
  <c r="AB306" i="1"/>
  <c r="AJ306" i="1" s="1"/>
  <c r="AK306" i="1" s="1"/>
  <c r="AL54" i="1"/>
  <c r="AN54" i="1" s="1"/>
  <c r="Z54" i="1"/>
  <c r="AB54" i="1"/>
  <c r="AJ54" i="1" s="1"/>
  <c r="AK54" i="1" s="1"/>
  <c r="AL17" i="1"/>
  <c r="AN17" i="1" s="1"/>
  <c r="Z17" i="1"/>
  <c r="AB17" i="1"/>
  <c r="AJ17" i="1" s="1"/>
  <c r="AK17" i="1" s="1"/>
  <c r="AL684" i="1"/>
  <c r="AN684" i="1" s="1"/>
  <c r="Z684" i="1"/>
  <c r="AB684" i="1"/>
  <c r="AJ684" i="1" s="1"/>
  <c r="AK684" i="1" s="1"/>
  <c r="AL827" i="1"/>
  <c r="AN827" i="1" s="1"/>
  <c r="AB827" i="1"/>
  <c r="AJ827" i="1" s="1"/>
  <c r="AK827" i="1" s="1"/>
  <c r="Z827" i="1"/>
  <c r="AL289" i="1"/>
  <c r="AN289" i="1" s="1"/>
  <c r="Z289" i="1"/>
  <c r="AB289" i="1"/>
  <c r="AJ289" i="1" s="1"/>
  <c r="AK289" i="1" s="1"/>
  <c r="AJ640" i="1"/>
  <c r="AK640" i="1" s="1"/>
  <c r="AL304" i="1"/>
  <c r="AN304" i="1" s="1"/>
  <c r="AV304" i="1" s="1"/>
  <c r="BA304" i="1" s="1"/>
  <c r="Z304" i="1"/>
  <c r="AB304" i="1"/>
  <c r="AJ304" i="1" s="1"/>
  <c r="AK304" i="1" s="1"/>
  <c r="AL839" i="1"/>
  <c r="AN839" i="1" s="1"/>
  <c r="AB839" i="1"/>
  <c r="AJ839" i="1" s="1"/>
  <c r="AK839" i="1" s="1"/>
  <c r="Z839" i="1"/>
  <c r="AL984" i="1"/>
  <c r="AN984" i="1" s="1"/>
  <c r="Z984" i="1"/>
  <c r="AB984" i="1"/>
  <c r="AJ984" i="1" s="1"/>
  <c r="AK984" i="1" s="1"/>
  <c r="AL712" i="1"/>
  <c r="AN712" i="1" s="1"/>
  <c r="Z712" i="1"/>
  <c r="AB712" i="1"/>
  <c r="AJ712" i="1" s="1"/>
  <c r="AL233" i="1"/>
  <c r="AN233" i="1" s="1"/>
  <c r="Z233" i="1"/>
  <c r="AB233" i="1"/>
  <c r="AJ233" i="1" s="1"/>
  <c r="AL457" i="1"/>
  <c r="AN457" i="1" s="1"/>
  <c r="Z457" i="1"/>
  <c r="AB457" i="1"/>
  <c r="AJ457" i="1" s="1"/>
  <c r="AK457" i="1" s="1"/>
  <c r="AL851" i="1"/>
  <c r="AN851" i="1" s="1"/>
  <c r="Z851" i="1"/>
  <c r="AB851" i="1"/>
  <c r="AJ851" i="1" s="1"/>
  <c r="AK851" i="1" s="1"/>
  <c r="AL996" i="1"/>
  <c r="AN996" i="1" s="1"/>
  <c r="Z996" i="1"/>
  <c r="AB996" i="1"/>
  <c r="AJ996" i="1" s="1"/>
  <c r="AK996" i="1" s="1"/>
  <c r="AL687" i="1"/>
  <c r="AN687" i="1" s="1"/>
  <c r="Z687" i="1"/>
  <c r="AB687" i="1"/>
  <c r="AJ687" i="1" s="1"/>
  <c r="AK687" i="1" s="1"/>
  <c r="AL543" i="1"/>
  <c r="AN543" i="1" s="1"/>
  <c r="Z543" i="1"/>
  <c r="AB543" i="1"/>
  <c r="AJ543" i="1" s="1"/>
  <c r="AK543" i="1" s="1"/>
  <c r="AL423" i="1"/>
  <c r="AN423" i="1" s="1"/>
  <c r="Z423" i="1"/>
  <c r="AB423" i="1"/>
  <c r="AJ423" i="1" s="1"/>
  <c r="AK423" i="1" s="1"/>
  <c r="AL303" i="1"/>
  <c r="AN303" i="1" s="1"/>
  <c r="Z303" i="1"/>
  <c r="AB303" i="1"/>
  <c r="AJ303" i="1" s="1"/>
  <c r="AK303" i="1" s="1"/>
  <c r="AL51" i="1"/>
  <c r="AN51" i="1" s="1"/>
  <c r="AV51" i="1" s="1"/>
  <c r="BA51" i="1" s="1"/>
  <c r="Z51" i="1"/>
  <c r="AB51" i="1"/>
  <c r="AJ51" i="1" s="1"/>
  <c r="AK51" i="1" s="1"/>
  <c r="AL602" i="1"/>
  <c r="AN602" i="1" s="1"/>
  <c r="Z602" i="1"/>
  <c r="AB602" i="1"/>
  <c r="AJ602" i="1" s="1"/>
  <c r="AL898" i="1"/>
  <c r="AN898" i="1" s="1"/>
  <c r="Z898" i="1"/>
  <c r="AB898" i="1"/>
  <c r="AJ898" i="1" s="1"/>
  <c r="AK898" i="1" s="1"/>
  <c r="AL770" i="1"/>
  <c r="AN770" i="1" s="1"/>
  <c r="Z770" i="1"/>
  <c r="AB770" i="1"/>
  <c r="AJ770" i="1" s="1"/>
  <c r="AK770" i="1" s="1"/>
  <c r="AL485" i="1"/>
  <c r="AN485" i="1" s="1"/>
  <c r="AV485" i="1" s="1"/>
  <c r="BA485" i="1" s="1"/>
  <c r="Z485" i="1"/>
  <c r="AB485" i="1"/>
  <c r="AJ485" i="1" s="1"/>
  <c r="AK485" i="1" s="1"/>
  <c r="AL364" i="1"/>
  <c r="AN364" i="1" s="1"/>
  <c r="Z364" i="1"/>
  <c r="AB364" i="1"/>
  <c r="AJ364" i="1" s="1"/>
  <c r="AK364" i="1" s="1"/>
  <c r="AL831" i="1"/>
  <c r="AN831" i="1" s="1"/>
  <c r="Z831" i="1"/>
  <c r="AB831" i="1"/>
  <c r="AJ831" i="1" s="1"/>
  <c r="AK831" i="1" s="1"/>
  <c r="AL987" i="1"/>
  <c r="AN987" i="1" s="1"/>
  <c r="Z987" i="1"/>
  <c r="AB987" i="1"/>
  <c r="AJ987" i="1" s="1"/>
  <c r="AK987" i="1" s="1"/>
  <c r="AL37" i="1"/>
  <c r="AN37" i="1" s="1"/>
  <c r="Z37" i="1"/>
  <c r="AB37" i="1"/>
  <c r="AJ37" i="1" s="1"/>
  <c r="AK37" i="1" s="1"/>
  <c r="AL421" i="1"/>
  <c r="AN421" i="1" s="1"/>
  <c r="AB421" i="1"/>
  <c r="AJ421" i="1" s="1"/>
  <c r="AK421" i="1" s="1"/>
  <c r="Z421" i="1"/>
  <c r="AL866" i="1"/>
  <c r="AN866" i="1" s="1"/>
  <c r="Z866" i="1"/>
  <c r="AB866" i="1"/>
  <c r="AJ866" i="1" s="1"/>
  <c r="AK866" i="1" s="1"/>
  <c r="AL2" i="1"/>
  <c r="AN2" i="1" s="1"/>
  <c r="Z2" i="1"/>
  <c r="AB2" i="1" s="1"/>
  <c r="AJ2" i="1" s="1"/>
  <c r="AL612" i="1"/>
  <c r="AN612" i="1" s="1"/>
  <c r="AV612" i="1" s="1"/>
  <c r="BA612" i="1" s="1"/>
  <c r="Z612" i="1"/>
  <c r="AB612" i="1"/>
  <c r="AJ612" i="1" s="1"/>
  <c r="AK612" i="1" s="1"/>
  <c r="AL360" i="1"/>
  <c r="AN360" i="1" s="1"/>
  <c r="Z360" i="1"/>
  <c r="AB360" i="1"/>
  <c r="AJ360" i="1" s="1"/>
  <c r="AK360" i="1" s="1"/>
  <c r="AL216" i="1"/>
  <c r="AN216" i="1" s="1"/>
  <c r="Z216" i="1"/>
  <c r="AB216" i="1"/>
  <c r="AJ216" i="1" s="1"/>
  <c r="AK216" i="1" s="1"/>
  <c r="AL48" i="1"/>
  <c r="AN48" i="1" s="1"/>
  <c r="Z48" i="1"/>
  <c r="AB48" i="1"/>
  <c r="AJ48" i="1" s="1"/>
  <c r="AL86" i="1"/>
  <c r="AN86" i="1" s="1"/>
  <c r="AV86" i="1" s="1"/>
  <c r="BA86" i="1" s="1"/>
  <c r="Z86" i="1"/>
  <c r="AB86" i="1"/>
  <c r="AJ86" i="1" s="1"/>
  <c r="AK86" i="1" s="1"/>
  <c r="AL811" i="1"/>
  <c r="AN811" i="1" s="1"/>
  <c r="AB811" i="1"/>
  <c r="AJ811" i="1" s="1"/>
  <c r="AK811" i="1" s="1"/>
  <c r="Z811" i="1"/>
  <c r="AL956" i="1"/>
  <c r="AN956" i="1" s="1"/>
  <c r="AB956" i="1"/>
  <c r="AJ956" i="1" s="1"/>
  <c r="AK956" i="1" s="1"/>
  <c r="Z956" i="1"/>
  <c r="AL659" i="1"/>
  <c r="AN659" i="1" s="1"/>
  <c r="Z659" i="1"/>
  <c r="AB659" i="1"/>
  <c r="AJ659" i="1" s="1"/>
  <c r="AK659" i="1" s="1"/>
  <c r="AJ539" i="1"/>
  <c r="AK539" i="1" s="1"/>
  <c r="AL539" i="1"/>
  <c r="AN539" i="1" s="1"/>
  <c r="Z539" i="1"/>
  <c r="AB539" i="1"/>
  <c r="AL419" i="1"/>
  <c r="AN419" i="1" s="1"/>
  <c r="Z419" i="1"/>
  <c r="AB419" i="1"/>
  <c r="AJ419" i="1" s="1"/>
  <c r="AK419" i="1" s="1"/>
  <c r="AL287" i="1"/>
  <c r="AN287" i="1" s="1"/>
  <c r="Z287" i="1"/>
  <c r="AB287" i="1"/>
  <c r="AJ287" i="1" s="1"/>
  <c r="AK287" i="1" s="1"/>
  <c r="AL155" i="1"/>
  <c r="AN155" i="1" s="1"/>
  <c r="Z155" i="1"/>
  <c r="AB155" i="1"/>
  <c r="AJ155" i="1" s="1"/>
  <c r="AK155" i="1" s="1"/>
  <c r="AL35" i="1"/>
  <c r="AN35" i="1" s="1"/>
  <c r="Z35" i="1"/>
  <c r="AB35" i="1"/>
  <c r="AJ35" i="1" s="1"/>
  <c r="AL280" i="1"/>
  <c r="AN280" i="1" s="1"/>
  <c r="Z280" i="1"/>
  <c r="AB280" i="1"/>
  <c r="AJ280" i="1" s="1"/>
  <c r="AK280" i="1" s="1"/>
  <c r="AL823" i="1"/>
  <c r="AN823" i="1" s="1"/>
  <c r="Z823" i="1"/>
  <c r="AB823" i="1"/>
  <c r="AJ823" i="1" s="1"/>
  <c r="AK823" i="1" s="1"/>
  <c r="AL968" i="1"/>
  <c r="AN968" i="1" s="1"/>
  <c r="AV968" i="1" s="1"/>
  <c r="BA968" i="1" s="1"/>
  <c r="AB968" i="1"/>
  <c r="AJ968" i="1" s="1"/>
  <c r="AK968" i="1" s="1"/>
  <c r="Z968" i="1"/>
  <c r="AL646" i="1"/>
  <c r="AN646" i="1" s="1"/>
  <c r="Z646" i="1"/>
  <c r="AB646" i="1"/>
  <c r="AJ646" i="1" s="1"/>
  <c r="AL526" i="1"/>
  <c r="AN526" i="1" s="1"/>
  <c r="Z526" i="1"/>
  <c r="AB526" i="1"/>
  <c r="AJ526" i="1" s="1"/>
  <c r="AK526" i="1" s="1"/>
  <c r="AL394" i="1"/>
  <c r="AN394" i="1" s="1"/>
  <c r="Z394" i="1"/>
  <c r="AB394" i="1"/>
  <c r="AJ394" i="1" s="1"/>
  <c r="AK394" i="1" s="1"/>
  <c r="AL274" i="1"/>
  <c r="AN274" i="1" s="1"/>
  <c r="Z274" i="1"/>
  <c r="AB274" i="1"/>
  <c r="AJ274" i="1" s="1"/>
  <c r="AK274" i="1" s="1"/>
  <c r="AL154" i="1"/>
  <c r="AN154" i="1" s="1"/>
  <c r="Z154" i="1"/>
  <c r="AB154" i="1"/>
  <c r="AJ154" i="1" s="1"/>
  <c r="AK154" i="1" s="1"/>
  <c r="AL38" i="1"/>
  <c r="AN38" i="1" s="1"/>
  <c r="Z38" i="1"/>
  <c r="AB38" i="1"/>
  <c r="AJ38" i="1" s="1"/>
  <c r="AK38" i="1" s="1"/>
  <c r="AL763" i="1"/>
  <c r="AN763" i="1" s="1"/>
  <c r="AV763" i="1" s="1"/>
  <c r="BA763" i="1" s="1"/>
  <c r="Z763" i="1"/>
  <c r="AB763" i="1"/>
  <c r="AJ763" i="1" s="1"/>
  <c r="AK763" i="1" s="1"/>
  <c r="AL935" i="1"/>
  <c r="AN935" i="1" s="1"/>
  <c r="AB935" i="1"/>
  <c r="AJ935" i="1" s="1"/>
  <c r="AK935" i="1" s="1"/>
  <c r="Z935" i="1"/>
  <c r="AL681" i="1"/>
  <c r="AN681" i="1" s="1"/>
  <c r="Z681" i="1"/>
  <c r="AB681" i="1"/>
  <c r="AJ681" i="1" s="1"/>
  <c r="AK681" i="1" s="1"/>
  <c r="AL561" i="1"/>
  <c r="AN561" i="1" s="1"/>
  <c r="Z561" i="1"/>
  <c r="AB561" i="1"/>
  <c r="AJ561" i="1" s="1"/>
  <c r="AL429" i="1"/>
  <c r="AN429" i="1" s="1"/>
  <c r="Z429" i="1"/>
  <c r="AB429" i="1"/>
  <c r="AJ429" i="1" s="1"/>
  <c r="AK429" i="1" s="1"/>
  <c r="Z309" i="1"/>
  <c r="AL309" i="1"/>
  <c r="AN309" i="1" s="1"/>
  <c r="AB309" i="1"/>
  <c r="AJ309" i="1" s="1"/>
  <c r="AK309" i="1" s="1"/>
  <c r="AL177" i="1"/>
  <c r="AN177" i="1" s="1"/>
  <c r="Z177" i="1"/>
  <c r="AB177" i="1"/>
  <c r="AJ177" i="1" s="1"/>
  <c r="AK177" i="1" s="1"/>
  <c r="AL57" i="1"/>
  <c r="AN57" i="1" s="1"/>
  <c r="Z57" i="1"/>
  <c r="AB57" i="1"/>
  <c r="AJ57" i="1" s="1"/>
  <c r="AL40" i="1"/>
  <c r="AN40" i="1" s="1"/>
  <c r="AV40" i="1" s="1"/>
  <c r="BA40" i="1" s="1"/>
  <c r="Z40" i="1"/>
  <c r="AB40" i="1"/>
  <c r="AJ40" i="1" s="1"/>
  <c r="AK40" i="1" s="1"/>
  <c r="AL626" i="1"/>
  <c r="AN626" i="1" s="1"/>
  <c r="Z626" i="1"/>
  <c r="AB626" i="1"/>
  <c r="AJ626" i="1" s="1"/>
  <c r="AK626" i="1" s="1"/>
  <c r="AL914" i="1"/>
  <c r="AN914" i="1" s="1"/>
  <c r="AV914" i="1" s="1"/>
  <c r="BA914" i="1" s="1"/>
  <c r="AB914" i="1"/>
  <c r="AJ914" i="1" s="1"/>
  <c r="AK914" i="1" s="1"/>
  <c r="Z914" i="1"/>
  <c r="AL704" i="1"/>
  <c r="AN704" i="1" s="1"/>
  <c r="Z704" i="1"/>
  <c r="AB704" i="1"/>
  <c r="AJ704" i="1" s="1"/>
  <c r="AK704" i="1" s="1"/>
  <c r="AL452" i="1"/>
  <c r="AN452" i="1" s="1"/>
  <c r="Z452" i="1"/>
  <c r="AB452" i="1"/>
  <c r="AJ452" i="1" s="1"/>
  <c r="AK452" i="1" s="1"/>
  <c r="AL332" i="1"/>
  <c r="AN332" i="1" s="1"/>
  <c r="Z332" i="1"/>
  <c r="AB332" i="1"/>
  <c r="AJ332" i="1" s="1"/>
  <c r="AL212" i="1"/>
  <c r="AN212" i="1" s="1"/>
  <c r="AV212" i="1" s="1"/>
  <c r="BA212" i="1" s="1"/>
  <c r="Z212" i="1"/>
  <c r="AB212" i="1"/>
  <c r="AJ212" i="1" s="1"/>
  <c r="AK212" i="1" s="1"/>
  <c r="AL80" i="1"/>
  <c r="AN80" i="1" s="1"/>
  <c r="AV80" i="1" s="1"/>
  <c r="BA80" i="1" s="1"/>
  <c r="Z80" i="1"/>
  <c r="AB80" i="1"/>
  <c r="AJ80" i="1" s="1"/>
  <c r="AK80" i="1" s="1"/>
  <c r="AL197" i="1"/>
  <c r="AN197" i="1" s="1"/>
  <c r="Z197" i="1"/>
  <c r="AB197" i="1"/>
  <c r="AJ197" i="1" s="1"/>
  <c r="AK197" i="1" s="1"/>
  <c r="AL532" i="1"/>
  <c r="AN532" i="1" s="1"/>
  <c r="Z532" i="1"/>
  <c r="AB532" i="1"/>
  <c r="AJ532" i="1" s="1"/>
  <c r="AK532" i="1" s="1"/>
  <c r="AL882" i="1"/>
  <c r="AN882" i="1" s="1"/>
  <c r="AB882" i="1"/>
  <c r="AJ882" i="1" s="1"/>
  <c r="AK882" i="1" s="1"/>
  <c r="Z882" i="1"/>
  <c r="AL727" i="1"/>
  <c r="AN727" i="1" s="1"/>
  <c r="Z727" i="1"/>
  <c r="AB727" i="1"/>
  <c r="AJ727" i="1" s="1"/>
  <c r="AL583" i="1"/>
  <c r="AN583" i="1" s="1"/>
  <c r="Z583" i="1"/>
  <c r="AB583" i="1"/>
  <c r="AL439" i="1"/>
  <c r="AN439" i="1" s="1"/>
  <c r="Z439" i="1"/>
  <c r="AB439" i="1"/>
  <c r="AJ439" i="1" s="1"/>
  <c r="AL295" i="1"/>
  <c r="AN295" i="1" s="1"/>
  <c r="Z295" i="1"/>
  <c r="AB295" i="1"/>
  <c r="AL151" i="1"/>
  <c r="AN151" i="1" s="1"/>
  <c r="Z151" i="1"/>
  <c r="AB151" i="1"/>
  <c r="AJ151" i="1" s="1"/>
  <c r="AL11" i="1"/>
  <c r="AN11" i="1" s="1"/>
  <c r="Z11" i="1"/>
  <c r="AB11" i="1"/>
  <c r="AJ11" i="1" s="1"/>
  <c r="AJ397" i="1"/>
  <c r="AK397" i="1" s="1"/>
  <c r="AL397" i="1"/>
  <c r="AN397" i="1" s="1"/>
  <c r="Z397" i="1"/>
  <c r="AB397" i="1"/>
  <c r="AL849" i="1"/>
  <c r="AN849" i="1" s="1"/>
  <c r="Z849" i="1"/>
  <c r="AB849" i="1"/>
  <c r="AJ849" i="1" s="1"/>
  <c r="AK849" i="1" s="1"/>
  <c r="AL994" i="1"/>
  <c r="AN994" i="1" s="1"/>
  <c r="Z994" i="1"/>
  <c r="AB994" i="1"/>
  <c r="AJ994" i="1" s="1"/>
  <c r="AL678" i="1"/>
  <c r="AN678" i="1" s="1"/>
  <c r="Z678" i="1"/>
  <c r="AB678" i="1"/>
  <c r="AJ678" i="1" s="1"/>
  <c r="AK678" i="1" s="1"/>
  <c r="AL546" i="1"/>
  <c r="AN546" i="1" s="1"/>
  <c r="Z546" i="1"/>
  <c r="AB546" i="1"/>
  <c r="AJ546" i="1" s="1"/>
  <c r="AK546" i="1" s="1"/>
  <c r="AL426" i="1"/>
  <c r="AN426" i="1" s="1"/>
  <c r="Z426" i="1"/>
  <c r="AB426" i="1"/>
  <c r="AJ426" i="1" s="1"/>
  <c r="AK426" i="1" s="1"/>
  <c r="AL294" i="1"/>
  <c r="AN294" i="1" s="1"/>
  <c r="Z294" i="1"/>
  <c r="AB294" i="1"/>
  <c r="AJ294" i="1" s="1"/>
  <c r="AK294" i="1" s="1"/>
  <c r="AL174" i="1"/>
  <c r="AN174" i="1" s="1"/>
  <c r="Z174" i="1"/>
  <c r="AB174" i="1"/>
  <c r="AJ174" i="1" s="1"/>
  <c r="AK174" i="1" s="1"/>
  <c r="AL42" i="1"/>
  <c r="AN42" i="1" s="1"/>
  <c r="Z42" i="1"/>
  <c r="AB42" i="1"/>
  <c r="AJ42" i="1" s="1"/>
  <c r="AK42" i="1" s="1"/>
  <c r="AL446" i="1"/>
  <c r="AN446" i="1" s="1"/>
  <c r="Z446" i="1"/>
  <c r="AB446" i="1"/>
  <c r="AJ446" i="1" s="1"/>
  <c r="AK446" i="1" s="1"/>
  <c r="AL928" i="1"/>
  <c r="AN928" i="1" s="1"/>
  <c r="Z928" i="1"/>
  <c r="AB928" i="1"/>
  <c r="AJ928" i="1" s="1"/>
  <c r="AK928" i="1" s="1"/>
  <c r="AL983" i="1"/>
  <c r="AN983" i="1" s="1"/>
  <c r="Z983" i="1"/>
  <c r="AB983" i="1"/>
  <c r="AJ983" i="1" s="1"/>
  <c r="AK983" i="1" s="1"/>
  <c r="AL302" i="1"/>
  <c r="AN302" i="1" s="1"/>
  <c r="Z302" i="1"/>
  <c r="AB302" i="1"/>
  <c r="AJ302" i="1" s="1"/>
  <c r="AK302" i="1" s="1"/>
  <c r="Z5" i="1"/>
  <c r="AL5" i="1"/>
  <c r="AN5" i="1" s="1"/>
  <c r="AB5" i="1"/>
  <c r="AJ5" i="1" s="1"/>
  <c r="AK5" i="1" s="1"/>
  <c r="AJ1007" i="1"/>
  <c r="AK1007" i="1" s="1"/>
  <c r="AJ754" i="1"/>
  <c r="AK754" i="1" s="1"/>
  <c r="AJ741" i="1"/>
  <c r="AK741" i="1" s="1"/>
  <c r="AJ779" i="1"/>
  <c r="AK779" i="1" s="1"/>
  <c r="AJ768" i="1"/>
  <c r="AK768" i="1" s="1"/>
  <c r="AJ752" i="1"/>
  <c r="AJ66" i="1"/>
  <c r="AK66" i="1" s="1"/>
  <c r="AJ944" i="1"/>
  <c r="AJ91" i="1"/>
  <c r="AK91" i="1" s="1"/>
  <c r="AJ7" i="1"/>
  <c r="AK7" i="1" s="1"/>
  <c r="AJ719" i="1"/>
  <c r="AK719" i="1" s="1"/>
  <c r="AJ802" i="1"/>
  <c r="AK802" i="1" s="1"/>
  <c r="AJ716" i="1"/>
  <c r="AJ813" i="1"/>
  <c r="AJ655" i="1"/>
  <c r="AK655" i="1" s="1"/>
  <c r="AJ583" i="1"/>
  <c r="AK583" i="1" s="1"/>
  <c r="AJ511" i="1"/>
  <c r="AK511" i="1" s="1"/>
  <c r="AJ367" i="1"/>
  <c r="AK367" i="1" s="1"/>
  <c r="AJ295" i="1"/>
  <c r="AK295" i="1" s="1"/>
  <c r="AJ223" i="1"/>
  <c r="AK223" i="1" s="1"/>
  <c r="AJ79" i="1"/>
  <c r="AJ679" i="1"/>
  <c r="AJ535" i="1"/>
  <c r="AK535" i="1" s="1"/>
  <c r="AJ969" i="1"/>
  <c r="AJ715" i="1"/>
  <c r="AK715" i="1" s="1"/>
  <c r="AJ643" i="1"/>
  <c r="AK643" i="1" s="1"/>
  <c r="AJ499" i="1"/>
  <c r="AK499" i="1" s="1"/>
  <c r="AJ211" i="1"/>
  <c r="AK211" i="1" s="1"/>
  <c r="AJ67" i="1"/>
  <c r="AK67" i="1" s="1"/>
  <c r="AJ930" i="1"/>
  <c r="AK930" i="1" s="1"/>
  <c r="AJ788" i="1"/>
  <c r="AJ680" i="1"/>
  <c r="AJ859" i="1"/>
  <c r="AJ415" i="1"/>
  <c r="AJ343" i="1"/>
  <c r="AK343" i="1" s="1"/>
  <c r="AJ199" i="1"/>
  <c r="AK199" i="1" s="1"/>
  <c r="AJ127" i="1"/>
  <c r="AK127" i="1" s="1"/>
  <c r="AJ55" i="1"/>
  <c r="AK55" i="1" s="1"/>
  <c r="AJ705" i="1"/>
  <c r="AK705" i="1" s="1"/>
  <c r="AJ717" i="1"/>
  <c r="AJ691" i="1"/>
  <c r="AJ403" i="1"/>
  <c r="AK403" i="1" s="1"/>
  <c r="AJ331" i="1"/>
  <c r="AK331" i="1" s="1"/>
  <c r="AJ259" i="1"/>
  <c r="AK259" i="1" s="1"/>
  <c r="AJ187" i="1"/>
  <c r="AK187" i="1" s="1"/>
  <c r="AJ115" i="1"/>
  <c r="AK115" i="1" s="1"/>
  <c r="AJ607" i="1"/>
  <c r="AJ751" i="1"/>
  <c r="AJ862" i="1"/>
  <c r="AJ728" i="1"/>
  <c r="AK728" i="1" s="1"/>
  <c r="AV392" i="1"/>
  <c r="BA392" i="1" s="1"/>
  <c r="AV695" i="1"/>
  <c r="BA695" i="1" s="1"/>
  <c r="AV442" i="1"/>
  <c r="BA442" i="1" s="1"/>
  <c r="AV455" i="1"/>
  <c r="BA455" i="1" s="1"/>
  <c r="AV379" i="1"/>
  <c r="BA379" i="1" s="1"/>
  <c r="AV128" i="1"/>
  <c r="BA128" i="1" s="1"/>
  <c r="AV536" i="1"/>
  <c r="BA536" i="1" s="1"/>
  <c r="AV836" i="1"/>
  <c r="BA836" i="1" s="1"/>
  <c r="AV645" i="1"/>
  <c r="BA645" i="1" s="1"/>
  <c r="AV710" i="1"/>
  <c r="BA710" i="1" s="1"/>
  <c r="AV861" i="1"/>
  <c r="BA861" i="1" s="1"/>
  <c r="AV22" i="1"/>
  <c r="BA22" i="1" s="1"/>
  <c r="AV310" i="1"/>
  <c r="BA310" i="1" s="1"/>
  <c r="AV454" i="1"/>
  <c r="BA454" i="1" s="1"/>
  <c r="AV598" i="1"/>
  <c r="BA598" i="1" s="1"/>
  <c r="AV749" i="1"/>
  <c r="BA749" i="1" s="1"/>
  <c r="AV289" i="1"/>
  <c r="BA289" i="1" s="1"/>
  <c r="AV577" i="1"/>
  <c r="BA577" i="1" s="1"/>
  <c r="AV38" i="1"/>
  <c r="BA38" i="1" s="1"/>
  <c r="AV182" i="1"/>
  <c r="BA182" i="1" s="1"/>
  <c r="AV470" i="1"/>
  <c r="BA470" i="1" s="1"/>
  <c r="AV614" i="1"/>
  <c r="BA614" i="1" s="1"/>
  <c r="AV806" i="1"/>
  <c r="BA806" i="1" s="1"/>
  <c r="AV255" i="1"/>
  <c r="BA255" i="1" s="1"/>
  <c r="AV64" i="1"/>
  <c r="BA64" i="1" s="1"/>
  <c r="AV196" i="1"/>
  <c r="BA196" i="1" s="1"/>
  <c r="AV484" i="1"/>
  <c r="BA484" i="1" s="1"/>
  <c r="AV628" i="1"/>
  <c r="BA628" i="1" s="1"/>
  <c r="AV257" i="1"/>
  <c r="BA257" i="1" s="1"/>
  <c r="AV401" i="1"/>
  <c r="BA401" i="1" s="1"/>
  <c r="AV524" i="1"/>
  <c r="BA524" i="1" s="1"/>
  <c r="AV405" i="1"/>
  <c r="BA405" i="1" s="1"/>
  <c r="AV881" i="1"/>
  <c r="BA881" i="1" s="1"/>
  <c r="AV720" i="1"/>
  <c r="BA720" i="1" s="1"/>
  <c r="AV793" i="1"/>
  <c r="BA793" i="1" s="1"/>
  <c r="AV235" i="1"/>
  <c r="BA235" i="1" s="1"/>
  <c r="AV694" i="1"/>
  <c r="BA694" i="1" s="1"/>
  <c r="AV854" i="1"/>
  <c r="BA854" i="1" s="1"/>
  <c r="AV998" i="1"/>
  <c r="BA998" i="1" s="1"/>
  <c r="AV140" i="1"/>
  <c r="BA140" i="1" s="1"/>
  <c r="AV848" i="1"/>
  <c r="BA848" i="1" s="1"/>
  <c r="AV657" i="1"/>
  <c r="BA657" i="1" s="1"/>
  <c r="AV723" i="1"/>
  <c r="BA723" i="1" s="1"/>
  <c r="AV141" i="1"/>
  <c r="BA141" i="1" s="1"/>
  <c r="AV285" i="1"/>
  <c r="BA285" i="1" s="1"/>
  <c r="AV897" i="1"/>
  <c r="BA897" i="1" s="1"/>
  <c r="AV892" i="1"/>
  <c r="BA892" i="1" s="1"/>
  <c r="AV610" i="1"/>
  <c r="BA610" i="1" s="1"/>
  <c r="AV863" i="1"/>
  <c r="BA863" i="1" s="1"/>
  <c r="AV330" i="1"/>
  <c r="BA330" i="1" s="1"/>
  <c r="AV761" i="1"/>
  <c r="BA761" i="1" s="1"/>
  <c r="AV623" i="1"/>
  <c r="BA623" i="1" s="1"/>
  <c r="AV72" i="1"/>
  <c r="BA72" i="1" s="1"/>
  <c r="AV396" i="1"/>
  <c r="BA396" i="1" s="1"/>
  <c r="AV540" i="1"/>
  <c r="BA540" i="1" s="1"/>
  <c r="AV157" i="1"/>
  <c r="BA157" i="1" s="1"/>
  <c r="AV301" i="1"/>
  <c r="BA301" i="1" s="1"/>
  <c r="AV445" i="1"/>
  <c r="BA445" i="1" s="1"/>
  <c r="AV50" i="1"/>
  <c r="BA50" i="1" s="1"/>
  <c r="AV194" i="1"/>
  <c r="BA194" i="1" s="1"/>
  <c r="AV954" i="1"/>
  <c r="BA954" i="1" s="1"/>
  <c r="AV555" i="1"/>
  <c r="BA555" i="1" s="1"/>
  <c r="AV978" i="1"/>
  <c r="BA978" i="1" s="1"/>
  <c r="AV767" i="1"/>
  <c r="BA767" i="1" s="1"/>
  <c r="AV724" i="1"/>
  <c r="BA724" i="1" s="1"/>
  <c r="AV23" i="1"/>
  <c r="BA23" i="1" s="1"/>
  <c r="AV427" i="1"/>
  <c r="BA427" i="1" s="1"/>
  <c r="AV805" i="1"/>
  <c r="BA805" i="1" s="1"/>
  <c r="AV949" i="1"/>
  <c r="BA949" i="1" s="1"/>
  <c r="AV1003" i="1"/>
  <c r="BA1003" i="1" s="1"/>
  <c r="AV708" i="1"/>
  <c r="BA708" i="1" s="1"/>
  <c r="AV152" i="1"/>
  <c r="BA152" i="1" s="1"/>
  <c r="AV296" i="1"/>
  <c r="BA296" i="1" s="1"/>
  <c r="AV560" i="1"/>
  <c r="BA560" i="1" s="1"/>
  <c r="AV1004" i="1"/>
  <c r="BA1004" i="1" s="1"/>
  <c r="AV879" i="1"/>
  <c r="BA879" i="1" s="1"/>
  <c r="AV9" i="1"/>
  <c r="BA9" i="1" s="1"/>
  <c r="AV153" i="1"/>
  <c r="BA153" i="1" s="1"/>
  <c r="AV297" i="1"/>
  <c r="BA297" i="1" s="1"/>
  <c r="AV904" i="1"/>
  <c r="BA904" i="1" s="1"/>
  <c r="AV190" i="1"/>
  <c r="BA190" i="1" s="1"/>
  <c r="AV334" i="1"/>
  <c r="BA334" i="1" s="1"/>
  <c r="AV622" i="1"/>
  <c r="BA622" i="1" s="1"/>
  <c r="AV778" i="1"/>
  <c r="BA778" i="1" s="1"/>
  <c r="AV438" i="1"/>
  <c r="BA438" i="1" s="1"/>
  <c r="AV917" i="1"/>
  <c r="BA917" i="1" s="1"/>
  <c r="AV347" i="1"/>
  <c r="BA347" i="1" s="1"/>
  <c r="AV491" i="1"/>
  <c r="BA491" i="1" s="1"/>
  <c r="AV635" i="1"/>
  <c r="BA635" i="1" s="1"/>
  <c r="AV402" i="1"/>
  <c r="BA402" i="1" s="1"/>
  <c r="AV756" i="1"/>
  <c r="BA756" i="1" s="1"/>
  <c r="AV25" i="1"/>
  <c r="BA25" i="1" s="1"/>
  <c r="AV313" i="1"/>
  <c r="BA313" i="1" s="1"/>
  <c r="AV601" i="1"/>
  <c r="BA601" i="1" s="1"/>
  <c r="AV102" i="1"/>
  <c r="BA102" i="1" s="1"/>
  <c r="AV206" i="1"/>
  <c r="BA206" i="1" s="1"/>
  <c r="AV350" i="1"/>
  <c r="BA350" i="1" s="1"/>
  <c r="AV494" i="1"/>
  <c r="BA494" i="1" s="1"/>
  <c r="AV638" i="1"/>
  <c r="BA638" i="1" s="1"/>
  <c r="AV135" i="1"/>
  <c r="BA135" i="1" s="1"/>
  <c r="AV567" i="1"/>
  <c r="BA567" i="1" s="1"/>
  <c r="AV652" i="1"/>
  <c r="BA652" i="1" s="1"/>
  <c r="AV425" i="1"/>
  <c r="BA425" i="1" s="1"/>
  <c r="AV569" i="1"/>
  <c r="BA569" i="1" s="1"/>
  <c r="AV843" i="1"/>
  <c r="BA843" i="1" s="1"/>
  <c r="AV277" i="1"/>
  <c r="BA277" i="1" s="1"/>
  <c r="AV99" i="1"/>
  <c r="BA99" i="1" s="1"/>
  <c r="AV328" i="1"/>
  <c r="BA328" i="1" s="1"/>
  <c r="AV616" i="1"/>
  <c r="BA616" i="1" s="1"/>
  <c r="AV961" i="1"/>
  <c r="BA961" i="1" s="1"/>
  <c r="AV878" i="1"/>
  <c r="BA878" i="1" s="1"/>
  <c r="AV164" i="1"/>
  <c r="BA164" i="1" s="1"/>
  <c r="AV572" i="1"/>
  <c r="BA572" i="1" s="1"/>
  <c r="AV909" i="1"/>
  <c r="BA909" i="1" s="1"/>
  <c r="AV453" i="1"/>
  <c r="BA453" i="1" s="1"/>
  <c r="AV772" i="1"/>
  <c r="BA772" i="1" s="1"/>
  <c r="AV58" i="1"/>
  <c r="BA58" i="1" s="1"/>
  <c r="AV346" i="1"/>
  <c r="BA346" i="1" s="1"/>
  <c r="AV634" i="1"/>
  <c r="BA634" i="1" s="1"/>
  <c r="AV911" i="1"/>
  <c r="BA911" i="1" s="1"/>
  <c r="AV510" i="1"/>
  <c r="BA510" i="1" s="1"/>
  <c r="AV929" i="1"/>
  <c r="BA929" i="1" s="1"/>
  <c r="AV215" i="1"/>
  <c r="BA215" i="1" s="1"/>
  <c r="AV359" i="1"/>
  <c r="BA359" i="1" s="1"/>
  <c r="AV503" i="1"/>
  <c r="BA503" i="1" s="1"/>
  <c r="AV647" i="1"/>
  <c r="BA647" i="1" s="1"/>
  <c r="AV546" i="1"/>
  <c r="BA546" i="1" s="1"/>
  <c r="AV894" i="1"/>
  <c r="BA894" i="1" s="1"/>
  <c r="AV108" i="1"/>
  <c r="BA108" i="1" s="1"/>
  <c r="AV264" i="1"/>
  <c r="BA264" i="1" s="1"/>
  <c r="AV37" i="1"/>
  <c r="BA37" i="1" s="1"/>
  <c r="AV613" i="1"/>
  <c r="BA613" i="1" s="1"/>
  <c r="AV198" i="1"/>
  <c r="BA198" i="1" s="1"/>
  <c r="AV414" i="1"/>
  <c r="BA414" i="1" s="1"/>
  <c r="AV520" i="1"/>
  <c r="BA520" i="1" s="1"/>
  <c r="AV149" i="1"/>
  <c r="BA149" i="1" s="1"/>
  <c r="AV437" i="1"/>
  <c r="BA437" i="1" s="1"/>
  <c r="AV581" i="1"/>
  <c r="BA581" i="1" s="1"/>
  <c r="AV366" i="1"/>
  <c r="BA366" i="1" s="1"/>
  <c r="AV967" i="1"/>
  <c r="BA967" i="1" s="1"/>
  <c r="AV298" i="1"/>
  <c r="BA298" i="1" s="1"/>
  <c r="AV630" i="1"/>
  <c r="BA630" i="1" s="1"/>
  <c r="AV890" i="1"/>
  <c r="BA890" i="1" s="1"/>
  <c r="AV32" i="1"/>
  <c r="BA32" i="1" s="1"/>
  <c r="AV176" i="1"/>
  <c r="BA176" i="1" s="1"/>
  <c r="AV740" i="1"/>
  <c r="BA740" i="1" s="1"/>
  <c r="AV884" i="1"/>
  <c r="BA884" i="1" s="1"/>
  <c r="AV549" i="1"/>
  <c r="BA549" i="1" s="1"/>
  <c r="AV693" i="1"/>
  <c r="BA693" i="1" s="1"/>
  <c r="AV945" i="1"/>
  <c r="BA945" i="1" s="1"/>
  <c r="AV465" i="1"/>
  <c r="BA465" i="1" s="1"/>
  <c r="AV784" i="1"/>
  <c r="BA784" i="1" s="1"/>
  <c r="AV946" i="1"/>
  <c r="BA946" i="1" s="1"/>
  <c r="AV797" i="1"/>
  <c r="BA797" i="1" s="1"/>
  <c r="AV941" i="1"/>
  <c r="BA941" i="1" s="1"/>
  <c r="AV515" i="1"/>
  <c r="BA515" i="1" s="1"/>
  <c r="AV899" i="1"/>
  <c r="BA899" i="1" s="1"/>
  <c r="AV906" i="1"/>
  <c r="BA906" i="1" s="1"/>
  <c r="AV780" i="1"/>
  <c r="BA780" i="1" s="1"/>
  <c r="AV337" i="1"/>
  <c r="BA337" i="1" s="1"/>
  <c r="AV625" i="1"/>
  <c r="BA625" i="1" s="1"/>
  <c r="AV374" i="1"/>
  <c r="BA374" i="1" s="1"/>
  <c r="AV159" i="1"/>
  <c r="BA159" i="1" s="1"/>
  <c r="AV591" i="1"/>
  <c r="BA591" i="1" s="1"/>
  <c r="AV570" i="1"/>
  <c r="BA570" i="1" s="1"/>
  <c r="AV244" i="1"/>
  <c r="BA244" i="1" s="1"/>
  <c r="AV676" i="1"/>
  <c r="BA676" i="1" s="1"/>
  <c r="AV161" i="1"/>
  <c r="BA161" i="1" s="1"/>
  <c r="AV462" i="1"/>
  <c r="BA462" i="1" s="1"/>
  <c r="AV737" i="1"/>
  <c r="BA737" i="1" s="1"/>
  <c r="AV204" i="1"/>
  <c r="BA204" i="1" s="1"/>
  <c r="AV798" i="1"/>
  <c r="BA798" i="1" s="1"/>
  <c r="AV829" i="1"/>
  <c r="BA829" i="1" s="1"/>
  <c r="AV885" i="1"/>
  <c r="BA885" i="1" s="1"/>
  <c r="AV841" i="1"/>
  <c r="BA841" i="1" s="1"/>
  <c r="AV295" i="1"/>
  <c r="BA295" i="1" s="1"/>
  <c r="AV746" i="1"/>
  <c r="BA746" i="1" s="1"/>
  <c r="AV902" i="1"/>
  <c r="BA902" i="1" s="1"/>
  <c r="AV45" i="1"/>
  <c r="BA45" i="1" s="1"/>
  <c r="AV477" i="1"/>
  <c r="BA477" i="1" s="1"/>
  <c r="AV342" i="1"/>
  <c r="BA342" i="1" s="1"/>
  <c r="AV796" i="1"/>
  <c r="BA796" i="1" s="1"/>
  <c r="AV940" i="1"/>
  <c r="BA940" i="1" s="1"/>
  <c r="AV82" i="1"/>
  <c r="BA82" i="1" s="1"/>
  <c r="AV514" i="1"/>
  <c r="BA514" i="1" s="1"/>
  <c r="AV690" i="1"/>
  <c r="BA690" i="1" s="1"/>
  <c r="AV95" i="1"/>
  <c r="BA95" i="1" s="1"/>
  <c r="AV383" i="1"/>
  <c r="BA383" i="1" s="1"/>
  <c r="AV527" i="1"/>
  <c r="BA527" i="1" s="1"/>
  <c r="AV923" i="1"/>
  <c r="BA923" i="1" s="1"/>
  <c r="AV699" i="1"/>
  <c r="BA699" i="1" s="1"/>
  <c r="AV288" i="1"/>
  <c r="BA288" i="1" s="1"/>
  <c r="AV432" i="1"/>
  <c r="BA432" i="1" s="1"/>
  <c r="AV804" i="1"/>
  <c r="BA804" i="1" s="1"/>
  <c r="AV349" i="1"/>
  <c r="BA349" i="1" s="1"/>
  <c r="AV242" i="1"/>
  <c r="BA242" i="1" s="1"/>
  <c r="AV171" i="1"/>
  <c r="BA171" i="1" s="1"/>
  <c r="AV603" i="1"/>
  <c r="BA603" i="1" s="1"/>
  <c r="AV124" i="1"/>
  <c r="BA124" i="1" s="1"/>
  <c r="AV256" i="1"/>
  <c r="BA256" i="1" s="1"/>
  <c r="AV400" i="1"/>
  <c r="BA400" i="1" s="1"/>
  <c r="AV544" i="1"/>
  <c r="BA544" i="1" s="1"/>
  <c r="AV688" i="1"/>
  <c r="BA688" i="1" s="1"/>
  <c r="AV29" i="1"/>
  <c r="BA29" i="1" s="1"/>
  <c r="AV173" i="1"/>
  <c r="BA173" i="1" s="1"/>
  <c r="AV606" i="1"/>
  <c r="BA606" i="1" s="1"/>
  <c r="AV184" i="1"/>
  <c r="BA184" i="1" s="1"/>
  <c r="AV245" i="1"/>
  <c r="BA245" i="1" s="1"/>
  <c r="AV853" i="1"/>
  <c r="BA853" i="1" s="1"/>
  <c r="AV997" i="1"/>
  <c r="BA997" i="1" s="1"/>
  <c r="AV463" i="1"/>
  <c r="BA463" i="1" s="1"/>
  <c r="AV758" i="1"/>
  <c r="BA758" i="1" s="1"/>
  <c r="AV56" i="1"/>
  <c r="BA56" i="1" s="1"/>
  <c r="AV464" i="1"/>
  <c r="BA464" i="1" s="1"/>
  <c r="AV927" i="1"/>
  <c r="BA927" i="1" s="1"/>
  <c r="AV952" i="1"/>
  <c r="BA952" i="1" s="1"/>
  <c r="AV238" i="1"/>
  <c r="BA238" i="1" s="1"/>
  <c r="AV971" i="1"/>
  <c r="BA971" i="1" s="1"/>
  <c r="AV786" i="1"/>
  <c r="BA786" i="1" s="1"/>
  <c r="AV821" i="1"/>
  <c r="BA821" i="1" s="1"/>
  <c r="AV965" i="1"/>
  <c r="BA965" i="1" s="1"/>
  <c r="AV539" i="1"/>
  <c r="BA539" i="1" s="1"/>
  <c r="AV959" i="1"/>
  <c r="BA959" i="1" s="1"/>
  <c r="AV990" i="1"/>
  <c r="BA990" i="1" s="1"/>
  <c r="AV600" i="1"/>
  <c r="BA600" i="1" s="1"/>
  <c r="AV816" i="1"/>
  <c r="BA816" i="1" s="1"/>
  <c r="AV222" i="1"/>
  <c r="BA222" i="1" s="1"/>
  <c r="AV73" i="1"/>
  <c r="BA73" i="1" s="1"/>
  <c r="AV217" i="1"/>
  <c r="BA217" i="1" s="1"/>
  <c r="AV361" i="1"/>
  <c r="BA361" i="1" s="1"/>
  <c r="AV505" i="1"/>
  <c r="BA505" i="1" s="1"/>
  <c r="AV254" i="1"/>
  <c r="BA254" i="1" s="1"/>
  <c r="AV542" i="1"/>
  <c r="BA542" i="1" s="1"/>
  <c r="AV39" i="1"/>
  <c r="BA39" i="1" s="1"/>
  <c r="AV471" i="1"/>
  <c r="BA471" i="1" s="1"/>
  <c r="AV615" i="1"/>
  <c r="BA615" i="1" s="1"/>
  <c r="AV136" i="1"/>
  <c r="BA136" i="1" s="1"/>
  <c r="AV556" i="1"/>
  <c r="BA556" i="1" s="1"/>
  <c r="AV41" i="1"/>
  <c r="BA41" i="1" s="1"/>
  <c r="AV329" i="1"/>
  <c r="BA329" i="1" s="1"/>
  <c r="AV473" i="1"/>
  <c r="BA473" i="1" s="1"/>
  <c r="AV154" i="1"/>
  <c r="BA154" i="1" s="1"/>
  <c r="AV815" i="1"/>
  <c r="BA815" i="1" s="1"/>
  <c r="AV243" i="1"/>
  <c r="BA243" i="1" s="1"/>
  <c r="AV817" i="1"/>
  <c r="BA817" i="1" s="1"/>
  <c r="AV115" i="1"/>
  <c r="BA115" i="1" s="1"/>
  <c r="AV707" i="1"/>
  <c r="BA707" i="1" s="1"/>
  <c r="AV721" i="1"/>
  <c r="BA721" i="1" s="1"/>
  <c r="AV865" i="1"/>
  <c r="BA865" i="1" s="1"/>
  <c r="AV163" i="1"/>
  <c r="BA163" i="1" s="1"/>
  <c r="AV631" i="1"/>
  <c r="BA631" i="1" s="1"/>
  <c r="AV775" i="1"/>
  <c r="BA775" i="1" s="1"/>
  <c r="AV993" i="1"/>
  <c r="BA993" i="1" s="1"/>
  <c r="AV68" i="1"/>
  <c r="BA68" i="1" s="1"/>
  <c r="AV620" i="1"/>
  <c r="BA620" i="1" s="1"/>
  <c r="AV486" i="1"/>
  <c r="BA486" i="1" s="1"/>
  <c r="AV69" i="1"/>
  <c r="BA69" i="1" s="1"/>
  <c r="AV213" i="1"/>
  <c r="BA213" i="1" s="1"/>
  <c r="AV501" i="1"/>
  <c r="BA501" i="1" s="1"/>
  <c r="AV250" i="1"/>
  <c r="BA250" i="1" s="1"/>
  <c r="AV394" i="1"/>
  <c r="BA394" i="1" s="1"/>
  <c r="AV538" i="1"/>
  <c r="BA538" i="1" s="1"/>
  <c r="AV982" i="1"/>
  <c r="BA982" i="1" s="1"/>
  <c r="AV528" i="1"/>
  <c r="BA528" i="1" s="1"/>
  <c r="AV977" i="1"/>
  <c r="BA977" i="1" s="1"/>
  <c r="AV119" i="1"/>
  <c r="BA119" i="1" s="1"/>
  <c r="AV263" i="1"/>
  <c r="BA263" i="1" s="1"/>
  <c r="AV683" i="1"/>
  <c r="BA683" i="1" s="1"/>
  <c r="AV726" i="1"/>
  <c r="BA726" i="1" s="1"/>
  <c r="AV85" i="1"/>
  <c r="BA85" i="1" s="1"/>
  <c r="AV229" i="1"/>
  <c r="BA229" i="1" s="1"/>
  <c r="AV517" i="1"/>
  <c r="BA517" i="1" s="1"/>
  <c r="AV122" i="1"/>
  <c r="BA122" i="1" s="1"/>
  <c r="AV627" i="1"/>
  <c r="BA627" i="1" s="1"/>
  <c r="AV568" i="1"/>
  <c r="BA568" i="1" s="1"/>
  <c r="AV629" i="1"/>
  <c r="BA629" i="1" s="1"/>
  <c r="AV150" i="1"/>
  <c r="BA150" i="1" s="1"/>
  <c r="AV709" i="1"/>
  <c r="BA709" i="1" s="1"/>
  <c r="AV931" i="1"/>
  <c r="BA931" i="1" s="1"/>
  <c r="AV782" i="1"/>
  <c r="BA782" i="1" s="1"/>
  <c r="AV938" i="1"/>
  <c r="BA938" i="1" s="1"/>
  <c r="AV224" i="1"/>
  <c r="BA224" i="1" s="1"/>
  <c r="AV356" i="1"/>
  <c r="BA356" i="1" s="1"/>
  <c r="AV632" i="1"/>
  <c r="BA632" i="1" s="1"/>
  <c r="AV597" i="1"/>
  <c r="BA597" i="1" s="1"/>
  <c r="AV654" i="1"/>
  <c r="BA654" i="1" s="1"/>
  <c r="AV807" i="1"/>
  <c r="BA807" i="1" s="1"/>
  <c r="AV369" i="1"/>
  <c r="BA369" i="1" s="1"/>
  <c r="AV513" i="1"/>
  <c r="BA513" i="1" s="1"/>
  <c r="AV384" i="1"/>
  <c r="BA384" i="1" s="1"/>
  <c r="AV832" i="1"/>
  <c r="BA832" i="1" s="1"/>
  <c r="AV550" i="1"/>
  <c r="BA550" i="1" s="1"/>
  <c r="AV850" i="1"/>
  <c r="BA850" i="1" s="1"/>
  <c r="AV698" i="1"/>
  <c r="BA698" i="1" s="1"/>
  <c r="AV131" i="1"/>
  <c r="BA131" i="1" s="1"/>
  <c r="AV563" i="1"/>
  <c r="BA563" i="1" s="1"/>
  <c r="AV12" i="1"/>
  <c r="BA12" i="1" s="1"/>
  <c r="AV168" i="1"/>
  <c r="BA168" i="1" s="1"/>
  <c r="AV624" i="1"/>
  <c r="BA624" i="1" s="1"/>
  <c r="AV450" i="1"/>
  <c r="BA450" i="1" s="1"/>
  <c r="AV97" i="1"/>
  <c r="BA97" i="1" s="1"/>
  <c r="AV385" i="1"/>
  <c r="BA385" i="1" s="1"/>
  <c r="AV529" i="1"/>
  <c r="BA529" i="1" s="1"/>
  <c r="AV666" i="1"/>
  <c r="BA666" i="1" s="1"/>
  <c r="AV278" i="1"/>
  <c r="BA278" i="1" s="1"/>
  <c r="AV566" i="1"/>
  <c r="BA566" i="1" s="1"/>
  <c r="AV63" i="1"/>
  <c r="BA63" i="1" s="1"/>
  <c r="AV207" i="1"/>
  <c r="BA207" i="1" s="1"/>
  <c r="AV351" i="1"/>
  <c r="BA351" i="1" s="1"/>
  <c r="AV160" i="1"/>
  <c r="BA160" i="1" s="1"/>
  <c r="AV292" i="1"/>
  <c r="BA292" i="1" s="1"/>
  <c r="AV580" i="1"/>
  <c r="BA580" i="1" s="1"/>
  <c r="AV18" i="1"/>
  <c r="BA18" i="1" s="1"/>
  <c r="AV209" i="1"/>
  <c r="BA209" i="1" s="1"/>
  <c r="AV913" i="1"/>
  <c r="BA913" i="1" s="1"/>
  <c r="AV565" i="1"/>
  <c r="BA565" i="1" s="1"/>
  <c r="AV531" i="1"/>
  <c r="BA531" i="1" s="1"/>
  <c r="AV571" i="1"/>
  <c r="BA571" i="1" s="1"/>
  <c r="AV31" i="1"/>
  <c r="BA31" i="1" s="1"/>
  <c r="AV499" i="1"/>
  <c r="BA499" i="1" s="1"/>
  <c r="AV794" i="1"/>
  <c r="BA794" i="1" s="1"/>
  <c r="AV92" i="1"/>
  <c r="BA92" i="1" s="1"/>
  <c r="AV236" i="1"/>
  <c r="BA236" i="1" s="1"/>
  <c r="AV500" i="1"/>
  <c r="BA500" i="1" s="1"/>
  <c r="AV644" i="1"/>
  <c r="BA644" i="1" s="1"/>
  <c r="AV800" i="1"/>
  <c r="BA800" i="1" s="1"/>
  <c r="AV753" i="1"/>
  <c r="BA753" i="1" s="1"/>
  <c r="AV240" i="1"/>
  <c r="BA240" i="1" s="1"/>
  <c r="AV819" i="1"/>
  <c r="BA819" i="1" s="1"/>
  <c r="AV93" i="1"/>
  <c r="BA93" i="1" s="1"/>
  <c r="AV381" i="1"/>
  <c r="BA381" i="1" s="1"/>
  <c r="AV988" i="1"/>
  <c r="BA988" i="1" s="1"/>
  <c r="AV130" i="1"/>
  <c r="BA130" i="1" s="1"/>
  <c r="AV562" i="1"/>
  <c r="BA562" i="1" s="1"/>
  <c r="AV718" i="1"/>
  <c r="BA718" i="1" s="1"/>
  <c r="AV972" i="1"/>
  <c r="BA972" i="1" s="1"/>
  <c r="AV713" i="1"/>
  <c r="BA713" i="1" s="1"/>
  <c r="AV857" i="1"/>
  <c r="BA857" i="1" s="1"/>
  <c r="AV143" i="1"/>
  <c r="BA143" i="1" s="1"/>
  <c r="AV287" i="1"/>
  <c r="BA287" i="1" s="1"/>
  <c r="AV336" i="1"/>
  <c r="BA336" i="1" s="1"/>
  <c r="AV852" i="1"/>
  <c r="BA852" i="1" s="1"/>
  <c r="AV522" i="1"/>
  <c r="BA522" i="1" s="1"/>
  <c r="AV109" i="1"/>
  <c r="BA109" i="1" s="1"/>
  <c r="AV541" i="1"/>
  <c r="BA541" i="1" s="1"/>
  <c r="AV942" i="1"/>
  <c r="BA942" i="1" s="1"/>
  <c r="AV146" i="1"/>
  <c r="BA146" i="1" s="1"/>
  <c r="AV434" i="1"/>
  <c r="BA434" i="1" s="1"/>
  <c r="AV390" i="1"/>
  <c r="BA390" i="1" s="1"/>
  <c r="AV651" i="1"/>
  <c r="BA651" i="1" s="1"/>
  <c r="AV28" i="1"/>
  <c r="BA28" i="1" s="1"/>
  <c r="AV126" i="1"/>
  <c r="BA126" i="1" s="1"/>
  <c r="AV77" i="1"/>
  <c r="BA77" i="1" s="1"/>
  <c r="AV509" i="1"/>
  <c r="BA509" i="1" s="1"/>
  <c r="AV653" i="1"/>
  <c r="BA653" i="1" s="1"/>
  <c r="AV769" i="1"/>
  <c r="BA769" i="1" s="1"/>
  <c r="AV742" i="1"/>
  <c r="BA742" i="1" s="1"/>
  <c r="AV846" i="1"/>
  <c r="BA846" i="1" s="1"/>
  <c r="AV889" i="1"/>
  <c r="BA889" i="1" s="1"/>
  <c r="AV187" i="1"/>
  <c r="BA187" i="1" s="1"/>
  <c r="AV901" i="1"/>
  <c r="BA901" i="1" s="1"/>
  <c r="AV199" i="1"/>
  <c r="BA199" i="1" s="1"/>
  <c r="AV511" i="1"/>
  <c r="BA511" i="1" s="1"/>
  <c r="AV667" i="1"/>
  <c r="BA667" i="1" s="1"/>
  <c r="AV955" i="1"/>
  <c r="BA955" i="1" s="1"/>
  <c r="AV962" i="1"/>
  <c r="BA962" i="1" s="1"/>
  <c r="AV512" i="1"/>
  <c r="BA512" i="1" s="1"/>
  <c r="AV656" i="1"/>
  <c r="BA656" i="1" s="1"/>
  <c r="AV789" i="1"/>
  <c r="BA789" i="1" s="1"/>
  <c r="AV831" i="1"/>
  <c r="BA831" i="1" s="1"/>
  <c r="AV105" i="1"/>
  <c r="BA105" i="1" s="1"/>
  <c r="AV393" i="1"/>
  <c r="BA393" i="1" s="1"/>
  <c r="AV765" i="1"/>
  <c r="BA765" i="1" s="1"/>
  <c r="AV711" i="1"/>
  <c r="BA711" i="1" s="1"/>
  <c r="AV299" i="1"/>
  <c r="BA299" i="1" s="1"/>
  <c r="AV443" i="1"/>
  <c r="BA443" i="1" s="1"/>
  <c r="AV755" i="1"/>
  <c r="BA755" i="1" s="1"/>
  <c r="AV774" i="1"/>
  <c r="BA774" i="1" s="1"/>
  <c r="AV36" i="1"/>
  <c r="BA36" i="1" s="1"/>
  <c r="AV265" i="1"/>
  <c r="BA265" i="1" s="1"/>
  <c r="AV553" i="1"/>
  <c r="BA553" i="1" s="1"/>
  <c r="AV158" i="1"/>
  <c r="BA158" i="1" s="1"/>
  <c r="AV590" i="1"/>
  <c r="BA590" i="1" s="1"/>
  <c r="AV87" i="1"/>
  <c r="BA87" i="1" s="1"/>
  <c r="AV375" i="1"/>
  <c r="BA375" i="1" s="1"/>
  <c r="AV519" i="1"/>
  <c r="BA519" i="1" s="1"/>
  <c r="AV663" i="1"/>
  <c r="BA663" i="1" s="1"/>
  <c r="AV270" i="1"/>
  <c r="BA270" i="1" s="1"/>
  <c r="AV377" i="1"/>
  <c r="BA377" i="1" s="1"/>
  <c r="AV521" i="1"/>
  <c r="BA521" i="1" s="1"/>
  <c r="AJ4" i="1"/>
  <c r="AK4" i="1" s="1"/>
  <c r="AK444" i="1" l="1"/>
  <c r="AV444" i="1"/>
  <c r="BA444" i="1" s="1"/>
  <c r="AK466" i="1"/>
  <c r="AV466" i="1"/>
  <c r="BA466" i="1" s="1"/>
  <c r="AK440" i="1"/>
  <c r="AV440" i="1"/>
  <c r="BA440" i="1" s="1"/>
  <c r="AK355" i="1"/>
  <c r="AV355" i="1"/>
  <c r="BA355" i="1" s="1"/>
  <c r="AK107" i="1"/>
  <c r="AV107" i="1"/>
  <c r="BA107" i="1" s="1"/>
  <c r="AK700" i="1"/>
  <c r="AV700" i="1"/>
  <c r="BA700" i="1" s="1"/>
  <c r="AK475" i="1"/>
  <c r="AV475" i="1"/>
  <c r="BA475" i="1" s="1"/>
  <c r="AK33" i="1"/>
  <c r="AV33" i="1"/>
  <c r="BA33" i="1" s="1"/>
  <c r="AV54" i="1"/>
  <c r="BA54" i="1" s="1"/>
  <c r="AV468" i="1"/>
  <c r="BA468" i="1" s="1"/>
  <c r="AV407" i="1"/>
  <c r="BA407" i="1" s="1"/>
  <c r="AV319" i="1"/>
  <c r="BA319" i="1" s="1"/>
  <c r="AV185" i="1"/>
  <c r="BA185" i="1" s="1"/>
  <c r="AV649" i="1"/>
  <c r="BA649" i="1" s="1"/>
  <c r="AV671" i="1"/>
  <c r="BA671" i="1" s="1"/>
  <c r="AV582" i="1"/>
  <c r="BA582" i="1" s="1"/>
  <c r="AV303" i="1"/>
  <c r="BA303" i="1" s="1"/>
  <c r="AV232" i="1"/>
  <c r="BA232" i="1" s="1"/>
  <c r="AV747" i="1"/>
  <c r="BA747" i="1" s="1"/>
  <c r="AV760" i="1"/>
  <c r="BA760" i="1" s="1"/>
  <c r="AV640" i="1"/>
  <c r="BA640" i="1" s="1"/>
  <c r="AV429" i="1"/>
  <c r="BA429" i="1" s="1"/>
  <c r="AV937" i="1"/>
  <c r="BA937" i="1" s="1"/>
  <c r="AV340" i="1"/>
  <c r="BA340" i="1" s="1"/>
  <c r="AV898" i="1"/>
  <c r="BA898" i="1" s="1"/>
  <c r="AV888" i="1"/>
  <c r="BA888" i="1" s="1"/>
  <c r="AV279" i="1"/>
  <c r="BA279" i="1" s="1"/>
  <c r="AV783" i="1"/>
  <c r="BA783" i="1" s="1"/>
  <c r="AV1007" i="1"/>
  <c r="BA1007" i="1" s="1"/>
  <c r="AV518" i="1"/>
  <c r="BA518" i="1" s="1"/>
  <c r="AV162" i="1"/>
  <c r="BA162" i="1" s="1"/>
  <c r="AV1005" i="1"/>
  <c r="BA1005" i="1" s="1"/>
  <c r="AV139" i="1"/>
  <c r="BA139" i="1" s="1"/>
  <c r="AV200" i="1"/>
  <c r="BA200" i="1" s="1"/>
  <c r="AV488" i="1"/>
  <c r="BA488" i="1" s="1"/>
  <c r="AV575" i="1"/>
  <c r="BA575" i="1" s="1"/>
  <c r="AV294" i="1"/>
  <c r="BA294" i="1" s="1"/>
  <c r="AV218" i="1"/>
  <c r="BA218" i="1" s="1"/>
  <c r="AV335" i="1"/>
  <c r="BA335" i="1" s="1"/>
  <c r="AV283" i="1"/>
  <c r="BA283" i="1" s="1"/>
  <c r="AV974" i="1"/>
  <c r="BA974" i="1" s="1"/>
  <c r="AV732" i="1"/>
  <c r="BA732" i="1" s="1"/>
  <c r="AV482" i="1"/>
  <c r="BA482" i="1" s="1"/>
  <c r="AV220" i="1"/>
  <c r="BA220" i="1" s="1"/>
  <c r="AV886" i="1"/>
  <c r="BA886" i="1" s="1"/>
  <c r="AV874" i="1"/>
  <c r="BA874" i="1" s="1"/>
  <c r="AV253" i="1"/>
  <c r="BA253" i="1" s="1"/>
  <c r="AV868" i="1"/>
  <c r="BA868" i="1" s="1"/>
  <c r="AV729" i="1"/>
  <c r="BA729" i="1" s="1"/>
  <c r="AV360" i="1"/>
  <c r="BA360" i="1" s="1"/>
  <c r="AV705" i="1"/>
  <c r="BA705" i="1" s="1"/>
  <c r="AV802" i="1"/>
  <c r="BA802" i="1" s="1"/>
  <c r="AV74" i="1"/>
  <c r="BA74" i="1" s="1"/>
  <c r="AV428" i="1"/>
  <c r="BA428" i="1" s="1"/>
  <c r="AV457" i="1"/>
  <c r="BA457" i="1" s="1"/>
  <c r="AV59" i="1"/>
  <c r="BA59" i="1" s="1"/>
  <c r="AV411" i="1"/>
  <c r="BA411" i="1" s="1"/>
  <c r="AV399" i="1"/>
  <c r="BA399" i="1" s="1"/>
  <c r="AV138" i="1"/>
  <c r="BA138" i="1" s="1"/>
  <c r="AV280" i="1"/>
  <c r="BA280" i="1" s="1"/>
  <c r="AV934" i="1"/>
  <c r="BA934" i="1" s="1"/>
  <c r="AV1002" i="1"/>
  <c r="BA1002" i="1" s="1"/>
  <c r="AV226" i="1"/>
  <c r="BA226" i="1" s="1"/>
  <c r="AV535" i="1"/>
  <c r="BA535" i="1" s="1"/>
  <c r="AV148" i="1"/>
  <c r="BA148" i="1" s="1"/>
  <c r="AV239" i="1"/>
  <c r="BA239" i="1" s="1"/>
  <c r="AV1000" i="1"/>
  <c r="BA1000" i="1" s="1"/>
  <c r="AV156" i="1"/>
  <c r="BA156" i="1" s="1"/>
  <c r="AV333" i="1"/>
  <c r="BA333" i="1" s="1"/>
  <c r="AV725" i="1"/>
  <c r="BA725" i="1" s="1"/>
  <c r="AV643" i="1"/>
  <c r="BA643" i="1" s="1"/>
  <c r="AV195" i="1"/>
  <c r="BA195" i="1" s="1"/>
  <c r="AV412" i="1"/>
  <c r="BA412" i="1" s="1"/>
  <c r="AV167" i="1"/>
  <c r="BA167" i="1" s="1"/>
  <c r="AV481" i="1"/>
  <c r="BA481" i="1" s="1"/>
  <c r="AV803" i="1"/>
  <c r="BA803" i="1" s="1"/>
  <c r="AV684" i="1"/>
  <c r="BA684" i="1" s="1"/>
  <c r="AV441" i="1"/>
  <c r="BA441" i="1" s="1"/>
  <c r="AV228" i="1"/>
  <c r="BA228" i="1" s="1"/>
  <c r="AV53" i="1"/>
  <c r="BA53" i="1" s="1"/>
  <c r="AV305" i="1"/>
  <c r="BA305" i="1" s="1"/>
  <c r="AV134" i="1"/>
  <c r="BA134" i="1" s="1"/>
  <c r="AV487" i="1"/>
  <c r="BA487" i="1" s="1"/>
  <c r="AV809" i="1"/>
  <c r="BA809" i="1" s="1"/>
  <c r="AV320" i="1"/>
  <c r="BA320" i="1" s="1"/>
  <c r="AV893" i="1"/>
  <c r="BA893" i="1" s="1"/>
  <c r="AV272" i="1"/>
  <c r="BA272" i="1" s="1"/>
  <c r="AV216" i="1"/>
  <c r="BA216" i="1" s="1"/>
  <c r="AV331" i="1"/>
  <c r="BA331" i="1" s="1"/>
  <c r="AV957" i="1"/>
  <c r="BA957" i="1" s="1"/>
  <c r="AV205" i="1"/>
  <c r="BA205" i="1" s="1"/>
  <c r="AV193" i="1"/>
  <c r="BA193" i="1" s="1"/>
  <c r="AV860" i="1"/>
  <c r="BA860" i="1" s="1"/>
  <c r="AV744" i="1"/>
  <c r="BA744" i="1" s="1"/>
  <c r="AV284" i="1"/>
  <c r="BA284" i="1" s="1"/>
  <c r="AV181" i="1"/>
  <c r="BA181" i="1" s="1"/>
  <c r="AV114" i="1"/>
  <c r="BA114" i="1" s="1"/>
  <c r="AV618" i="1"/>
  <c r="BA618" i="1" s="1"/>
  <c r="AV576" i="1"/>
  <c r="BA576" i="1" s="1"/>
  <c r="AV413" i="1"/>
  <c r="BA413" i="1" s="1"/>
  <c r="AV722" i="1"/>
  <c r="BA722" i="1" s="1"/>
  <c r="AV27" i="1"/>
  <c r="BA27" i="1" s="1"/>
  <c r="AV891" i="1"/>
  <c r="BA891" i="1" s="1"/>
  <c r="AV826" i="1"/>
  <c r="BA826" i="1" s="1"/>
  <c r="AV61" i="1"/>
  <c r="BA61" i="1" s="1"/>
  <c r="AV49" i="1"/>
  <c r="BA49" i="1" s="1"/>
  <c r="AV564" i="1"/>
  <c r="BA564" i="1" s="1"/>
  <c r="AV777" i="1"/>
  <c r="BA777" i="1" s="1"/>
  <c r="AV842" i="1"/>
  <c r="BA842" i="1" s="1"/>
  <c r="AV810" i="1"/>
  <c r="BA810" i="1" s="1"/>
  <c r="AV133" i="1"/>
  <c r="BA133" i="1" s="1"/>
  <c r="AV370" i="1"/>
  <c r="BA370" i="1" s="1"/>
  <c r="AV895" i="1"/>
  <c r="BA895" i="1" s="1"/>
  <c r="AV388" i="1"/>
  <c r="BA388" i="1" s="1"/>
  <c r="AV416" i="1"/>
  <c r="BA416" i="1" s="1"/>
  <c r="AV834" i="1"/>
  <c r="BA834" i="1" s="1"/>
  <c r="AV322" i="1"/>
  <c r="BA322" i="1" s="1"/>
  <c r="AV479" i="1"/>
  <c r="BA479" i="1" s="1"/>
  <c r="AV422" i="1"/>
  <c r="BA422" i="1" s="1"/>
  <c r="AV420" i="1"/>
  <c r="BA420" i="1" s="1"/>
  <c r="AV76" i="1"/>
  <c r="BA76" i="1" s="1"/>
  <c r="AV314" i="1"/>
  <c r="BA314" i="1" s="1"/>
  <c r="AV458" i="1"/>
  <c r="BA458" i="1" s="1"/>
  <c r="AV759" i="1"/>
  <c r="BA759" i="1" s="1"/>
  <c r="AV237" i="1"/>
  <c r="BA237" i="1" s="1"/>
  <c r="AV262" i="1"/>
  <c r="BA262" i="1" s="1"/>
  <c r="AV261" i="1"/>
  <c r="BA261" i="1" s="1"/>
  <c r="AV144" i="1"/>
  <c r="BA144" i="1" s="1"/>
  <c r="AV307" i="1"/>
  <c r="BA307" i="1" s="1"/>
  <c r="AV326" i="1"/>
  <c r="BA326" i="1" s="1"/>
  <c r="AV738" i="1"/>
  <c r="BA738" i="1" s="1"/>
  <c r="AV655" i="1"/>
  <c r="BA655" i="1" s="1"/>
  <c r="AV20" i="1"/>
  <c r="BA20" i="1" s="1"/>
  <c r="AV118" i="1"/>
  <c r="BA118" i="1" s="1"/>
  <c r="AV795" i="1"/>
  <c r="BA795" i="1" s="1"/>
  <c r="AV71" i="1"/>
  <c r="BA71" i="1" s="1"/>
  <c r="AV123" i="1"/>
  <c r="BA123" i="1" s="1"/>
  <c r="AV192" i="1"/>
  <c r="BA192" i="1" s="1"/>
  <c r="AV480" i="1"/>
  <c r="BA480" i="1" s="1"/>
  <c r="AV408" i="1"/>
  <c r="BA408" i="1" s="1"/>
  <c r="AV557" i="1"/>
  <c r="BA557" i="1" s="1"/>
  <c r="AV113" i="1"/>
  <c r="BA113" i="1" s="1"/>
  <c r="AV231" i="1"/>
  <c r="BA231" i="1" s="1"/>
  <c r="AV996" i="1"/>
  <c r="BA996" i="1" s="1"/>
  <c r="AV812" i="1"/>
  <c r="BA812" i="1" s="1"/>
  <c r="AV578" i="1"/>
  <c r="BA578" i="1" s="1"/>
  <c r="AV976" i="1"/>
  <c r="BA976" i="1" s="1"/>
  <c r="AV367" i="1"/>
  <c r="BA367" i="1" s="1"/>
  <c r="AV983" i="1"/>
  <c r="BA983" i="1" s="1"/>
  <c r="AV964" i="1"/>
  <c r="BA964" i="1" s="1"/>
  <c r="AV398" i="1"/>
  <c r="BA398" i="1" s="1"/>
  <c r="AV94" i="1"/>
  <c r="BA94" i="1" s="1"/>
  <c r="AV252" i="1"/>
  <c r="BA252" i="1" s="1"/>
  <c r="AV46" i="1"/>
  <c r="BA46" i="1" s="1"/>
  <c r="AV748" i="1"/>
  <c r="BA748" i="1" s="1"/>
  <c r="AV166" i="1"/>
  <c r="BA166" i="1" s="1"/>
  <c r="AV387" i="1"/>
  <c r="BA387" i="1" s="1"/>
  <c r="AV47" i="1"/>
  <c r="BA47" i="1" s="1"/>
  <c r="AV551" i="1"/>
  <c r="BA551" i="1" s="1"/>
  <c r="AV26" i="1"/>
  <c r="BA26" i="1" s="1"/>
  <c r="AV373" i="1"/>
  <c r="BA373" i="1" s="1"/>
  <c r="AV316" i="1"/>
  <c r="BA316" i="1" s="1"/>
  <c r="AV554" i="1"/>
  <c r="BA554" i="1" s="1"/>
  <c r="AV315" i="1"/>
  <c r="BA315" i="1" s="1"/>
  <c r="AV840" i="1"/>
  <c r="BA840" i="1" s="1"/>
  <c r="AV203" i="1"/>
  <c r="BA203" i="1" s="1"/>
  <c r="AK824" i="1"/>
  <c r="AV824" i="1"/>
  <c r="BA824" i="1" s="1"/>
  <c r="AK474" i="1"/>
  <c r="AV474" i="1"/>
  <c r="BA474" i="1" s="1"/>
  <c r="AK391" i="1"/>
  <c r="AV391" i="1"/>
  <c r="BA391" i="1" s="1"/>
  <c r="AK602" i="1"/>
  <c r="AV602" i="1"/>
  <c r="BA602" i="1" s="1"/>
  <c r="AK409" i="1"/>
  <c r="AV409" i="1"/>
  <c r="BA409" i="1" s="1"/>
  <c r="AK766" i="1"/>
  <c r="AV766" i="1"/>
  <c r="BA766" i="1" s="1"/>
  <c r="AK828" i="1"/>
  <c r="AV828" i="1"/>
  <c r="BA828" i="1" s="1"/>
  <c r="AK281" i="1"/>
  <c r="AV281" i="1"/>
  <c r="BA281" i="1" s="1"/>
  <c r="AK714" i="1"/>
  <c r="AV714" i="1"/>
  <c r="BA714" i="1" s="1"/>
  <c r="AK873" i="1"/>
  <c r="AV873" i="1"/>
  <c r="BA873" i="1" s="1"/>
  <c r="AK584" i="1"/>
  <c r="AV584" i="1"/>
  <c r="BA584" i="1" s="1"/>
  <c r="AK617" i="1"/>
  <c r="AV617" i="1"/>
  <c r="BA617" i="1" s="1"/>
  <c r="AK227" i="1"/>
  <c r="AV227" i="1"/>
  <c r="BA227" i="1" s="1"/>
  <c r="AK918" i="1"/>
  <c r="AV918" i="1"/>
  <c r="BA918" i="1" s="1"/>
  <c r="AK147" i="1"/>
  <c r="AV147" i="1"/>
  <c r="BA147" i="1" s="1"/>
  <c r="AK609" i="1"/>
  <c r="AV609" i="1"/>
  <c r="BA609" i="1" s="1"/>
  <c r="AK1001" i="1"/>
  <c r="AV1001" i="1"/>
  <c r="BA1001" i="1" s="1"/>
  <c r="AK943" i="1"/>
  <c r="AV943" i="1"/>
  <c r="BA943" i="1" s="1"/>
  <c r="AK89" i="1"/>
  <c r="AV89" i="1"/>
  <c r="BA89" i="1" s="1"/>
  <c r="AV678" i="1"/>
  <c r="BA678" i="1" s="1"/>
  <c r="AV741" i="1"/>
  <c r="BA741" i="1" s="1"/>
  <c r="AV312" i="1"/>
  <c r="BA312" i="1" s="1"/>
  <c r="AV446" i="1"/>
  <c r="BA446" i="1" s="1"/>
  <c r="AV431" i="1"/>
  <c r="BA431" i="1" s="1"/>
  <c r="AV525" i="1"/>
  <c r="BA525" i="1" s="1"/>
  <c r="AV174" i="1"/>
  <c r="BA174" i="1" s="1"/>
  <c r="AV537" i="1"/>
  <c r="BA537" i="1" s="1"/>
  <c r="AV91" i="1"/>
  <c r="BA91" i="1" s="1"/>
  <c r="AV125" i="1"/>
  <c r="BA125" i="1" s="1"/>
  <c r="AV343" i="1"/>
  <c r="BA343" i="1" s="1"/>
  <c r="AV837" i="1"/>
  <c r="BA837" i="1" s="1"/>
  <c r="AV248" i="1"/>
  <c r="BA248" i="1" s="1"/>
  <c r="AV266" i="1"/>
  <c r="BA266" i="1" s="1"/>
  <c r="AV770" i="1"/>
  <c r="BA770" i="1" s="1"/>
  <c r="AV702" i="1"/>
  <c r="BA702" i="1" s="1"/>
  <c r="AV586" i="1"/>
  <c r="BA586" i="1" s="1"/>
  <c r="AV867" i="1"/>
  <c r="BA867" i="1" s="1"/>
  <c r="AV986" i="1"/>
  <c r="BA986" i="1" s="1"/>
  <c r="AV604" i="1"/>
  <c r="BA604" i="1" s="1"/>
  <c r="AV697" i="1"/>
  <c r="BA697" i="1" s="1"/>
  <c r="AV677" i="1"/>
  <c r="BA677" i="1" s="1"/>
  <c r="AV558" i="1"/>
  <c r="BA558" i="1" s="1"/>
  <c r="AV820" i="1"/>
  <c r="BA820" i="1" s="1"/>
  <c r="AV919" i="1"/>
  <c r="BA919" i="1" s="1"/>
  <c r="AV966" i="1"/>
  <c r="BA966" i="1" s="1"/>
  <c r="AV321" i="1"/>
  <c r="BA321" i="1" s="1"/>
  <c r="AV490" i="1"/>
  <c r="BA490" i="1" s="1"/>
  <c r="AV325" i="1"/>
  <c r="BA325" i="1" s="1"/>
  <c r="AV268" i="1"/>
  <c r="BA268" i="1" s="1"/>
  <c r="AV78" i="1"/>
  <c r="BA78" i="1" s="1"/>
  <c r="AV460" i="1"/>
  <c r="BA460" i="1" s="1"/>
  <c r="AV365" i="1"/>
  <c r="BA365" i="1" s="1"/>
  <c r="AV418" i="1"/>
  <c r="BA418" i="1" s="1"/>
  <c r="AV799" i="1"/>
  <c r="BA799" i="1" s="1"/>
  <c r="AV311" i="1"/>
  <c r="BA311" i="1" s="1"/>
  <c r="AV936" i="1"/>
  <c r="BA936" i="1" s="1"/>
  <c r="AV669" i="1"/>
  <c r="BA669" i="1" s="1"/>
  <c r="AV8" i="1"/>
  <c r="BA8" i="1" s="1"/>
  <c r="AV376" i="1"/>
  <c r="BA376" i="1" s="1"/>
  <c r="AV833" i="1"/>
  <c r="BA833" i="1" s="1"/>
  <c r="AV661" i="1"/>
  <c r="BA661" i="1" s="1"/>
  <c r="AV155" i="1"/>
  <c r="BA155" i="1" s="1"/>
  <c r="AV987" i="1"/>
  <c r="BA987" i="1" s="1"/>
  <c r="AV573" i="1"/>
  <c r="BA573" i="1" s="1"/>
  <c r="AV506" i="1"/>
  <c r="BA506" i="1" s="1"/>
  <c r="AV875" i="1"/>
  <c r="BA875" i="1" s="1"/>
  <c r="AV84" i="1"/>
  <c r="BA84" i="1" s="1"/>
  <c r="AV704" i="1"/>
  <c r="BA704" i="1" s="1"/>
  <c r="AV170" i="1"/>
  <c r="BA170" i="1" s="1"/>
  <c r="AV197" i="1"/>
  <c r="BA197" i="1" s="1"/>
  <c r="AV452" i="1"/>
  <c r="BA452" i="1" s="1"/>
  <c r="AV659" i="1"/>
  <c r="BA659" i="1" s="1"/>
  <c r="AV916" i="1"/>
  <c r="BA916" i="1" s="1"/>
  <c r="AV948" i="1"/>
  <c r="BA948" i="1" s="1"/>
  <c r="AV472" i="1"/>
  <c r="BA472" i="1" s="1"/>
  <c r="AV371" i="1"/>
  <c r="BA371" i="1" s="1"/>
  <c r="AV855" i="1"/>
  <c r="BA855" i="1" s="1"/>
  <c r="AV324" i="1"/>
  <c r="BA324" i="1" s="1"/>
  <c r="AV397" i="1"/>
  <c r="BA397" i="1" s="1"/>
  <c r="AV327" i="1"/>
  <c r="BA327" i="1" s="1"/>
  <c r="AV608" i="1"/>
  <c r="BA608" i="1" s="1"/>
  <c r="AV530" i="1"/>
  <c r="BA530" i="1" s="1"/>
  <c r="AV202" i="1"/>
  <c r="BA202" i="1" s="1"/>
  <c r="AV587" i="1"/>
  <c r="BA587" i="1" s="1"/>
  <c r="AV21" i="1"/>
  <c r="BA21" i="1" s="1"/>
  <c r="AV745" i="1"/>
  <c r="BA745" i="1" s="1"/>
  <c r="AV689" i="1"/>
  <c r="BA689" i="1" s="1"/>
  <c r="AV241" i="1"/>
  <c r="BA241" i="1" s="1"/>
  <c r="AV935" i="1"/>
  <c r="BA935" i="1" s="1"/>
  <c r="AV870" i="1"/>
  <c r="BA870" i="1" s="1"/>
  <c r="AV956" i="1"/>
  <c r="BA956" i="1" s="1"/>
  <c r="AV593" i="1"/>
  <c r="BA593" i="1" s="1"/>
  <c r="AV309" i="1"/>
  <c r="BA309" i="1" s="1"/>
  <c r="AV348" i="1"/>
  <c r="BA348" i="1" s="1"/>
  <c r="AV274" i="1"/>
  <c r="BA274" i="1" s="1"/>
  <c r="AV495" i="1"/>
  <c r="BA495" i="1" s="1"/>
  <c r="AV670" i="1"/>
  <c r="BA670" i="1" s="1"/>
  <c r="AV17" i="1"/>
  <c r="BA17" i="1" s="1"/>
  <c r="AV165" i="1"/>
  <c r="BA165" i="1" s="1"/>
  <c r="AV364" i="1"/>
  <c r="BA364" i="1" s="1"/>
  <c r="AV186" i="1"/>
  <c r="BA186" i="1" s="1"/>
  <c r="AV626" i="1"/>
  <c r="BA626" i="1" s="1"/>
  <c r="AV90" i="1"/>
  <c r="BA90" i="1" s="1"/>
  <c r="AV410" i="1"/>
  <c r="BA410" i="1" s="1"/>
  <c r="AV339" i="1"/>
  <c r="BA339" i="1" s="1"/>
  <c r="AV378" i="1"/>
  <c r="BA378" i="1" s="1"/>
  <c r="AV456" i="1"/>
  <c r="BA456" i="1" s="1"/>
  <c r="AV234" i="1"/>
  <c r="BA234" i="1" s="1"/>
  <c r="AV731" i="1"/>
  <c r="BA731" i="1" s="1"/>
  <c r="AV406" i="1"/>
  <c r="BA406" i="1" s="1"/>
  <c r="AV389" i="1"/>
  <c r="BA389" i="1" s="1"/>
  <c r="AV127" i="1"/>
  <c r="BA127" i="1" s="1"/>
  <c r="AV928" i="1"/>
  <c r="BA928" i="1" s="1"/>
  <c r="AV293" i="1"/>
  <c r="BA293" i="1" s="1"/>
  <c r="AV403" i="1"/>
  <c r="BA403" i="1" s="1"/>
  <c r="AV191" i="1"/>
  <c r="BA191" i="1" s="1"/>
  <c r="AV6" i="1"/>
  <c r="BA6" i="1" s="1"/>
  <c r="AK436" i="1"/>
  <c r="AV436" i="1"/>
  <c r="BA436" i="1" s="1"/>
  <c r="AK368" i="1"/>
  <c r="AV368" i="1"/>
  <c r="BA368" i="1" s="1"/>
  <c r="AK900" i="1"/>
  <c r="AV900" i="1"/>
  <c r="BA900" i="1" s="1"/>
  <c r="AK497" i="1"/>
  <c r="AV497" i="1"/>
  <c r="BA497" i="1" s="1"/>
  <c r="AK103" i="1"/>
  <c r="AV103" i="1"/>
  <c r="BA103" i="1" s="1"/>
  <c r="AK507" i="1"/>
  <c r="AV507" i="1"/>
  <c r="BA507" i="1" s="1"/>
  <c r="AK258" i="1"/>
  <c r="AV258" i="1"/>
  <c r="BA258" i="1" s="1"/>
  <c r="AK762" i="1"/>
  <c r="AV762" i="1"/>
  <c r="BA762" i="1" s="1"/>
  <c r="AK188" i="1"/>
  <c r="AV188" i="1"/>
  <c r="BA188" i="1" s="1"/>
  <c r="AK291" i="1"/>
  <c r="AV291" i="1"/>
  <c r="BA291" i="1" s="1"/>
  <c r="AK439" i="1"/>
  <c r="AV439" i="1"/>
  <c r="BA439" i="1" s="1"/>
  <c r="AK183" i="1"/>
  <c r="AV183" i="1"/>
  <c r="BA183" i="1" s="1"/>
  <c r="AK636" i="1"/>
  <c r="AV636" i="1"/>
  <c r="BA636" i="1" s="1"/>
  <c r="AK872" i="1"/>
  <c r="AV872" i="1"/>
  <c r="BA872" i="1" s="1"/>
  <c r="AK877" i="1"/>
  <c r="AV877" i="1"/>
  <c r="BA877" i="1" s="1"/>
  <c r="AK424" i="1"/>
  <c r="AV424" i="1"/>
  <c r="BA424" i="1" s="1"/>
  <c r="AK743" i="1"/>
  <c r="AV743" i="1"/>
  <c r="BA743" i="1" s="1"/>
  <c r="AK887" i="1"/>
  <c r="AV887" i="1"/>
  <c r="BA887" i="1" s="1"/>
  <c r="AK16" i="1"/>
  <c r="AV16" i="1"/>
  <c r="BA16" i="1" s="1"/>
  <c r="AK773" i="1"/>
  <c r="AV773" i="1"/>
  <c r="BA773" i="1" s="1"/>
  <c r="AK230" i="1"/>
  <c r="AV230" i="1"/>
  <c r="BA230" i="1" s="1"/>
  <c r="AK282" i="1"/>
  <c r="AV282" i="1"/>
  <c r="BA282" i="1" s="1"/>
  <c r="AK492" i="1"/>
  <c r="AV492" i="1"/>
  <c r="BA492" i="1" s="1"/>
  <c r="AK116" i="1"/>
  <c r="AV116" i="1"/>
  <c r="BA116" i="1" s="1"/>
  <c r="AK210" i="1"/>
  <c r="AV210" i="1"/>
  <c r="BA210" i="1" s="1"/>
  <c r="AK992" i="1"/>
  <c r="AV992" i="1"/>
  <c r="BA992" i="1" s="1"/>
  <c r="AK883" i="1"/>
  <c r="AV883" i="1"/>
  <c r="BA883" i="1" s="1"/>
  <c r="AK905" i="1"/>
  <c r="AV905" i="1"/>
  <c r="BA905" i="1" s="1"/>
  <c r="AK785" i="1"/>
  <c r="AV785" i="1"/>
  <c r="BA785" i="1" s="1"/>
  <c r="AK847" i="1"/>
  <c r="AV847" i="1"/>
  <c r="BA847" i="1" s="1"/>
  <c r="AK981" i="1"/>
  <c r="AV981" i="1"/>
  <c r="BA981" i="1" s="1"/>
  <c r="AK129" i="1"/>
  <c r="AV129" i="1"/>
  <c r="BA129" i="1" s="1"/>
  <c r="AK947" i="1"/>
  <c r="AV947" i="1"/>
  <c r="BA947" i="1" s="1"/>
  <c r="AK448" i="1"/>
  <c r="AV448" i="1"/>
  <c r="BA448" i="1" s="1"/>
  <c r="AK88" i="1"/>
  <c r="AV88" i="1"/>
  <c r="BA88" i="1" s="1"/>
  <c r="AK991" i="1"/>
  <c r="AV991" i="1"/>
  <c r="BA991" i="1" s="1"/>
  <c r="AK734" i="1"/>
  <c r="AV734" i="1"/>
  <c r="BA734" i="1" s="1"/>
  <c r="AK10" i="1"/>
  <c r="AV10" i="1"/>
  <c r="BA10" i="1" s="1"/>
  <c r="AK433" i="1"/>
  <c r="AV433" i="1"/>
  <c r="BA433" i="1" s="1"/>
  <c r="AK362" i="1"/>
  <c r="AV362" i="1"/>
  <c r="BA362" i="1" s="1"/>
  <c r="AK249" i="1"/>
  <c r="AV249" i="1"/>
  <c r="BA249" i="1" s="1"/>
  <c r="AK790" i="1"/>
  <c r="AV790" i="1"/>
  <c r="BA790" i="1" s="1"/>
  <c r="AK825" i="1"/>
  <c r="AV825" i="1"/>
  <c r="BA825" i="1" s="1"/>
  <c r="AK221" i="1"/>
  <c r="AV221" i="1"/>
  <c r="BA221" i="1" s="1"/>
  <c r="AK100" i="1"/>
  <c r="AV100" i="1"/>
  <c r="BA100" i="1" s="1"/>
  <c r="AK286" i="1"/>
  <c r="AV286" i="1"/>
  <c r="BA286" i="1" s="1"/>
  <c r="AK201" i="1"/>
  <c r="AV201" i="1"/>
  <c r="BA201" i="1" s="1"/>
  <c r="AK178" i="1"/>
  <c r="AV178" i="1"/>
  <c r="BA178" i="1" s="1"/>
  <c r="AV421" i="1"/>
  <c r="BA421" i="1" s="1"/>
  <c r="AV246" i="1"/>
  <c r="BA246" i="1" s="1"/>
  <c r="AV83" i="1"/>
  <c r="BA83" i="1" s="1"/>
  <c r="AV650" i="1"/>
  <c r="BA650" i="1" s="1"/>
  <c r="AV851" i="1"/>
  <c r="BA851" i="1" s="1"/>
  <c r="AV478" i="1"/>
  <c r="BA478" i="1" s="1"/>
  <c r="AV247" i="1"/>
  <c r="BA247" i="1" s="1"/>
  <c r="AV594" i="1"/>
  <c r="BA594" i="1" s="1"/>
  <c r="AV791" i="1"/>
  <c r="BA791" i="1" s="1"/>
  <c r="AV447" i="1"/>
  <c r="BA447" i="1" s="1"/>
  <c r="AV177" i="1"/>
  <c r="BA177" i="1" s="1"/>
  <c r="AV880" i="1"/>
  <c r="BA880" i="1" s="1"/>
  <c r="AV973" i="1"/>
  <c r="BA973" i="1" s="1"/>
  <c r="AV290" i="1"/>
  <c r="BA290" i="1" s="1"/>
  <c r="AV24" i="1"/>
  <c r="BA24" i="1" s="1"/>
  <c r="AV648" i="1"/>
  <c r="BA648" i="1" s="1"/>
  <c r="AV110" i="1"/>
  <c r="BA110" i="1" s="1"/>
  <c r="AV526" i="1"/>
  <c r="BA526" i="1" s="1"/>
  <c r="AV461" i="1"/>
  <c r="BA461" i="1" s="1"/>
  <c r="AV423" i="1"/>
  <c r="BA423" i="1" s="1"/>
  <c r="AV823" i="1"/>
  <c r="BA823" i="1" s="1"/>
  <c r="AV903" i="1"/>
  <c r="BA903" i="1" s="1"/>
  <c r="AV504" i="1"/>
  <c r="BA504" i="1" s="1"/>
  <c r="AV979" i="1"/>
  <c r="BA979" i="1" s="1"/>
  <c r="AV672" i="1"/>
  <c r="BA672" i="1" s="1"/>
  <c r="AV639" i="1"/>
  <c r="BA639" i="1" s="1"/>
  <c r="AV811" i="1"/>
  <c r="BA811" i="1" s="1"/>
  <c r="AV175" i="1"/>
  <c r="BA175" i="1" s="1"/>
  <c r="AV750" i="1"/>
  <c r="BA750" i="1" s="1"/>
  <c r="AV308" i="1"/>
  <c r="BA308" i="1" s="1"/>
  <c r="AV189" i="1"/>
  <c r="BA189" i="1" s="1"/>
  <c r="AV419" i="1"/>
  <c r="BA419" i="1" s="1"/>
  <c r="AV344" i="1"/>
  <c r="BA344" i="1" s="1"/>
  <c r="AV132" i="1"/>
  <c r="BA132" i="1" s="1"/>
  <c r="AV302" i="1"/>
  <c r="BA302" i="1" s="1"/>
  <c r="AV641" i="1"/>
  <c r="BA641" i="1" s="1"/>
  <c r="AV211" i="1"/>
  <c r="BA211" i="1" s="1"/>
  <c r="AV386" i="1"/>
  <c r="BA386" i="1" s="1"/>
  <c r="AV658" i="1"/>
  <c r="BA658" i="1" s="1"/>
  <c r="AV271" i="1"/>
  <c r="BA271" i="1" s="1"/>
  <c r="AV583" i="1"/>
  <c r="BA583" i="1" s="1"/>
  <c r="AV839" i="1"/>
  <c r="BA839" i="1" s="1"/>
  <c r="AV999" i="1"/>
  <c r="BA999" i="1" s="1"/>
  <c r="AV223" i="1"/>
  <c r="BA223" i="1" s="1"/>
  <c r="AV733" i="1"/>
  <c r="BA733" i="1" s="1"/>
  <c r="AV357" i="1"/>
  <c r="BA357" i="1" s="1"/>
  <c r="AV681" i="1"/>
  <c r="BA681" i="1" s="1"/>
  <c r="AV696" i="1"/>
  <c r="BA696" i="1" s="1"/>
  <c r="AV995" i="1"/>
  <c r="BA995" i="1" s="1"/>
  <c r="AV926" i="1"/>
  <c r="BA926" i="1" s="1"/>
  <c r="AV739" i="1"/>
  <c r="BA739" i="1" s="1"/>
  <c r="AV808" i="1"/>
  <c r="BA808" i="1" s="1"/>
  <c r="AV70" i="1"/>
  <c r="BA70" i="1" s="1"/>
  <c r="AV55" i="1"/>
  <c r="BA55" i="1" s="1"/>
  <c r="AV543" i="1"/>
  <c r="BA543" i="1" s="1"/>
  <c r="AV754" i="1"/>
  <c r="BA754" i="1" s="1"/>
  <c r="AV67" i="1"/>
  <c r="BA67" i="1" s="1"/>
  <c r="AV117" i="1"/>
  <c r="BA117" i="1" s="1"/>
  <c r="AV259" i="1"/>
  <c r="BA259" i="1" s="1"/>
  <c r="AV493" i="1"/>
  <c r="BA493" i="1" s="1"/>
  <c r="AV532" i="1"/>
  <c r="BA532" i="1" s="1"/>
  <c r="AV496" i="1"/>
  <c r="BA496" i="1" s="1"/>
  <c r="AV380" i="1"/>
  <c r="BA380" i="1" s="1"/>
  <c r="AV939" i="1"/>
  <c r="BA939" i="1" s="1"/>
  <c r="AV924" i="1"/>
  <c r="BA924" i="1" s="1"/>
  <c r="AV838" i="1"/>
  <c r="BA838" i="1" s="1"/>
  <c r="AV306" i="1"/>
  <c r="BA306" i="1" s="1"/>
  <c r="AV426" i="1"/>
  <c r="BA426" i="1" s="1"/>
  <c r="AV101" i="1"/>
  <c r="BA101" i="1" s="1"/>
  <c r="AV42" i="1"/>
  <c r="BA42" i="1" s="1"/>
  <c r="AV822" i="1"/>
  <c r="BA822" i="1" s="1"/>
  <c r="AV984" i="1"/>
  <c r="BA984" i="1" s="1"/>
  <c r="AV882" i="1"/>
  <c r="BA882" i="1" s="1"/>
  <c r="AV715" i="1"/>
  <c r="BA715" i="1" s="1"/>
  <c r="AV589" i="1"/>
  <c r="BA589" i="1" s="1"/>
  <c r="AV827" i="1"/>
  <c r="BA827" i="1" s="1"/>
  <c r="AV60" i="1"/>
  <c r="BA60" i="1" s="1"/>
  <c r="AK735" i="1"/>
  <c r="AV735" i="1"/>
  <c r="BA735" i="1" s="1"/>
  <c r="AK404" i="1"/>
  <c r="AV404" i="1"/>
  <c r="BA404" i="1" s="1"/>
  <c r="AK692" i="1"/>
  <c r="AV692" i="1"/>
  <c r="BA692" i="1" s="1"/>
  <c r="AK142" i="1"/>
  <c r="AV142" i="1"/>
  <c r="BA142" i="1" s="1"/>
  <c r="AK354" i="1"/>
  <c r="AV354" i="1"/>
  <c r="BA354" i="1" s="1"/>
  <c r="AK776" i="1"/>
  <c r="AV776" i="1"/>
  <c r="BA776" i="1" s="1"/>
  <c r="AK933" i="1"/>
  <c r="AV933" i="1"/>
  <c r="BA933" i="1" s="1"/>
  <c r="AK970" i="1"/>
  <c r="AV970" i="1"/>
  <c r="BA970" i="1" s="1"/>
  <c r="AK922" i="1"/>
  <c r="AV922" i="1"/>
  <c r="BA922" i="1" s="1"/>
  <c r="AK814" i="1"/>
  <c r="AV814" i="1"/>
  <c r="BA814" i="1" s="1"/>
  <c r="AK646" i="1"/>
  <c r="AV646" i="1"/>
  <c r="BA646" i="1" s="1"/>
  <c r="AK35" i="1"/>
  <c r="AV35" i="1"/>
  <c r="BA35" i="1" s="1"/>
  <c r="AK435" i="1"/>
  <c r="AV435" i="1"/>
  <c r="BA435" i="1" s="1"/>
  <c r="AK685" i="1"/>
  <c r="AV685" i="1"/>
  <c r="BA685" i="1" s="1"/>
  <c r="AK869" i="1"/>
  <c r="AV869" i="1"/>
  <c r="BA869" i="1" s="1"/>
  <c r="AK830" i="1"/>
  <c r="AV830" i="1"/>
  <c r="BA830" i="1" s="1"/>
  <c r="AK910" i="1"/>
  <c r="AV910" i="1"/>
  <c r="BA910" i="1" s="1"/>
  <c r="AK876" i="1"/>
  <c r="AV876" i="1"/>
  <c r="BA876" i="1" s="1"/>
  <c r="AK764" i="1"/>
  <c r="AV764" i="1"/>
  <c r="BA764" i="1" s="1"/>
  <c r="AK332" i="1"/>
  <c r="AV332" i="1"/>
  <c r="BA332" i="1" s="1"/>
  <c r="AK579" i="1"/>
  <c r="AV579" i="1"/>
  <c r="BA579" i="1" s="1"/>
  <c r="AK345" i="1"/>
  <c r="AV345" i="1"/>
  <c r="BA345" i="1" s="1"/>
  <c r="AK686" i="1"/>
  <c r="AV686" i="1"/>
  <c r="BA686" i="1" s="1"/>
  <c r="AK757" i="1"/>
  <c r="AV757" i="1"/>
  <c r="BA757" i="1" s="1"/>
  <c r="AK169" i="1"/>
  <c r="AV169" i="1"/>
  <c r="BA169" i="1" s="1"/>
  <c r="AK907" i="1"/>
  <c r="AV907" i="1"/>
  <c r="BA907" i="1" s="1"/>
  <c r="AK137" i="1"/>
  <c r="AV137" i="1"/>
  <c r="BA137" i="1" s="1"/>
  <c r="AK548" i="1"/>
  <c r="AV548" i="1"/>
  <c r="BA548" i="1" s="1"/>
  <c r="AK989" i="1"/>
  <c r="AV989" i="1"/>
  <c r="BA989" i="1" s="1"/>
  <c r="AK588" i="1"/>
  <c r="AV588" i="1"/>
  <c r="BA588" i="1" s="1"/>
  <c r="AK276" i="1"/>
  <c r="AV276" i="1"/>
  <c r="BA276" i="1" s="1"/>
  <c r="AK545" i="1"/>
  <c r="AV545" i="1"/>
  <c r="BA545" i="1" s="1"/>
  <c r="AK489" i="1"/>
  <c r="AV489" i="1"/>
  <c r="BA489" i="1" s="1"/>
  <c r="AK592" i="1"/>
  <c r="AV592" i="1"/>
  <c r="BA592" i="1" s="1"/>
  <c r="AK771" i="1"/>
  <c r="AV771" i="1"/>
  <c r="BA771" i="1" s="1"/>
  <c r="AK559" i="1"/>
  <c r="AV559" i="1"/>
  <c r="BA559" i="1" s="1"/>
  <c r="AK925" i="1"/>
  <c r="AV925" i="1"/>
  <c r="BA925" i="1" s="1"/>
  <c r="AK469" i="1"/>
  <c r="AV469" i="1"/>
  <c r="BA469" i="1" s="1"/>
  <c r="AK233" i="1"/>
  <c r="AV233" i="1"/>
  <c r="BA233" i="1" s="1"/>
  <c r="AK430" i="1"/>
  <c r="AV430" i="1"/>
  <c r="BA430" i="1" s="1"/>
  <c r="AK323" i="1"/>
  <c r="AV323" i="1"/>
  <c r="BA323" i="1" s="1"/>
  <c r="AK214" i="1"/>
  <c r="AV214" i="1"/>
  <c r="BA214" i="1" s="1"/>
  <c r="AK120" i="1"/>
  <c r="AV120" i="1"/>
  <c r="BA120" i="1" s="1"/>
  <c r="AK921" i="1"/>
  <c r="AV921" i="1"/>
  <c r="BA921" i="1" s="1"/>
  <c r="AK915" i="1"/>
  <c r="AV915" i="1"/>
  <c r="BA915" i="1" s="1"/>
  <c r="AK251" i="1"/>
  <c r="AV251" i="1"/>
  <c r="BA251" i="1" s="1"/>
  <c r="AK508" i="1"/>
  <c r="AV508" i="1"/>
  <c r="BA508" i="1" s="1"/>
  <c r="AK730" i="1"/>
  <c r="AV730" i="1"/>
  <c r="BA730" i="1" s="1"/>
  <c r="AK11" i="1"/>
  <c r="AV11" i="1"/>
  <c r="BA11" i="1" s="1"/>
  <c r="AK48" i="1"/>
  <c r="AV48" i="1"/>
  <c r="BA48" i="1" s="1"/>
  <c r="AK75" i="1"/>
  <c r="AV75" i="1"/>
  <c r="BA75" i="1" s="1"/>
  <c r="AK664" i="1"/>
  <c r="AV664" i="1"/>
  <c r="BA664" i="1" s="1"/>
  <c r="AK112" i="1"/>
  <c r="AV112" i="1"/>
  <c r="BA112" i="1" s="1"/>
  <c r="AK787" i="1"/>
  <c r="AV787" i="1"/>
  <c r="BA787" i="1" s="1"/>
  <c r="AK908" i="1"/>
  <c r="AV908" i="1"/>
  <c r="BA908" i="1" s="1"/>
  <c r="AK668" i="1"/>
  <c r="AV668" i="1"/>
  <c r="BA668" i="1" s="1"/>
  <c r="AK844" i="1"/>
  <c r="AV844" i="1"/>
  <c r="BA844" i="1" s="1"/>
  <c r="AK417" i="1"/>
  <c r="AV417" i="1"/>
  <c r="BA417" i="1" s="1"/>
  <c r="AK2" i="1"/>
  <c r="AV2" i="1"/>
  <c r="BA2" i="1" s="1"/>
  <c r="AK13" i="1"/>
  <c r="AV13" i="1"/>
  <c r="BA13" i="1" s="1"/>
  <c r="AK317" i="1"/>
  <c r="AV317" i="1"/>
  <c r="BA317" i="1" s="1"/>
  <c r="AK662" i="1"/>
  <c r="AV662" i="1"/>
  <c r="BA662" i="1" s="1"/>
  <c r="AK338" i="1"/>
  <c r="AV338" i="1"/>
  <c r="BA338" i="1" s="1"/>
  <c r="AK498" i="1"/>
  <c r="AV498" i="1"/>
  <c r="BA498" i="1" s="1"/>
  <c r="AK65" i="1"/>
  <c r="AV65" i="1"/>
  <c r="BA65" i="1" s="1"/>
  <c r="AK835" i="1"/>
  <c r="AV835" i="1"/>
  <c r="BA835" i="1" s="1"/>
  <c r="AK703" i="1"/>
  <c r="AV703" i="1"/>
  <c r="BA703" i="1" s="1"/>
  <c r="AK673" i="1"/>
  <c r="AV673" i="1"/>
  <c r="BA673" i="1" s="1"/>
  <c r="AK994" i="1"/>
  <c r="AV994" i="1"/>
  <c r="BA994" i="1" s="1"/>
  <c r="AK712" i="1"/>
  <c r="AV712" i="1"/>
  <c r="BA712" i="1" s="1"/>
  <c r="AK372" i="1"/>
  <c r="AV372" i="1"/>
  <c r="BA372" i="1" s="1"/>
  <c r="AK179" i="1"/>
  <c r="AV179" i="1"/>
  <c r="BA179" i="1" s="1"/>
  <c r="AK219" i="1"/>
  <c r="AV219" i="1"/>
  <c r="BA219" i="1" s="1"/>
  <c r="AK574" i="1"/>
  <c r="AV574" i="1"/>
  <c r="BA574" i="1" s="1"/>
  <c r="AK467" i="1"/>
  <c r="AV467" i="1"/>
  <c r="BA467" i="1" s="1"/>
  <c r="AK300" i="1"/>
  <c r="AV300" i="1"/>
  <c r="BA300" i="1" s="1"/>
  <c r="AK633" i="1"/>
  <c r="AV633" i="1"/>
  <c r="BA633" i="1" s="1"/>
  <c r="AK675" i="1"/>
  <c r="AV675" i="1"/>
  <c r="BA675" i="1" s="1"/>
  <c r="AK145" i="1"/>
  <c r="AV145" i="1"/>
  <c r="BA145" i="1" s="1"/>
  <c r="AK180" i="1"/>
  <c r="AV180" i="1"/>
  <c r="BA180" i="1" s="1"/>
  <c r="AK637" i="1"/>
  <c r="AV637" i="1"/>
  <c r="BA637" i="1" s="1"/>
  <c r="AK44" i="1"/>
  <c r="AV44" i="1"/>
  <c r="BA44" i="1" s="1"/>
  <c r="AK1006" i="1"/>
  <c r="AV1006" i="1"/>
  <c r="BA1006" i="1" s="1"/>
  <c r="AK98" i="1"/>
  <c r="AV98" i="1"/>
  <c r="BA98" i="1" s="1"/>
  <c r="AK792" i="1"/>
  <c r="AV792" i="1"/>
  <c r="BA792" i="1" s="1"/>
  <c r="AK352" i="1"/>
  <c r="AV352" i="1"/>
  <c r="BA352" i="1" s="1"/>
  <c r="AK57" i="1"/>
  <c r="AV57" i="1"/>
  <c r="BA57" i="1" s="1"/>
  <c r="AK561" i="1"/>
  <c r="AV561" i="1"/>
  <c r="BA561" i="1" s="1"/>
  <c r="AK260" i="1"/>
  <c r="AV260" i="1"/>
  <c r="BA260" i="1" s="1"/>
  <c r="AK611" i="1"/>
  <c r="AV611" i="1"/>
  <c r="BA611" i="1" s="1"/>
  <c r="AK358" i="1"/>
  <c r="AV358" i="1"/>
  <c r="BA358" i="1" s="1"/>
  <c r="AK642" i="1"/>
  <c r="AV642" i="1"/>
  <c r="BA642" i="1" s="1"/>
  <c r="AK980" i="1"/>
  <c r="AV980" i="1"/>
  <c r="BA980" i="1" s="1"/>
  <c r="AK533" i="1"/>
  <c r="AV533" i="1"/>
  <c r="BA533" i="1" s="1"/>
  <c r="AK476" i="1"/>
  <c r="AV476" i="1"/>
  <c r="BA476" i="1" s="1"/>
  <c r="AK516" i="1"/>
  <c r="AV516" i="1"/>
  <c r="BA516" i="1" s="1"/>
  <c r="AK172" i="1"/>
  <c r="AV172" i="1"/>
  <c r="BA172" i="1" s="1"/>
  <c r="AK449" i="1"/>
  <c r="AV449" i="1"/>
  <c r="BA449" i="1" s="1"/>
  <c r="AK660" i="1"/>
  <c r="AV660" i="1"/>
  <c r="BA660" i="1" s="1"/>
  <c r="AK975" i="1"/>
  <c r="AV975" i="1"/>
  <c r="BA975" i="1" s="1"/>
  <c r="AK363" i="1"/>
  <c r="AV363" i="1"/>
  <c r="BA363" i="1" s="1"/>
  <c r="AK52" i="1"/>
  <c r="AV52" i="1"/>
  <c r="BA52" i="1" s="1"/>
  <c r="AK896" i="1"/>
  <c r="AV896" i="1"/>
  <c r="BA896" i="1" s="1"/>
  <c r="AK273" i="1"/>
  <c r="AV273" i="1"/>
  <c r="BA273" i="1" s="1"/>
  <c r="AK502" i="1"/>
  <c r="AV502" i="1"/>
  <c r="BA502" i="1" s="1"/>
  <c r="AK395" i="1"/>
  <c r="AV395" i="1"/>
  <c r="BA395" i="1" s="1"/>
  <c r="AV687" i="1"/>
  <c r="BA687" i="1" s="1"/>
  <c r="AV619" i="1"/>
  <c r="BA619" i="1" s="1"/>
  <c r="AK619" i="1"/>
  <c r="AV859" i="1"/>
  <c r="BA859" i="1" s="1"/>
  <c r="AK859" i="1"/>
  <c r="AV801" i="1"/>
  <c r="BA801" i="1" s="1"/>
  <c r="AK801" i="1"/>
  <c r="AV701" i="1"/>
  <c r="BA701" i="1" s="1"/>
  <c r="AK701" i="1"/>
  <c r="AV3" i="1"/>
  <c r="BA3" i="1" s="1"/>
  <c r="AK3" i="1"/>
  <c r="AV862" i="1"/>
  <c r="BA862" i="1" s="1"/>
  <c r="AK862" i="1"/>
  <c r="AV691" i="1"/>
  <c r="BA691" i="1" s="1"/>
  <c r="AK691" i="1"/>
  <c r="AV680" i="1"/>
  <c r="BA680" i="1" s="1"/>
  <c r="AK680" i="1"/>
  <c r="AV679" i="1"/>
  <c r="BA679" i="1" s="1"/>
  <c r="AK679" i="1"/>
  <c r="AV813" i="1"/>
  <c r="BA813" i="1" s="1"/>
  <c r="AK813" i="1"/>
  <c r="AV751" i="1"/>
  <c r="BA751" i="1" s="1"/>
  <c r="AK751" i="1"/>
  <c r="AV717" i="1"/>
  <c r="BA717" i="1" s="1"/>
  <c r="AK717" i="1"/>
  <c r="AV788" i="1"/>
  <c r="BA788" i="1" s="1"/>
  <c r="AK788" i="1"/>
  <c r="AV79" i="1"/>
  <c r="BA79" i="1" s="1"/>
  <c r="AK79" i="1"/>
  <c r="AV752" i="1"/>
  <c r="BA752" i="1" s="1"/>
  <c r="AK752" i="1"/>
  <c r="AV607" i="1"/>
  <c r="BA607" i="1" s="1"/>
  <c r="AK607" i="1"/>
  <c r="AV706" i="1"/>
  <c r="BA706" i="1" s="1"/>
  <c r="AK706" i="1"/>
  <c r="AV151" i="1"/>
  <c r="BA151" i="1" s="1"/>
  <c r="AK151" i="1"/>
  <c r="AV19" i="1"/>
  <c r="BA19" i="1" s="1"/>
  <c r="AK19" i="1"/>
  <c r="AV96" i="1"/>
  <c r="BA96" i="1" s="1"/>
  <c r="AK96" i="1"/>
  <c r="AV716" i="1"/>
  <c r="BA716" i="1" s="1"/>
  <c r="AK716" i="1"/>
  <c r="AV866" i="1"/>
  <c r="BA866" i="1" s="1"/>
  <c r="AV34" i="1"/>
  <c r="BA34" i="1" s="1"/>
  <c r="AV547" i="1"/>
  <c r="BA547" i="1" s="1"/>
  <c r="AK547" i="1"/>
  <c r="AV415" i="1"/>
  <c r="BA415" i="1" s="1"/>
  <c r="AK415" i="1"/>
  <c r="AV969" i="1"/>
  <c r="BA969" i="1" s="1"/>
  <c r="AK969" i="1"/>
  <c r="AV727" i="1"/>
  <c r="BA727" i="1" s="1"/>
  <c r="AK727" i="1"/>
  <c r="AV944" i="1"/>
  <c r="BA944" i="1" s="1"/>
  <c r="AK944" i="1"/>
  <c r="AV43" i="1"/>
  <c r="BA43" i="1" s="1"/>
  <c r="AV66" i="1"/>
  <c r="BA66" i="1" s="1"/>
  <c r="AV5" i="1"/>
  <c r="BA5" i="1" s="1"/>
  <c r="AV768" i="1"/>
  <c r="BA768" i="1" s="1"/>
  <c r="AV779" i="1"/>
  <c r="BA779" i="1" s="1"/>
  <c r="AV912" i="1"/>
  <c r="BA912" i="1" s="1"/>
  <c r="AV7" i="1"/>
  <c r="BA7" i="1" s="1"/>
  <c r="AV728" i="1"/>
  <c r="BA728" i="1" s="1"/>
  <c r="AV682" i="1"/>
  <c r="BA682" i="1" s="1"/>
  <c r="AV849" i="1"/>
  <c r="BA849" i="1" s="1"/>
  <c r="AV930" i="1"/>
  <c r="BA930" i="1" s="1"/>
  <c r="AV719" i="1"/>
  <c r="BA719" i="1" s="1"/>
  <c r="AV4" i="1"/>
  <c r="BA4" i="1" s="1"/>
</calcChain>
</file>

<file path=xl/sharedStrings.xml><?xml version="1.0" encoding="utf-8"?>
<sst xmlns="http://schemas.openxmlformats.org/spreadsheetml/2006/main" count="15094" uniqueCount="2995">
  <si>
    <t>STSS-001</t>
  </si>
  <si>
    <t>STSS-002</t>
  </si>
  <si>
    <t>STSS-006</t>
  </si>
  <si>
    <t>STSS-070</t>
  </si>
  <si>
    <t>STSS-1000</t>
  </si>
  <si>
    <t>STSS-1001</t>
  </si>
  <si>
    <t>STSS-1002</t>
  </si>
  <si>
    <t>STSS-1003</t>
  </si>
  <si>
    <t>STSS-1004</t>
  </si>
  <si>
    <t>STSS-1005</t>
  </si>
  <si>
    <t>STSS-1006</t>
  </si>
  <si>
    <t>STSS-1007</t>
  </si>
  <si>
    <t>STSS-1008</t>
  </si>
  <si>
    <t>STSS-1009</t>
  </si>
  <si>
    <t>STSS-1010</t>
  </si>
  <si>
    <t>STSS-1011</t>
  </si>
  <si>
    <t>STSS-1012</t>
  </si>
  <si>
    <t>STSS-1013</t>
  </si>
  <si>
    <t>STSS-1014</t>
  </si>
  <si>
    <t>STSS-1015</t>
  </si>
  <si>
    <t>STSS-1016</t>
  </si>
  <si>
    <t>STSS-1017</t>
  </si>
  <si>
    <t>STSS-1018</t>
  </si>
  <si>
    <t>STSS-1019</t>
  </si>
  <si>
    <t>STSS-102</t>
  </si>
  <si>
    <t>STSS-1020</t>
  </si>
  <si>
    <t>STSS-1021</t>
  </si>
  <si>
    <t>STSS-1022</t>
  </si>
  <si>
    <t>STSS-1023</t>
  </si>
  <si>
    <t>STSS-1024</t>
  </si>
  <si>
    <t>STSS-1025</t>
  </si>
  <si>
    <t>STSS-1026</t>
  </si>
  <si>
    <t>STSS-1027</t>
  </si>
  <si>
    <t>STSS-1028</t>
  </si>
  <si>
    <t>STSS-1029</t>
  </si>
  <si>
    <t>STSS-1030</t>
  </si>
  <si>
    <t>STSS-1031</t>
  </si>
  <si>
    <t>STSS-1032</t>
  </si>
  <si>
    <t>STSS-1033</t>
  </si>
  <si>
    <t>STSS-1034</t>
  </si>
  <si>
    <t>STSS-1035</t>
  </si>
  <si>
    <t>STSS-1036</t>
  </si>
  <si>
    <t>STSS-1121</t>
  </si>
  <si>
    <t>STSS-1122</t>
  </si>
  <si>
    <t>STSS-1123</t>
  </si>
  <si>
    <t>STSS-1124</t>
  </si>
  <si>
    <t>STSS-1125</t>
  </si>
  <si>
    <t>STSS-1126</t>
  </si>
  <si>
    <t>STSS-1127</t>
  </si>
  <si>
    <t>STSS-1128</t>
  </si>
  <si>
    <t>STSS-1129</t>
  </si>
  <si>
    <t>STSS-1130</t>
  </si>
  <si>
    <t>STSS-1131</t>
  </si>
  <si>
    <t>STSS-1132</t>
  </si>
  <si>
    <t>STSS-1133</t>
  </si>
  <si>
    <t>STSS-1134</t>
  </si>
  <si>
    <t>STSS-1135</t>
  </si>
  <si>
    <t>STSS-1136</t>
  </si>
  <si>
    <t>STSS-1140</t>
  </si>
  <si>
    <t>STSS-1137</t>
  </si>
  <si>
    <t>STSS-1138</t>
  </si>
  <si>
    <t>STSS-1139</t>
  </si>
  <si>
    <t>STSS-1141</t>
  </si>
  <si>
    <t>STSS-1142</t>
  </si>
  <si>
    <t>STSS-1143</t>
  </si>
  <si>
    <t>STSS-1144</t>
  </si>
  <si>
    <t>STSS-1145</t>
  </si>
  <si>
    <t>STSS-1146</t>
  </si>
  <si>
    <t>STSS-1147</t>
  </si>
  <si>
    <t>STSS-1148</t>
  </si>
  <si>
    <t>STSS-1149</t>
  </si>
  <si>
    <t>STSS-1150</t>
  </si>
  <si>
    <t>STSS-1151</t>
  </si>
  <si>
    <t>STSS-1152</t>
  </si>
  <si>
    <t>STSS-1153</t>
  </si>
  <si>
    <t>STSS-1154</t>
  </si>
  <si>
    <t>STSS-1155</t>
  </si>
  <si>
    <t>STSS-1156</t>
  </si>
  <si>
    <t>STSS-1157</t>
  </si>
  <si>
    <t>STSS-1158</t>
  </si>
  <si>
    <t>STSS-1159</t>
  </si>
  <si>
    <t>STSS-1160</t>
  </si>
  <si>
    <t>STSS-1161</t>
  </si>
  <si>
    <t>STSS-1162</t>
  </si>
  <si>
    <t>STSS-1163</t>
  </si>
  <si>
    <t>STSS-1164</t>
  </si>
  <si>
    <t>STSS-636</t>
  </si>
  <si>
    <t>STSS-637</t>
  </si>
  <si>
    <t>STSS-638</t>
  </si>
  <si>
    <t>STSS-639</t>
  </si>
  <si>
    <t>STSS-646</t>
  </si>
  <si>
    <t>STSS-640</t>
  </si>
  <si>
    <t>STSS-641</t>
  </si>
  <si>
    <t>STSS-642</t>
  </si>
  <si>
    <t>STSS-643</t>
  </si>
  <si>
    <t>STSS-644</t>
  </si>
  <si>
    <t>STSS-645</t>
  </si>
  <si>
    <t>STSS-647</t>
  </si>
  <si>
    <t>STSS-648</t>
  </si>
  <si>
    <t>STSS-650</t>
  </si>
  <si>
    <t>STSS-651</t>
  </si>
  <si>
    <t>STSS-652</t>
  </si>
  <si>
    <t>STSS-653</t>
  </si>
  <si>
    <t>STSS-654</t>
  </si>
  <si>
    <t>STSS-655</t>
  </si>
  <si>
    <t>STSS-656</t>
  </si>
  <si>
    <t>STSS-657</t>
  </si>
  <si>
    <t>STSS-658</t>
  </si>
  <si>
    <t>STSS-659</t>
  </si>
  <si>
    <t>STSS-660</t>
  </si>
  <si>
    <t>STSS-663</t>
  </si>
  <si>
    <t>STSS-664</t>
  </si>
  <si>
    <t>STSS-665</t>
  </si>
  <si>
    <t>STSS-666</t>
  </si>
  <si>
    <t>STSS-680</t>
  </si>
  <si>
    <t>STSS-667</t>
  </si>
  <si>
    <t>STSS-668</t>
  </si>
  <si>
    <t>STSS-669</t>
  </si>
  <si>
    <t>STSS-670</t>
  </si>
  <si>
    <t>STSS-1037</t>
  </si>
  <si>
    <t>STSS-1038</t>
  </si>
  <si>
    <t>STSS-1039</t>
  </si>
  <si>
    <t>STSS-1040</t>
  </si>
  <si>
    <t>STSS-1041</t>
  </si>
  <si>
    <t>STSS-1042</t>
  </si>
  <si>
    <t>STSS-1043</t>
  </si>
  <si>
    <t>STSS-1044</t>
  </si>
  <si>
    <t>STSS-1045</t>
  </si>
  <si>
    <t>STSS-1046</t>
  </si>
  <si>
    <t>STSS-1047</t>
  </si>
  <si>
    <t>STSS-1048</t>
  </si>
  <si>
    <t>STSS-1049</t>
  </si>
  <si>
    <t>STSS-1050</t>
  </si>
  <si>
    <t>STSS-1051</t>
  </si>
  <si>
    <t>STSS-1052</t>
  </si>
  <si>
    <t>STSS-1053</t>
  </si>
  <si>
    <t>STSS-1054</t>
  </si>
  <si>
    <t>STSS-1055</t>
  </si>
  <si>
    <t>STSS-1056</t>
  </si>
  <si>
    <t>STSS-1057</t>
  </si>
  <si>
    <t>STSS-1058</t>
  </si>
  <si>
    <t>STSS-1059</t>
  </si>
  <si>
    <t>STSS-1060</t>
  </si>
  <si>
    <t>STSS-1061</t>
  </si>
  <si>
    <t>STSS-1062</t>
  </si>
  <si>
    <t>STSS-1063</t>
  </si>
  <si>
    <t>STSS-1064</t>
  </si>
  <si>
    <t>STSS-1065</t>
  </si>
  <si>
    <t>STSS-1066</t>
  </si>
  <si>
    <t>STSS-1067</t>
  </si>
  <si>
    <t>STSS-1068</t>
  </si>
  <si>
    <t>STSS-1069</t>
  </si>
  <si>
    <t>STSS-1070</t>
  </si>
  <si>
    <t>STSS-1071</t>
  </si>
  <si>
    <t>STSS-1072</t>
  </si>
  <si>
    <t>STSS-1073</t>
  </si>
  <si>
    <t>STSS-1074</t>
  </si>
  <si>
    <t>STSS-1075</t>
  </si>
  <si>
    <t>STSS-1076</t>
  </si>
  <si>
    <t>STSS-1077</t>
  </si>
  <si>
    <t>STSS-1078</t>
  </si>
  <si>
    <t>STSS-1079</t>
  </si>
  <si>
    <t>STSS-1080</t>
  </si>
  <si>
    <t>STSS-565</t>
  </si>
  <si>
    <t>STSS-566</t>
  </si>
  <si>
    <t>STSS-568</t>
  </si>
  <si>
    <t>STSS-569</t>
  </si>
  <si>
    <t>STSS-570</t>
  </si>
  <si>
    <t>STSS-571</t>
  </si>
  <si>
    <t>STSS-572</t>
  </si>
  <si>
    <t>STSS-574</t>
  </si>
  <si>
    <t>STSS-575</t>
  </si>
  <si>
    <t>STSS-576</t>
  </si>
  <si>
    <t>STSS-577</t>
  </si>
  <si>
    <t>STSS-578</t>
  </si>
  <si>
    <t>STSS-579</t>
  </si>
  <si>
    <t>STSS-581</t>
  </si>
  <si>
    <t>STSS-582</t>
  </si>
  <si>
    <t>STSS-583</t>
  </si>
  <si>
    <t>STSS-584</t>
  </si>
  <si>
    <t>STSS-585</t>
  </si>
  <si>
    <t>STSS-586</t>
  </si>
  <si>
    <t>STSS-587</t>
  </si>
  <si>
    <t>STSS-588</t>
  </si>
  <si>
    <t>STSS-589</t>
  </si>
  <si>
    <t>STSS-608</t>
  </si>
  <si>
    <t>STSS-591</t>
  </si>
  <si>
    <t>STSS-592</t>
  </si>
  <si>
    <t>STSS-594</t>
  </si>
  <si>
    <t>STSS-595</t>
  </si>
  <si>
    <t>STSS-596</t>
  </si>
  <si>
    <t>STSS-597</t>
  </si>
  <si>
    <t>STSS-598</t>
  </si>
  <si>
    <t>STSS-1081</t>
  </si>
  <si>
    <t>STSS-1082</t>
  </si>
  <si>
    <t>STSS-1083</t>
  </si>
  <si>
    <t>STSS-1084</t>
  </si>
  <si>
    <t>STSS-1085</t>
  </si>
  <si>
    <t>STSS-1086</t>
  </si>
  <si>
    <t>STSS-1087</t>
  </si>
  <si>
    <t>STSS-1088</t>
  </si>
  <si>
    <t>STSS-1089</t>
  </si>
  <si>
    <t>STSS-1090</t>
  </si>
  <si>
    <t>STSS-1091</t>
  </si>
  <si>
    <t>STSS-1092</t>
  </si>
  <si>
    <t>STSS-1093</t>
  </si>
  <si>
    <t>STSS-1094</t>
  </si>
  <si>
    <t>STSS-1095</t>
  </si>
  <si>
    <t>STSS-1096</t>
  </si>
  <si>
    <t>STSS-1097</t>
  </si>
  <si>
    <t>STSS-1098</t>
  </si>
  <si>
    <t>STSS-1099</t>
  </si>
  <si>
    <t>STSS-1100</t>
  </si>
  <si>
    <t>STSS-1101</t>
  </si>
  <si>
    <t>STSS-1102</t>
  </si>
  <si>
    <t>STSS-1103</t>
  </si>
  <si>
    <t>STSS-1104</t>
  </si>
  <si>
    <t>STSS-1105</t>
  </si>
  <si>
    <t>STSS-1106</t>
  </si>
  <si>
    <t>STSS-1107</t>
  </si>
  <si>
    <t>STSS-1108</t>
  </si>
  <si>
    <t>STSS-1109</t>
  </si>
  <si>
    <t>STSS-1110</t>
  </si>
  <si>
    <t>STSS-1111</t>
  </si>
  <si>
    <t>STSS-1112</t>
  </si>
  <si>
    <t>STSS-1113</t>
  </si>
  <si>
    <t>STSS-1114</t>
  </si>
  <si>
    <t>STSS-1115</t>
  </si>
  <si>
    <t>STSS-1116</t>
  </si>
  <si>
    <t>STSS-1117</t>
  </si>
  <si>
    <t>STSS-1118</t>
  </si>
  <si>
    <t>STSS-1119</t>
  </si>
  <si>
    <t>STSS-1120</t>
  </si>
  <si>
    <t>STSS-599</t>
  </si>
  <si>
    <t>STSS-601</t>
  </si>
  <si>
    <t>STSS-602</t>
  </si>
  <si>
    <t>STSS-603</t>
  </si>
  <si>
    <t>STSS-604</t>
  </si>
  <si>
    <t>STSS-605</t>
  </si>
  <si>
    <t>STSS-606</t>
  </si>
  <si>
    <t>STSS-607</t>
  </si>
  <si>
    <t>STSS-609</t>
  </si>
  <si>
    <t>STSS-610</t>
  </si>
  <si>
    <t>STSS-611</t>
  </si>
  <si>
    <t>STSS-612</t>
  </si>
  <si>
    <t>STSS-613</t>
  </si>
  <si>
    <t>STSS-616</t>
  </si>
  <si>
    <t>STSS-617</t>
  </si>
  <si>
    <t>STSS-618</t>
  </si>
  <si>
    <t>STSS-619</t>
  </si>
  <si>
    <t>STSS-620</t>
  </si>
  <si>
    <t>STSS-621</t>
  </si>
  <si>
    <t>STSS-622</t>
  </si>
  <si>
    <t>STSS-623</t>
  </si>
  <si>
    <t>STSS-624</t>
  </si>
  <si>
    <t>STSS-625</t>
  </si>
  <si>
    <t>STSS-626</t>
  </si>
  <si>
    <t>STSS-627</t>
  </si>
  <si>
    <t>STSS-628</t>
  </si>
  <si>
    <t>STSS-629</t>
  </si>
  <si>
    <t>STSS-631</t>
  </si>
  <si>
    <t>STSS-632</t>
  </si>
  <si>
    <t>STSS-633</t>
  </si>
  <si>
    <t>STSS-634</t>
  </si>
  <si>
    <t>STSS-635</t>
  </si>
  <si>
    <t>STSS-1165</t>
  </si>
  <si>
    <t>STSS-1166</t>
  </si>
  <si>
    <t>STSS-1167</t>
  </si>
  <si>
    <t>STSS-1168</t>
  </si>
  <si>
    <t>STSS-1169</t>
  </si>
  <si>
    <t>STSS-1170</t>
  </si>
  <si>
    <t>STSS-1171</t>
  </si>
  <si>
    <t>STSS-1172</t>
  </si>
  <si>
    <t>STSS-1173</t>
  </si>
  <si>
    <t>STSS-1174</t>
  </si>
  <si>
    <t>STSS-1175</t>
  </si>
  <si>
    <t>STSS-1176</t>
  </si>
  <si>
    <t>STSS-1177</t>
  </si>
  <si>
    <t>STSS-1178</t>
  </si>
  <si>
    <t>STSS-1179</t>
  </si>
  <si>
    <t>STSS-1180</t>
  </si>
  <si>
    <t>STSS-1181</t>
  </si>
  <si>
    <t>STSS-1182</t>
  </si>
  <si>
    <t>STSS-1183</t>
  </si>
  <si>
    <t>STSS-1184</t>
  </si>
  <si>
    <t>STSS-1185</t>
  </si>
  <si>
    <t>STSS-1186</t>
  </si>
  <si>
    <t>STSS-1187</t>
  </si>
  <si>
    <t>STSS-1188</t>
  </si>
  <si>
    <t>STSS-1189</t>
  </si>
  <si>
    <t>STSS-1190</t>
  </si>
  <si>
    <t>STSS-1191</t>
  </si>
  <si>
    <t>STSS-1192</t>
  </si>
  <si>
    <t>STSS-1193</t>
  </si>
  <si>
    <t>STSS-1194</t>
  </si>
  <si>
    <t>STSS-1195</t>
  </si>
  <si>
    <t>STSS-1196</t>
  </si>
  <si>
    <t>STSS-1197</t>
  </si>
  <si>
    <t>STSS-1198</t>
  </si>
  <si>
    <t>STSS-1199</t>
  </si>
  <si>
    <t>STSS-1200</t>
  </si>
  <si>
    <t>STSS-1201</t>
  </si>
  <si>
    <t>STSS-1202</t>
  </si>
  <si>
    <t>STSS-1203</t>
  </si>
  <si>
    <t>STSS-1204</t>
  </si>
  <si>
    <t>STSS-671</t>
  </si>
  <si>
    <t>STSS-672</t>
  </si>
  <si>
    <t>STSS-674</t>
  </si>
  <si>
    <t>STSS-675</t>
  </si>
  <si>
    <t>STSS-676</t>
  </si>
  <si>
    <t>STSS-677</t>
  </si>
  <si>
    <t>STSS-678</t>
  </si>
  <si>
    <t>STSS-679</t>
  </si>
  <si>
    <t>STSS-681</t>
  </si>
  <si>
    <t>STSS-682</t>
  </si>
  <si>
    <t>STSS-683</t>
  </si>
  <si>
    <t>STSS-684</t>
  </si>
  <si>
    <t>STSS-685</t>
  </si>
  <si>
    <t>STSS-686</t>
  </si>
  <si>
    <t>STSS-687</t>
  </si>
  <si>
    <t>STSS-688</t>
  </si>
  <si>
    <t>STSS-689</t>
  </si>
  <si>
    <t>STSS-690</t>
  </si>
  <si>
    <t>STSS-691</t>
  </si>
  <si>
    <t>STSS-692</t>
  </si>
  <si>
    <t>STSS-693</t>
  </si>
  <si>
    <t>STSS-694</t>
  </si>
  <si>
    <t>STSS-695</t>
  </si>
  <si>
    <t>STSS-696</t>
  </si>
  <si>
    <t>STSS-697</t>
  </si>
  <si>
    <t>STSS-698</t>
  </si>
  <si>
    <t>STSS-700</t>
  </si>
  <si>
    <t>STSS-701</t>
  </si>
  <si>
    <t>STSS-703</t>
  </si>
  <si>
    <t>STSS-704</t>
  </si>
  <si>
    <t>STSS-705</t>
  </si>
  <si>
    <t>STSS-706</t>
  </si>
  <si>
    <t>STSS-707</t>
  </si>
  <si>
    <t>STSS-708</t>
  </si>
  <si>
    <t>STSS-709</t>
  </si>
  <si>
    <t>STSS-710</t>
  </si>
  <si>
    <t>STSS-711</t>
  </si>
  <si>
    <t>STSS-713</t>
  </si>
  <si>
    <t>STSS-714</t>
  </si>
  <si>
    <t>STSS-715</t>
  </si>
  <si>
    <t>STSS-716</t>
  </si>
  <si>
    <t>STSS-717</t>
  </si>
  <si>
    <t>STSS-718</t>
  </si>
  <si>
    <t>STSS-719</t>
  </si>
  <si>
    <t>STSS-721</t>
  </si>
  <si>
    <t>STSS-722</t>
  </si>
  <si>
    <t>STSS-723</t>
  </si>
  <si>
    <t>STSS-724</t>
  </si>
  <si>
    <t>STSS-725</t>
  </si>
  <si>
    <t>STSS-727</t>
  </si>
  <si>
    <t>STSS-728</t>
  </si>
  <si>
    <t>STSS-1205</t>
  </si>
  <si>
    <t>STSS-1206</t>
  </si>
  <si>
    <t>STSS-1207</t>
  </si>
  <si>
    <t>STSS-1208</t>
  </si>
  <si>
    <t>STSS-1209</t>
  </si>
  <si>
    <t>STSS-1210</t>
  </si>
  <si>
    <t>STSS-1211</t>
  </si>
  <si>
    <t>STSS-1212</t>
  </si>
  <si>
    <t>STSS-1213</t>
  </si>
  <si>
    <t>STSS-1214</t>
  </si>
  <si>
    <t>STSS-1215</t>
  </si>
  <si>
    <t>STSS-1216</t>
  </si>
  <si>
    <t>STSS-1217</t>
  </si>
  <si>
    <t>STSS-1218</t>
  </si>
  <si>
    <t>STSS-1219</t>
  </si>
  <si>
    <t>STSS-1220</t>
  </si>
  <si>
    <t>STSS-1221</t>
  </si>
  <si>
    <t>STSS-1222</t>
  </si>
  <si>
    <t>STSS-1223</t>
  </si>
  <si>
    <t>STSS-1224</t>
  </si>
  <si>
    <t>STSS-1225</t>
  </si>
  <si>
    <t>STSS-1226</t>
  </si>
  <si>
    <t>STSS-1227</t>
  </si>
  <si>
    <t>STSS-1228</t>
  </si>
  <si>
    <t>STSS-1229</t>
  </si>
  <si>
    <t>STSS-123</t>
  </si>
  <si>
    <t>STSS-1230</t>
  </si>
  <si>
    <t>STSS-1231</t>
  </si>
  <si>
    <t>STSS-1232</t>
  </si>
  <si>
    <t>STSS-1233</t>
  </si>
  <si>
    <t>STSS-1234</t>
  </si>
  <si>
    <t>STSS-1235</t>
  </si>
  <si>
    <t>STSS-1236</t>
  </si>
  <si>
    <t>STSS-1237</t>
  </si>
  <si>
    <t>STSS-1238</t>
  </si>
  <si>
    <t>STSS-1239</t>
  </si>
  <si>
    <t>STSS-124</t>
  </si>
  <si>
    <t>STSS-1240</t>
  </si>
  <si>
    <t>STSS-1241</t>
  </si>
  <si>
    <t>STSS-1242</t>
  </si>
  <si>
    <t>STSS-1243</t>
  </si>
  <si>
    <t>STSS-1244</t>
  </si>
  <si>
    <t>STSS-1245</t>
  </si>
  <si>
    <t>STSS-1246</t>
  </si>
  <si>
    <t>STSS-729</t>
  </si>
  <si>
    <t>STSS-731</t>
  </si>
  <si>
    <t>STSS-732</t>
  </si>
  <si>
    <t>STSS-733</t>
  </si>
  <si>
    <t>STSS-734</t>
  </si>
  <si>
    <t>STSS-735</t>
  </si>
  <si>
    <t>STSS-738</t>
  </si>
  <si>
    <t>STSS-746</t>
  </si>
  <si>
    <t>STSS-747</t>
  </si>
  <si>
    <t>STSS-748</t>
  </si>
  <si>
    <t>STSS-749</t>
  </si>
  <si>
    <t>STSS-750</t>
  </si>
  <si>
    <t>STSS-751</t>
  </si>
  <si>
    <t>STSS-752</t>
  </si>
  <si>
    <t>STSS-753</t>
  </si>
  <si>
    <t>STSS-754</t>
  </si>
  <si>
    <t>STSS-755</t>
  </si>
  <si>
    <t>STSS-756</t>
  </si>
  <si>
    <t>STSS-757</t>
  </si>
  <si>
    <t>STSS-758 (Consultant)</t>
  </si>
  <si>
    <t>STSS-759</t>
  </si>
  <si>
    <t>STSS-760</t>
  </si>
  <si>
    <t>STSS-761</t>
  </si>
  <si>
    <t>STSS-767</t>
  </si>
  <si>
    <t>STSS-762</t>
  </si>
  <si>
    <t>STSS-763</t>
  </si>
  <si>
    <t>STSS-764</t>
  </si>
  <si>
    <t>STSS-765</t>
  </si>
  <si>
    <t>STSS-766</t>
  </si>
  <si>
    <t>STSS-768</t>
  </si>
  <si>
    <t>STSS-769</t>
  </si>
  <si>
    <t>STSS-770</t>
  </si>
  <si>
    <t>STSS-771</t>
  </si>
  <si>
    <t>STSS-772</t>
  </si>
  <si>
    <t>STSS-773</t>
  </si>
  <si>
    <t>STSS-774</t>
  </si>
  <si>
    <t>STSS-775</t>
  </si>
  <si>
    <t>STSS-776</t>
  </si>
  <si>
    <t>STSS-777</t>
  </si>
  <si>
    <t>STSS-1247</t>
  </si>
  <si>
    <t>STSS-1248</t>
  </si>
  <si>
    <t>STSS-1249</t>
  </si>
  <si>
    <t>STSS-1250</t>
  </si>
  <si>
    <t>STSS-1251</t>
  </si>
  <si>
    <t>STSS-1252</t>
  </si>
  <si>
    <t>STSS-1253</t>
  </si>
  <si>
    <t>STSS-1254</t>
  </si>
  <si>
    <t>STSS-1255</t>
  </si>
  <si>
    <t>STSS-1256</t>
  </si>
  <si>
    <t>STSS-1257</t>
  </si>
  <si>
    <t>STSS-1258</t>
  </si>
  <si>
    <t>STSS-1259</t>
  </si>
  <si>
    <t>STSS-1260</t>
  </si>
  <si>
    <t>STSS-1261</t>
  </si>
  <si>
    <t>STSS-1262</t>
  </si>
  <si>
    <t>STSS-1263</t>
  </si>
  <si>
    <t>STSS-1264</t>
  </si>
  <si>
    <t>STSS-1265</t>
  </si>
  <si>
    <t>STSS-1266</t>
  </si>
  <si>
    <t>STSS-1267</t>
  </si>
  <si>
    <t>STSS-1268</t>
  </si>
  <si>
    <t>STSS-1269</t>
  </si>
  <si>
    <t>STSS-1270</t>
  </si>
  <si>
    <t>STSS-1271</t>
  </si>
  <si>
    <t>STSS-1272</t>
  </si>
  <si>
    <t>STSS-1273</t>
  </si>
  <si>
    <t>STSS-1274</t>
  </si>
  <si>
    <t>STSS-1275</t>
  </si>
  <si>
    <t>STSS-1276</t>
  </si>
  <si>
    <t>STSS-1288</t>
  </si>
  <si>
    <t>STSS-1277</t>
  </si>
  <si>
    <t>STSS-1278</t>
  </si>
  <si>
    <t>STSS-1279</t>
  </si>
  <si>
    <t>STSS-1289</t>
  </si>
  <si>
    <t>STSS-778</t>
  </si>
  <si>
    <t>STSS-779</t>
  </si>
  <si>
    <t>STSS-780</t>
  </si>
  <si>
    <t>STSS-781</t>
  </si>
  <si>
    <t>STSS-782</t>
  </si>
  <si>
    <t>STSS-783</t>
  </si>
  <si>
    <t>STSS-784</t>
  </si>
  <si>
    <t>STSS-785</t>
  </si>
  <si>
    <t>STSS-786</t>
  </si>
  <si>
    <t>STSS-787</t>
  </si>
  <si>
    <t>STSS-788</t>
  </si>
  <si>
    <t>STSS-789</t>
  </si>
  <si>
    <t>STSS-790</t>
  </si>
  <si>
    <t>STSS-791</t>
  </si>
  <si>
    <t>STSS-792</t>
  </si>
  <si>
    <t>STSS-793</t>
  </si>
  <si>
    <t>STSS-794</t>
  </si>
  <si>
    <t>STSS-795</t>
  </si>
  <si>
    <t>STSS-796</t>
  </si>
  <si>
    <t>STSS-797</t>
  </si>
  <si>
    <t>STSS-798</t>
  </si>
  <si>
    <t>STSS-799</t>
  </si>
  <si>
    <t>STSS-800</t>
  </si>
  <si>
    <t>STSS-801</t>
  </si>
  <si>
    <t>STSS-802</t>
  </si>
  <si>
    <t>STSS-803</t>
  </si>
  <si>
    <t>STSS-804</t>
  </si>
  <si>
    <t>STSS-805</t>
  </si>
  <si>
    <t>STSS-806</t>
  </si>
  <si>
    <t>STSS-807</t>
  </si>
  <si>
    <t>STSS-808</t>
  </si>
  <si>
    <t>STSS-809</t>
  </si>
  <si>
    <t>STSS-810</t>
  </si>
  <si>
    <t>STSS-811</t>
  </si>
  <si>
    <t>STSS-812</t>
  </si>
  <si>
    <t>STSS-813</t>
  </si>
  <si>
    <t>STSS-814</t>
  </si>
  <si>
    <t>STSS-815</t>
  </si>
  <si>
    <t>STSS-816</t>
  </si>
  <si>
    <t>STSS-817</t>
  </si>
  <si>
    <t>STSS-818</t>
  </si>
  <si>
    <t>STSS-819</t>
  </si>
  <si>
    <t>STSS-820</t>
  </si>
  <si>
    <t>STSS-821</t>
  </si>
  <si>
    <t>STSS-822</t>
  </si>
  <si>
    <t>STSS-1280</t>
  </si>
  <si>
    <t>STSS-1281</t>
  </si>
  <si>
    <t>STSS-1282</t>
  </si>
  <si>
    <t>STSS-1290</t>
  </si>
  <si>
    <t>STSS-1283</t>
  </si>
  <si>
    <t>STSS-1284</t>
  </si>
  <si>
    <t>STSS-1285</t>
  </si>
  <si>
    <t>STSS-1286</t>
  </si>
  <si>
    <t>STSS-1287</t>
  </si>
  <si>
    <t>STSS-1291</t>
  </si>
  <si>
    <t>STSS-1292</t>
  </si>
  <si>
    <t>STSS-1293</t>
  </si>
  <si>
    <t>STSS-1294</t>
  </si>
  <si>
    <t>STSS-1295</t>
  </si>
  <si>
    <t>STSS-1296</t>
  </si>
  <si>
    <t>STSS-1297</t>
  </si>
  <si>
    <t>STSS-1299</t>
  </si>
  <si>
    <t>STSS-1300</t>
  </si>
  <si>
    <t>STSS-1298</t>
  </si>
  <si>
    <t>STSS-1301</t>
  </si>
  <si>
    <t>STSS-1302</t>
  </si>
  <si>
    <t>STSS-1303</t>
  </si>
  <si>
    <t>STSS-1304</t>
  </si>
  <si>
    <t>STSS-1305</t>
  </si>
  <si>
    <t>STSS-1306</t>
  </si>
  <si>
    <t>STSS-1307</t>
  </si>
  <si>
    <t>STSS-1308</t>
  </si>
  <si>
    <t>STSS-1309</t>
  </si>
  <si>
    <t>STSS-1310</t>
  </si>
  <si>
    <t>STSS-1311</t>
  </si>
  <si>
    <t>STSS-1312</t>
  </si>
  <si>
    <t>STSS-1313</t>
  </si>
  <si>
    <t>STSS-823</t>
  </si>
  <si>
    <t>STSS-824</t>
  </si>
  <si>
    <t>STSS-825</t>
  </si>
  <si>
    <t>STSS-826</t>
  </si>
  <si>
    <t>STSS-827</t>
  </si>
  <si>
    <t>STSS-828</t>
  </si>
  <si>
    <t>STSS-829</t>
  </si>
  <si>
    <t>STSS-830</t>
  </si>
  <si>
    <t>STSS-831</t>
  </si>
  <si>
    <t>STSS-832</t>
  </si>
  <si>
    <t>STSS-833</t>
  </si>
  <si>
    <t>STSS-834</t>
  </si>
  <si>
    <t>STSS-835</t>
  </si>
  <si>
    <t>STSS-836</t>
  </si>
  <si>
    <t>STSS-837</t>
  </si>
  <si>
    <t>STSS-838</t>
  </si>
  <si>
    <t>STSS-839</t>
  </si>
  <si>
    <t>STSS-840</t>
  </si>
  <si>
    <t>STSS-841</t>
  </si>
  <si>
    <t>STSS-842</t>
  </si>
  <si>
    <t>STSS-843</t>
  </si>
  <si>
    <t>STSS-844</t>
  </si>
  <si>
    <t>STSS-845</t>
  </si>
  <si>
    <t>STSS-846</t>
  </si>
  <si>
    <t>STSS-847</t>
  </si>
  <si>
    <t>STSS-848</t>
  </si>
  <si>
    <t>STSS-849</t>
  </si>
  <si>
    <t>STSS-850</t>
  </si>
  <si>
    <t>STSS-851</t>
  </si>
  <si>
    <t>STSS-852</t>
  </si>
  <si>
    <t>STSS-853</t>
  </si>
  <si>
    <t>STSS-854</t>
  </si>
  <si>
    <t>STSS-855</t>
  </si>
  <si>
    <t>STSS-866</t>
  </si>
  <si>
    <t>STSS-856</t>
  </si>
  <si>
    <t>STSS-857</t>
  </si>
  <si>
    <t>STSS-858</t>
  </si>
  <si>
    <t>STSS-859</t>
  </si>
  <si>
    <t>STSS-865</t>
  </si>
  <si>
    <t>STSS-860</t>
  </si>
  <si>
    <t>STSS-861</t>
  </si>
  <si>
    <t>STSS-862</t>
  </si>
  <si>
    <t>STSS-863</t>
  </si>
  <si>
    <t>STSS-864</t>
  </si>
  <si>
    <t>STSS-1314</t>
  </si>
  <si>
    <t>STSS-1315</t>
  </si>
  <si>
    <t>STSS-1316</t>
  </si>
  <si>
    <t>STSS-1317</t>
  </si>
  <si>
    <t>STSS-1318</t>
  </si>
  <si>
    <t>STSS-1319</t>
  </si>
  <si>
    <t>STSS-1320</t>
  </si>
  <si>
    <t>STSS-1321</t>
  </si>
  <si>
    <t>STSS-1322</t>
  </si>
  <si>
    <t>STSS-1323</t>
  </si>
  <si>
    <t>STSS-1324</t>
  </si>
  <si>
    <t>STSS-1325</t>
  </si>
  <si>
    <t>STSS-1326</t>
  </si>
  <si>
    <t>STSS-1327</t>
  </si>
  <si>
    <t>STSS-1328</t>
  </si>
  <si>
    <t>STSS-1329</t>
  </si>
  <si>
    <t>STSS-1330</t>
  </si>
  <si>
    <t>STSS-1331</t>
  </si>
  <si>
    <t>STSS-1332</t>
  </si>
  <si>
    <t>STSS-1333</t>
  </si>
  <si>
    <t>STSS-1334</t>
  </si>
  <si>
    <t>STSS-1335</t>
  </si>
  <si>
    <t>STSS-1336</t>
  </si>
  <si>
    <t>STSS-1337</t>
  </si>
  <si>
    <t>STSS-1338</t>
  </si>
  <si>
    <t>STSS-1339</t>
  </si>
  <si>
    <t>STSS-134</t>
  </si>
  <si>
    <t>STSS-1340</t>
  </si>
  <si>
    <t>STSS-1341</t>
  </si>
  <si>
    <t>STSS-1342</t>
  </si>
  <si>
    <t>STSS-1343</t>
  </si>
  <si>
    <t>STSS-1344</t>
  </si>
  <si>
    <t>STSS-1345</t>
  </si>
  <si>
    <t>STSS-867</t>
  </si>
  <si>
    <t>STSS-868</t>
  </si>
  <si>
    <t>STSS-869</t>
  </si>
  <si>
    <t>STSS-870</t>
  </si>
  <si>
    <t>STSS-871</t>
  </si>
  <si>
    <t>STSS-872</t>
  </si>
  <si>
    <t>STSS-873</t>
  </si>
  <si>
    <t>STSS-874</t>
  </si>
  <si>
    <t>STSS-875</t>
  </si>
  <si>
    <t>STSS-876</t>
  </si>
  <si>
    <t>STSS-877</t>
  </si>
  <si>
    <t>STSS-878</t>
  </si>
  <si>
    <t>STSS-879</t>
  </si>
  <si>
    <t>STSS-880</t>
  </si>
  <si>
    <t>STSS-881</t>
  </si>
  <si>
    <t>STSS-882</t>
  </si>
  <si>
    <t>STSS-883</t>
  </si>
  <si>
    <t>STSS-884</t>
  </si>
  <si>
    <t>STSS-885</t>
  </si>
  <si>
    <t>STSS-886</t>
  </si>
  <si>
    <t>STSS-887</t>
  </si>
  <si>
    <t>STSS-888</t>
  </si>
  <si>
    <t>STSS-889</t>
  </si>
  <si>
    <t>STSS-890</t>
  </si>
  <si>
    <t>STSS-891</t>
  </si>
  <si>
    <t>STSS-892</t>
  </si>
  <si>
    <t>STSS-893</t>
  </si>
  <si>
    <t>STSS-894</t>
  </si>
  <si>
    <t>STSS-895</t>
  </si>
  <si>
    <t>STSS-896</t>
  </si>
  <si>
    <t>STSS-897</t>
  </si>
  <si>
    <t>STSS-899</t>
  </si>
  <si>
    <t>STSS-900</t>
  </si>
  <si>
    <t>STSS-901</t>
  </si>
  <si>
    <t>STSS-902</t>
  </si>
  <si>
    <t>STSS-903</t>
  </si>
  <si>
    <t>STSS-904</t>
  </si>
  <si>
    <t>STSS-905</t>
  </si>
  <si>
    <t>STSS-906</t>
  </si>
  <si>
    <t>STSS-907</t>
  </si>
  <si>
    <t>STSS-908</t>
  </si>
  <si>
    <t>STSS-909</t>
  </si>
  <si>
    <t>STSS-910</t>
  </si>
  <si>
    <t>STSS-911</t>
  </si>
  <si>
    <t>STSS-1346</t>
  </si>
  <si>
    <t>STSS-1347</t>
  </si>
  <si>
    <t>STSS-1348</t>
  </si>
  <si>
    <t>STSS-1349</t>
  </si>
  <si>
    <t>STSS-1350</t>
  </si>
  <si>
    <t>STSS-1351</t>
  </si>
  <si>
    <t>STSS-1352</t>
  </si>
  <si>
    <t>STSS-1353</t>
  </si>
  <si>
    <t>STSS-1354</t>
  </si>
  <si>
    <t>STSS-1355</t>
  </si>
  <si>
    <t>STSS-1356</t>
  </si>
  <si>
    <t>STSS-1357</t>
  </si>
  <si>
    <t>STSS-1358</t>
  </si>
  <si>
    <t>STSS-1359</t>
  </si>
  <si>
    <t>STSS-1360</t>
  </si>
  <si>
    <t>STSS-1361</t>
  </si>
  <si>
    <t>STSS-1362</t>
  </si>
  <si>
    <t>STSS-1363</t>
  </si>
  <si>
    <t>STSS-1364</t>
  </si>
  <si>
    <t>STSS-1365</t>
  </si>
  <si>
    <t>STSS-1366</t>
  </si>
  <si>
    <t>STSS-1367</t>
  </si>
  <si>
    <t>STSS-1368</t>
  </si>
  <si>
    <t>STSS-1369</t>
  </si>
  <si>
    <t>STSS-1370</t>
  </si>
  <si>
    <t>STSS-1371</t>
  </si>
  <si>
    <t>STSS-1372</t>
  </si>
  <si>
    <t>STSS-1373</t>
  </si>
  <si>
    <t>STSS-1374</t>
  </si>
  <si>
    <t>STSS-1375</t>
  </si>
  <si>
    <t>STSS-1376</t>
  </si>
  <si>
    <t>STSS-1377</t>
  </si>
  <si>
    <t>STSS-1378</t>
  </si>
  <si>
    <t>STSS-1379</t>
  </si>
  <si>
    <t>STSS-912</t>
  </si>
  <si>
    <t>STSS-913</t>
  </si>
  <si>
    <t>STSS-914</t>
  </si>
  <si>
    <t>STSS-915</t>
  </si>
  <si>
    <t>STSS-916</t>
  </si>
  <si>
    <t>STSS-917</t>
  </si>
  <si>
    <t>STSS-918</t>
  </si>
  <si>
    <t>STSS-919</t>
  </si>
  <si>
    <t>STSS-920</t>
  </si>
  <si>
    <t>STSS-921</t>
  </si>
  <si>
    <t>STSS-922</t>
  </si>
  <si>
    <t>STSS-923</t>
  </si>
  <si>
    <t>STSS-924</t>
  </si>
  <si>
    <t>STSS-925</t>
  </si>
  <si>
    <t>STSS-926</t>
  </si>
  <si>
    <t>STSS-927</t>
  </si>
  <si>
    <t>STSS-928</t>
  </si>
  <si>
    <t>STSS-929</t>
  </si>
  <si>
    <t>STSS-930</t>
  </si>
  <si>
    <t>STSS-931</t>
  </si>
  <si>
    <t>STSS-932</t>
  </si>
  <si>
    <t>STSS-933</t>
  </si>
  <si>
    <t>STSS-934</t>
  </si>
  <si>
    <t>STSS-935</t>
  </si>
  <si>
    <t>STSS-936</t>
  </si>
  <si>
    <t>STSS-937</t>
  </si>
  <si>
    <t>STSS-938</t>
  </si>
  <si>
    <t>STSS-939</t>
  </si>
  <si>
    <t>STSS-940</t>
  </si>
  <si>
    <t>STSS-941</t>
  </si>
  <si>
    <t>STSS-942</t>
  </si>
  <si>
    <t>STSS-943</t>
  </si>
  <si>
    <t>STSS-944</t>
  </si>
  <si>
    <t>STSS-945</t>
  </si>
  <si>
    <t>STSS-946</t>
  </si>
  <si>
    <t>STSS-947</t>
  </si>
  <si>
    <t>STSS-948</t>
  </si>
  <si>
    <t>STSS-949</t>
  </si>
  <si>
    <t>STSS-950</t>
  </si>
  <si>
    <t>STSS-951</t>
  </si>
  <si>
    <t>STSS-952</t>
  </si>
  <si>
    <t>STSS-953</t>
  </si>
  <si>
    <t>STSS-954</t>
  </si>
  <si>
    <t>STSS-1380</t>
  </si>
  <si>
    <t>STSS-1381</t>
  </si>
  <si>
    <t>STSS-1382</t>
  </si>
  <si>
    <t>STSS-1383</t>
  </si>
  <si>
    <t>STSS-1384</t>
  </si>
  <si>
    <t>STSS-1385</t>
  </si>
  <si>
    <t>STSS-1386</t>
  </si>
  <si>
    <t>STSS-1387</t>
  </si>
  <si>
    <t>STSS-1388</t>
  </si>
  <si>
    <t>STSS-1389</t>
  </si>
  <si>
    <t>STSS-1390</t>
  </si>
  <si>
    <t>STSS-1391</t>
  </si>
  <si>
    <t>STSS-1392</t>
  </si>
  <si>
    <t>STSS-1393</t>
  </si>
  <si>
    <t>STSS-1394</t>
  </si>
  <si>
    <t>STSS-1395</t>
  </si>
  <si>
    <t>STSS-1396</t>
  </si>
  <si>
    <t>STSS-1397</t>
  </si>
  <si>
    <t>STSS-1398</t>
  </si>
  <si>
    <t>STSS-1399</t>
  </si>
  <si>
    <t>STSS-1400</t>
  </si>
  <si>
    <t>STSS-1401</t>
  </si>
  <si>
    <t>STSS-1402</t>
  </si>
  <si>
    <t>STSS-1403</t>
  </si>
  <si>
    <t>STSS-1404</t>
  </si>
  <si>
    <t>STSS-1405</t>
  </si>
  <si>
    <t>STSS-1406</t>
  </si>
  <si>
    <t>STSS-1407</t>
  </si>
  <si>
    <t>STSS-1408</t>
  </si>
  <si>
    <t>STSS-1409</t>
  </si>
  <si>
    <t>STSS-1410</t>
  </si>
  <si>
    <t>STSS-1411</t>
  </si>
  <si>
    <t>STSS-1412</t>
  </si>
  <si>
    <t>STSS-955</t>
  </si>
  <si>
    <t>STSS-956</t>
  </si>
  <si>
    <t>STSS-957</t>
  </si>
  <si>
    <t>STSS-958</t>
  </si>
  <si>
    <t>STSS-959</t>
  </si>
  <si>
    <t>STSS-960</t>
  </si>
  <si>
    <t>STSS-961</t>
  </si>
  <si>
    <t>STSS-962</t>
  </si>
  <si>
    <t>STSS-963</t>
  </si>
  <si>
    <t>STSS-964</t>
  </si>
  <si>
    <t>STSS-965</t>
  </si>
  <si>
    <t>STSS-966</t>
  </si>
  <si>
    <t>STSS-967</t>
  </si>
  <si>
    <t>STSS-968</t>
  </si>
  <si>
    <t>STSS-969</t>
  </si>
  <si>
    <t>STSS-970</t>
  </si>
  <si>
    <t>STSS-971</t>
  </si>
  <si>
    <t>STSS-972</t>
  </si>
  <si>
    <t>STSS-973</t>
  </si>
  <si>
    <t>STSS-974</t>
  </si>
  <si>
    <t>STSS-975</t>
  </si>
  <si>
    <t>STSS-976</t>
  </si>
  <si>
    <t>STSS-977</t>
  </si>
  <si>
    <t>STSS-978</t>
  </si>
  <si>
    <t>STSS-979</t>
  </si>
  <si>
    <t>STSS-980</t>
  </si>
  <si>
    <t>STSS-981</t>
  </si>
  <si>
    <t>STSS-982</t>
  </si>
  <si>
    <t>STSS-983</t>
  </si>
  <si>
    <t>STSS-984</t>
  </si>
  <si>
    <t>STSS-985</t>
  </si>
  <si>
    <t>STSS-986</t>
  </si>
  <si>
    <t>STSS-987</t>
  </si>
  <si>
    <t>STSS-988</t>
  </si>
  <si>
    <t>STSS-989</t>
  </si>
  <si>
    <t>STSS-990</t>
  </si>
  <si>
    <t>STSS-991</t>
  </si>
  <si>
    <t>STSS-992</t>
  </si>
  <si>
    <t>STSS-993</t>
  </si>
  <si>
    <t>STSS-994</t>
  </si>
  <si>
    <t>STSS-995</t>
  </si>
  <si>
    <t>STSS-996</t>
  </si>
  <si>
    <t>STSS-997</t>
  </si>
  <si>
    <t>STSS-1413</t>
  </si>
  <si>
    <t>STSS-1414</t>
  </si>
  <si>
    <t>STSS-1415</t>
  </si>
  <si>
    <t>STSS-1416</t>
  </si>
  <si>
    <t>STSS-1417</t>
  </si>
  <si>
    <t>STSS-1418</t>
  </si>
  <si>
    <t>STSS-1419</t>
  </si>
  <si>
    <t>STSS-1420</t>
  </si>
  <si>
    <t>STSS-1421</t>
  </si>
  <si>
    <t>STSS-1422</t>
  </si>
  <si>
    <t>STSS-1423</t>
  </si>
  <si>
    <t>STSS-1424</t>
  </si>
  <si>
    <t>STSS-1425</t>
  </si>
  <si>
    <t>STSS-1426</t>
  </si>
  <si>
    <t>STSS-1427</t>
  </si>
  <si>
    <t>STSS-1428</t>
  </si>
  <si>
    <t>STSS-1429</t>
  </si>
  <si>
    <t>STSS-1430</t>
  </si>
  <si>
    <t>STSS-1431</t>
  </si>
  <si>
    <t>STSS-1432</t>
  </si>
  <si>
    <t>STSS-1433</t>
  </si>
  <si>
    <t>STSS-1434</t>
  </si>
  <si>
    <t>STSS-1435</t>
  </si>
  <si>
    <t>STSS-1436</t>
  </si>
  <si>
    <t>STSS-1437</t>
  </si>
  <si>
    <t>STSS-1438</t>
  </si>
  <si>
    <t>STSS-1439</t>
  </si>
  <si>
    <t>STSS-1440</t>
  </si>
  <si>
    <t>STSS-1441</t>
  </si>
  <si>
    <t>STSS-1442</t>
  </si>
  <si>
    <t>STSS-1443</t>
  </si>
  <si>
    <t>STSS-1444</t>
  </si>
  <si>
    <t>STSS-1445</t>
  </si>
  <si>
    <t>STSS-998</t>
  </si>
  <si>
    <t>STSS-999</t>
  </si>
  <si>
    <t>STSS-1446</t>
  </si>
  <si>
    <t>STSS-1447</t>
  </si>
  <si>
    <t>STSS-175</t>
  </si>
  <si>
    <t>STSS-237</t>
  </si>
  <si>
    <t>STSS-177</t>
  </si>
  <si>
    <t>STSS-189</t>
  </si>
  <si>
    <t>STSS-194</t>
  </si>
  <si>
    <t>STSS-456</t>
  </si>
  <si>
    <t>STSS-196</t>
  </si>
  <si>
    <t>STSS-210</t>
  </si>
  <si>
    <t>STSS-212</t>
  </si>
  <si>
    <t>STSS-253</t>
  </si>
  <si>
    <t>STSS-267</t>
  </si>
  <si>
    <t>STSS-280</t>
  </si>
  <si>
    <t>STSS-281</t>
  </si>
  <si>
    <t>STSS-294</t>
  </si>
  <si>
    <t>STSS-401</t>
  </si>
  <si>
    <t>STSS-415</t>
  </si>
  <si>
    <t>STSS-300</t>
  </si>
  <si>
    <t>STSS-319</t>
  </si>
  <si>
    <t>STSS-498</t>
  </si>
  <si>
    <t>STSS-325</t>
  </si>
  <si>
    <t>STSS-326</t>
  </si>
  <si>
    <t>STSS-327</t>
  </si>
  <si>
    <t>STSS-337</t>
  </si>
  <si>
    <t>STSS-338</t>
  </si>
  <si>
    <t>STSS-345</t>
  </si>
  <si>
    <t>STSS-356</t>
  </si>
  <si>
    <t>STSS-359</t>
  </si>
  <si>
    <t>STSS-360</t>
  </si>
  <si>
    <t>STSS-370</t>
  </si>
  <si>
    <t>STSS-374</t>
  </si>
  <si>
    <t>STSS-376</t>
  </si>
  <si>
    <t>STSS-379</t>
  </si>
  <si>
    <t>STSS-383</t>
  </si>
  <si>
    <t>STSS-387</t>
  </si>
  <si>
    <t>STSS-389</t>
  </si>
  <si>
    <t>STSS-390</t>
  </si>
  <si>
    <t>STSS-391</t>
  </si>
  <si>
    <t>STSS-397</t>
  </si>
  <si>
    <t>STSS-400</t>
  </si>
  <si>
    <t>STSS-402</t>
  </si>
  <si>
    <t>STSS-403</t>
  </si>
  <si>
    <t>STSS-404</t>
  </si>
  <si>
    <t>STSS-405</t>
  </si>
  <si>
    <t>STSS-406</t>
  </si>
  <si>
    <t>STSS-410</t>
  </si>
  <si>
    <t>STSS-412</t>
  </si>
  <si>
    <t>STSS-421</t>
  </si>
  <si>
    <t>STSS-422</t>
  </si>
  <si>
    <t>STSS-423</t>
  </si>
  <si>
    <t>STSS-424</t>
  </si>
  <si>
    <t>STSS-425</t>
  </si>
  <si>
    <t>STSS-428</t>
  </si>
  <si>
    <t>STSS-429</t>
  </si>
  <si>
    <t>STSS-436</t>
  </si>
  <si>
    <t>STSS-439</t>
  </si>
  <si>
    <t>STSS-440</t>
  </si>
  <si>
    <t>STSS-441</t>
  </si>
  <si>
    <t>STSS-442</t>
  </si>
  <si>
    <t>STSS-443</t>
  </si>
  <si>
    <t>STSS-444</t>
  </si>
  <si>
    <t>STSS-445</t>
  </si>
  <si>
    <t>STSS-446</t>
  </si>
  <si>
    <t>STSS-450</t>
  </si>
  <si>
    <t>STSS-454</t>
  </si>
  <si>
    <t>STSS-455</t>
  </si>
  <si>
    <t>STSS-459</t>
  </si>
  <si>
    <t>STSS-460</t>
  </si>
  <si>
    <t>STSS-461</t>
  </si>
  <si>
    <t>STSS-462</t>
  </si>
  <si>
    <t>STSS-463</t>
  </si>
  <si>
    <t>STSS-465</t>
  </si>
  <si>
    <t>STSS-467</t>
  </si>
  <si>
    <t>STSS-469</t>
  </si>
  <si>
    <t>STSS-470</t>
  </si>
  <si>
    <t>STSS-472</t>
  </si>
  <si>
    <t>STSS-475</t>
  </si>
  <si>
    <t>STSS-477</t>
  </si>
  <si>
    <t>STSS-478</t>
  </si>
  <si>
    <t>STSS-479</t>
  </si>
  <si>
    <t>STSS-480</t>
  </si>
  <si>
    <t>STSS-481</t>
  </si>
  <si>
    <t>STSS-482</t>
  </si>
  <si>
    <t>STSS-483</t>
  </si>
  <si>
    <t>STSS-484</t>
  </si>
  <si>
    <t>STSS-485</t>
  </si>
  <si>
    <t>STSS-486</t>
  </si>
  <si>
    <t>STSS-490</t>
  </si>
  <si>
    <t>STSS-492</t>
  </si>
  <si>
    <t>STSS-494</t>
  </si>
  <si>
    <t>STSS-495</t>
  </si>
  <si>
    <t>STSS-496</t>
  </si>
  <si>
    <t>STSS-499</t>
  </si>
  <si>
    <t>STSS-500</t>
  </si>
  <si>
    <t>STSS-501</t>
  </si>
  <si>
    <t>STSS-503</t>
  </si>
  <si>
    <t>STSS-505</t>
  </si>
  <si>
    <t>STSS-506</t>
  </si>
  <si>
    <t>STSS-507</t>
  </si>
  <si>
    <t>STSS-508</t>
  </si>
  <si>
    <t>STSS-509</t>
  </si>
  <si>
    <t>STSS-510</t>
  </si>
  <si>
    <t>STSS-511</t>
  </si>
  <si>
    <t>STSS-512</t>
  </si>
  <si>
    <t>STSS-513</t>
  </si>
  <si>
    <t>STSS-514</t>
  </si>
  <si>
    <t>STSS-515</t>
  </si>
  <si>
    <t>STSS-516</t>
  </si>
  <si>
    <t>STSS-517</t>
  </si>
  <si>
    <t>STSS-518</t>
  </si>
  <si>
    <t>STSS-519</t>
  </si>
  <si>
    <t>STSS-523</t>
  </si>
  <si>
    <t>STSS-524</t>
  </si>
  <si>
    <t>STSS-525</t>
  </si>
  <si>
    <t>STSS-526</t>
  </si>
  <si>
    <t>STSS-527</t>
  </si>
  <si>
    <t>STSS-528</t>
  </si>
  <si>
    <t>STSS-529</t>
  </si>
  <si>
    <t>STSS-530</t>
  </si>
  <si>
    <t>STSS-531</t>
  </si>
  <si>
    <t>STSS-532</t>
  </si>
  <si>
    <t>STSS-533</t>
  </si>
  <si>
    <t>STSS-534</t>
  </si>
  <si>
    <t>STSS-535</t>
  </si>
  <si>
    <t>STSS-536</t>
  </si>
  <si>
    <t>STSS-537</t>
  </si>
  <si>
    <t>STSS-538</t>
  </si>
  <si>
    <t>STSS-539</t>
  </si>
  <si>
    <t>STSS-540</t>
  </si>
  <si>
    <t>STSS-541</t>
  </si>
  <si>
    <t>STSS-542</t>
  </si>
  <si>
    <t>STSS-543</t>
  </si>
  <si>
    <t>STSS-546</t>
  </si>
  <si>
    <t>STSS-547</t>
  </si>
  <si>
    <t>STSS-549</t>
  </si>
  <si>
    <t>STSS-551</t>
  </si>
  <si>
    <t>STSS-552</t>
  </si>
  <si>
    <t>STSS-553</t>
  </si>
  <si>
    <t>STSS-554</t>
  </si>
  <si>
    <t>STSS-555</t>
  </si>
  <si>
    <t>STSS-557</t>
  </si>
  <si>
    <t>STSS-558</t>
  </si>
  <si>
    <t>STSS-559</t>
  </si>
  <si>
    <t>STSS-560</t>
  </si>
  <si>
    <t>STSS-563</t>
  </si>
  <si>
    <t>October 2025</t>
  </si>
  <si>
    <t>Cash</t>
  </si>
  <si>
    <t>Working</t>
  </si>
  <si>
    <t>Shreya</t>
  </si>
  <si>
    <t>Senior Process Associate</t>
  </si>
  <si>
    <t>AYIPV1300N</t>
  </si>
  <si>
    <t>Relieved</t>
  </si>
  <si>
    <t>Female</t>
  </si>
  <si>
    <t>Site 1 - TSN</t>
  </si>
  <si>
    <t>US Insurance</t>
  </si>
  <si>
    <t>Syed Raza Ali</t>
  </si>
  <si>
    <t>Senior Recruiter</t>
  </si>
  <si>
    <t>ENNPA8069R</t>
  </si>
  <si>
    <t>Male</t>
  </si>
  <si>
    <t>Hyd- Night Shift Team</t>
  </si>
  <si>
    <t>US Staffing</t>
  </si>
  <si>
    <t>Goverdhan Harsha</t>
  </si>
  <si>
    <t>US Recruiter</t>
  </si>
  <si>
    <t>HCVPP6233A</t>
  </si>
  <si>
    <t>Yogendra Tarak</t>
  </si>
  <si>
    <t>SME - Subject Matter Expert</t>
  </si>
  <si>
    <t>AXOPT5315J</t>
  </si>
  <si>
    <t>Aishwarya</t>
  </si>
  <si>
    <t>Business Development Executive</t>
  </si>
  <si>
    <t>DTVPG0628D</t>
  </si>
  <si>
    <t>IT Sales</t>
  </si>
  <si>
    <t>Saba</t>
  </si>
  <si>
    <t>Digital Marketing Executive</t>
  </si>
  <si>
    <t>MRLPS0921A</t>
  </si>
  <si>
    <t>Site 4- Hyderabad - Day Shift Team</t>
  </si>
  <si>
    <t>Digital Marketing</t>
  </si>
  <si>
    <t>Ashok</t>
  </si>
  <si>
    <t>Business Development Manager</t>
  </si>
  <si>
    <t>AUWPM9543L</t>
  </si>
  <si>
    <t>Bala</t>
  </si>
  <si>
    <t>BDIPM9349E</t>
  </si>
  <si>
    <t>Site 2 - SVS</t>
  </si>
  <si>
    <t>Azharuddin</t>
  </si>
  <si>
    <t>BUAPM0326A</t>
  </si>
  <si>
    <t>Benhail</t>
  </si>
  <si>
    <t>Assistant Vice President-InsureTech</t>
  </si>
  <si>
    <t>BLBPD3157N</t>
  </si>
  <si>
    <t>IT Services Technology</t>
  </si>
  <si>
    <t>Srinivasa Rao</t>
  </si>
  <si>
    <t>Accountant</t>
  </si>
  <si>
    <t>BKNPS3461H</t>
  </si>
  <si>
    <t>Payroll/Accounts</t>
  </si>
  <si>
    <t>Tammina</t>
  </si>
  <si>
    <t>Managing Director</t>
  </si>
  <si>
    <t>APRPT2846M</t>
  </si>
  <si>
    <t>Management</t>
  </si>
  <si>
    <t>Raj</t>
  </si>
  <si>
    <t>CEO</t>
  </si>
  <si>
    <t>AEMPT3777P</t>
  </si>
  <si>
    <t>Krishna Kumar</t>
  </si>
  <si>
    <t>CZCPM0369K</t>
  </si>
  <si>
    <t>Abbas Rizvee</t>
  </si>
  <si>
    <t>Process Associate</t>
  </si>
  <si>
    <t>FNFPM2524E</t>
  </si>
  <si>
    <t>Site 6- Vijaywada</t>
  </si>
  <si>
    <t>Vahedulla</t>
  </si>
  <si>
    <t>Technical Lead</t>
  </si>
  <si>
    <t>BDQPS5677D</t>
  </si>
  <si>
    <t>JAYA VAMSI</t>
  </si>
  <si>
    <t>CDMPJ8663H</t>
  </si>
  <si>
    <t>Muralidhar</t>
  </si>
  <si>
    <t>Tech Lead</t>
  </si>
  <si>
    <t>AXXPC0337N</t>
  </si>
  <si>
    <t>Pavani</t>
  </si>
  <si>
    <t>Account Manager</t>
  </si>
  <si>
    <t>BNVPP8756R</t>
  </si>
  <si>
    <t>Sai</t>
  </si>
  <si>
    <t>FCCPM7164J</t>
  </si>
  <si>
    <t>Vardhini Harsha Sree</t>
  </si>
  <si>
    <t>GZNPM3769L</t>
  </si>
  <si>
    <t>Harsha</t>
  </si>
  <si>
    <t>HZQPK8548R</t>
  </si>
  <si>
    <t>Syed</t>
  </si>
  <si>
    <t>MWMPS2520P</t>
  </si>
  <si>
    <t>Kavya</t>
  </si>
  <si>
    <t>LNBPS9703B</t>
  </si>
  <si>
    <t>Roja</t>
  </si>
  <si>
    <t>KJSPS0269G</t>
  </si>
  <si>
    <t>Moin Pasha</t>
  </si>
  <si>
    <t>FTRPM4183F</t>
  </si>
  <si>
    <t>Yuktha Yamini</t>
  </si>
  <si>
    <t>Recruiting Lead</t>
  </si>
  <si>
    <t>BOKPY6481A</t>
  </si>
  <si>
    <t>Sravani</t>
  </si>
  <si>
    <t>HBZPP0600L</t>
  </si>
  <si>
    <t>Santosh Kumar</t>
  </si>
  <si>
    <t>Sr. Client Relationship Manager</t>
  </si>
  <si>
    <t>BDSPP8095A</t>
  </si>
  <si>
    <t>Divya</t>
  </si>
  <si>
    <t>JJZPD5111E</t>
  </si>
  <si>
    <t>Bhargavi</t>
  </si>
  <si>
    <t>GMUPB9442P</t>
  </si>
  <si>
    <t>Jyothi</t>
  </si>
  <si>
    <t>CGEPJ7932C</t>
  </si>
  <si>
    <t>Giribabu</t>
  </si>
  <si>
    <t>UI/UX Designer</t>
  </si>
  <si>
    <t>AZGPC9669N</t>
  </si>
  <si>
    <t>Tarun</t>
  </si>
  <si>
    <t>BUIPT4671B</t>
  </si>
  <si>
    <t>Vijay Kumar</t>
  </si>
  <si>
    <t>CTYPM1447G</t>
  </si>
  <si>
    <t>Joshna</t>
  </si>
  <si>
    <t>CTDPG9115Q</t>
  </si>
  <si>
    <t>Dinesh</t>
  </si>
  <si>
    <t>Software Engineer</t>
  </si>
  <si>
    <t>GLNPD7157R</t>
  </si>
  <si>
    <t>Ricky</t>
  </si>
  <si>
    <t>Vice President - Business Development</t>
  </si>
  <si>
    <t>Divya Rani</t>
  </si>
  <si>
    <t>ETCPP0246Q</t>
  </si>
  <si>
    <t>Gandhi Uma Raja</t>
  </si>
  <si>
    <t>BPVPB6567E</t>
  </si>
  <si>
    <t>Sanjai</t>
  </si>
  <si>
    <t>PIFPS3801B</t>
  </si>
  <si>
    <t>Pavan</t>
  </si>
  <si>
    <t>BEFPT7096K</t>
  </si>
  <si>
    <t>Sravanasandhya</t>
  </si>
  <si>
    <t>Software Trainee</t>
  </si>
  <si>
    <t>BWRPT0393M</t>
  </si>
  <si>
    <t>Upendra</t>
  </si>
  <si>
    <t>BFKPB3802D</t>
  </si>
  <si>
    <t>William</t>
  </si>
  <si>
    <t>BPEPB5412B</t>
  </si>
  <si>
    <t>Sayi Chandrasekhar</t>
  </si>
  <si>
    <t>AVFPC1721Q</t>
  </si>
  <si>
    <t>BALAJI</t>
  </si>
  <si>
    <t>DDKPB3708L</t>
  </si>
  <si>
    <t>Nani Babu</t>
  </si>
  <si>
    <t>HFUPK6539G</t>
  </si>
  <si>
    <t>Padmavathi</t>
  </si>
  <si>
    <t>MVIPK4308N</t>
  </si>
  <si>
    <t>Syam Prasad</t>
  </si>
  <si>
    <t>HTFPP5132K</t>
  </si>
  <si>
    <t>Balaji</t>
  </si>
  <si>
    <t>FMMPP8353J</t>
  </si>
  <si>
    <t>Venkata Durga Praveen Kumar</t>
  </si>
  <si>
    <t>BJYPV0136N</t>
  </si>
  <si>
    <t>Tulasi</t>
  </si>
  <si>
    <t>CGQPT5416B</t>
  </si>
  <si>
    <t>Rushitha</t>
  </si>
  <si>
    <t>FKMPR8475P</t>
  </si>
  <si>
    <t>Kishore</t>
  </si>
  <si>
    <t>KDZPK7242A</t>
  </si>
  <si>
    <t>Purna</t>
  </si>
  <si>
    <t>CLAPC9318Q</t>
  </si>
  <si>
    <t>Devi</t>
  </si>
  <si>
    <t>LTAPK7076E</t>
  </si>
  <si>
    <t>Bharat Vasu</t>
  </si>
  <si>
    <t>ECHPB7328R</t>
  </si>
  <si>
    <t>Tejaswini Padmini Bai</t>
  </si>
  <si>
    <t>CGDPB6272Q</t>
  </si>
  <si>
    <t>Diwakar Reddy</t>
  </si>
  <si>
    <t>EVFPR2964L</t>
  </si>
  <si>
    <t>Avinash</t>
  </si>
  <si>
    <t>ELZPA4029M</t>
  </si>
  <si>
    <t>Hari Chandana</t>
  </si>
  <si>
    <t>BOGPH9455H</t>
  </si>
  <si>
    <t>Venkataramana</t>
  </si>
  <si>
    <t>AI Training Engineer</t>
  </si>
  <si>
    <t>IAFPM1913R</t>
  </si>
  <si>
    <t>AI- IT Services</t>
  </si>
  <si>
    <t>Venkata Ramakrishna</t>
  </si>
  <si>
    <t>Jr. Software Engineer</t>
  </si>
  <si>
    <t>FTWPR3696R</t>
  </si>
  <si>
    <t>Padma</t>
  </si>
  <si>
    <t>FHCPP2369P</t>
  </si>
  <si>
    <t>VENKATA LAKSHMI NARAYANA CHETHAN</t>
  </si>
  <si>
    <t>CSTPC8163P</t>
  </si>
  <si>
    <t>Adapaka</t>
  </si>
  <si>
    <t>HHGPB3858H</t>
  </si>
  <si>
    <t>Bindu</t>
  </si>
  <si>
    <t>CFKPG9324N</t>
  </si>
  <si>
    <t>ABDHUL</t>
  </si>
  <si>
    <t>DBGPA7124B</t>
  </si>
  <si>
    <t>Azim</t>
  </si>
  <si>
    <t>DRIPA5309G</t>
  </si>
  <si>
    <t>Vara prasad</t>
  </si>
  <si>
    <t>CFUPV0842J</t>
  </si>
  <si>
    <t>Anusri</t>
  </si>
  <si>
    <t>MLNPK8976M</t>
  </si>
  <si>
    <t>Sireesha</t>
  </si>
  <si>
    <t>FEKPP4128B</t>
  </si>
  <si>
    <t>Shyamanth  kumar</t>
  </si>
  <si>
    <t>EBFPM5562P</t>
  </si>
  <si>
    <t>Nagalakshmi</t>
  </si>
  <si>
    <t>EZHPP0542N</t>
  </si>
  <si>
    <t>Vasundara</t>
  </si>
  <si>
    <t>BVYPV4426R</t>
  </si>
  <si>
    <t>Jagadeesh</t>
  </si>
  <si>
    <t>CDGPB1320M</t>
  </si>
  <si>
    <t>MohsinBasha</t>
  </si>
  <si>
    <t>CCMPB6494F</t>
  </si>
  <si>
    <t>Umamaheswara</t>
  </si>
  <si>
    <t>DFQPP1745k</t>
  </si>
  <si>
    <t>Varalaxmi</t>
  </si>
  <si>
    <t>DARPP2361H</t>
  </si>
  <si>
    <t>Sai Durga</t>
  </si>
  <si>
    <t>BUKPV8915J</t>
  </si>
  <si>
    <t>Site 3- More Building</t>
  </si>
  <si>
    <t>RAGHURAMI</t>
  </si>
  <si>
    <t>Software Engineer - UI</t>
  </si>
  <si>
    <t>BLHPA0484M</t>
  </si>
  <si>
    <t>LeelaVardhanReddy</t>
  </si>
  <si>
    <t>AZUPV3385L</t>
  </si>
  <si>
    <t>Sagar</t>
  </si>
  <si>
    <t>Senior US Recruiter</t>
  </si>
  <si>
    <t>Venkata siva ramakrishna</t>
  </si>
  <si>
    <t>GPJPS0499F</t>
  </si>
  <si>
    <t>GOWTHAMI PRIYA</t>
  </si>
  <si>
    <t>BNQPV5073E</t>
  </si>
  <si>
    <t>SRAVANI TARAKA</t>
  </si>
  <si>
    <t>IATPD3880A</t>
  </si>
  <si>
    <t>Praveen Kumar</t>
  </si>
  <si>
    <t>FAXPD6177H</t>
  </si>
  <si>
    <t>Ummidi</t>
  </si>
  <si>
    <t>AOLPU8644M</t>
  </si>
  <si>
    <t>Durga</t>
  </si>
  <si>
    <t>GDXPR4362C</t>
  </si>
  <si>
    <t>Pushkal Mohan</t>
  </si>
  <si>
    <t>FGZPM6301J</t>
  </si>
  <si>
    <t>Pujitha</t>
  </si>
  <si>
    <t>KQNPK9125D</t>
  </si>
  <si>
    <t>Durga Srividya</t>
  </si>
  <si>
    <t>HIGPD2552D</t>
  </si>
  <si>
    <t>Vurukuti</t>
  </si>
  <si>
    <t>UX Designer</t>
  </si>
  <si>
    <t>BMPPV7136J</t>
  </si>
  <si>
    <t>Uma</t>
  </si>
  <si>
    <t>SRE</t>
  </si>
  <si>
    <t>BAMPK9569H</t>
  </si>
  <si>
    <t>Pravallika</t>
  </si>
  <si>
    <t>Sr. Process Associate</t>
  </si>
  <si>
    <t>CLIPP0846G</t>
  </si>
  <si>
    <t>Santosh</t>
  </si>
  <si>
    <t>AZQPA7390C</t>
  </si>
  <si>
    <t>Santhakumar</t>
  </si>
  <si>
    <t>BVMPK0341Q</t>
  </si>
  <si>
    <t>Siddartha</t>
  </si>
  <si>
    <t>FADPS8731L</t>
  </si>
  <si>
    <t>Shashikanth</t>
  </si>
  <si>
    <t>BWFPM3578K</t>
  </si>
  <si>
    <t>Nikhil</t>
  </si>
  <si>
    <t>FAFPS4519R</t>
  </si>
  <si>
    <t>Kiran</t>
  </si>
  <si>
    <t>ACJPE0770E</t>
  </si>
  <si>
    <t>Mounika</t>
  </si>
  <si>
    <t>EDGPK6224M</t>
  </si>
  <si>
    <t>Elisabeth</t>
  </si>
  <si>
    <t>Business analyst</t>
  </si>
  <si>
    <t>BWHPA1201M</t>
  </si>
  <si>
    <t>Surya</t>
  </si>
  <si>
    <t>Network Engineer</t>
  </si>
  <si>
    <t>HPJPK1252K</t>
  </si>
  <si>
    <t>Network</t>
  </si>
  <si>
    <t>Ramachandra</t>
  </si>
  <si>
    <t>Senior Business Development Manager</t>
  </si>
  <si>
    <t>CQHPP6028A</t>
  </si>
  <si>
    <t>Pujarani</t>
  </si>
  <si>
    <t>NUNPS8869B</t>
  </si>
  <si>
    <t>VenkataRaghavaKrishnaChaitanya</t>
  </si>
  <si>
    <t>AVEPV3096N</t>
  </si>
  <si>
    <t>Sushma</t>
  </si>
  <si>
    <t>Sr. Software Engineer</t>
  </si>
  <si>
    <t>EPTPD8285Q</t>
  </si>
  <si>
    <t>Vijay</t>
  </si>
  <si>
    <t>CGLPG5602H</t>
  </si>
  <si>
    <t>Niharika</t>
  </si>
  <si>
    <t>DINPM9445K</t>
  </si>
  <si>
    <t>Surendra</t>
  </si>
  <si>
    <t>AORPG8189B</t>
  </si>
  <si>
    <t>Deepika</t>
  </si>
  <si>
    <t>FPWPD4443C</t>
  </si>
  <si>
    <t>Sam</t>
  </si>
  <si>
    <t>Senior Bench Sales Recruiter</t>
  </si>
  <si>
    <t>IVCPK8368C</t>
  </si>
  <si>
    <t>Bhanu</t>
  </si>
  <si>
    <t>ASVPJ1086C</t>
  </si>
  <si>
    <t>Praveen Varma</t>
  </si>
  <si>
    <t>AVGPD5009B</t>
  </si>
  <si>
    <t>Gnana</t>
  </si>
  <si>
    <t>IFTPS3240N</t>
  </si>
  <si>
    <t>Rahman</t>
  </si>
  <si>
    <t>GDYPS2614P</t>
  </si>
  <si>
    <t>Upendra Prasad</t>
  </si>
  <si>
    <t>IT Inside sales Consultant</t>
  </si>
  <si>
    <t>BUHPK9790F</t>
  </si>
  <si>
    <t>Rithwin</t>
  </si>
  <si>
    <t>CANPV4070N</t>
  </si>
  <si>
    <t>Viswanadham</t>
  </si>
  <si>
    <t>BXKPP0440B</t>
  </si>
  <si>
    <t>Vasantha</t>
  </si>
  <si>
    <t>Senior Business Acquisition Manager</t>
  </si>
  <si>
    <t>AKYPN5115F</t>
  </si>
  <si>
    <t>Gantala</t>
  </si>
  <si>
    <t>HR Manager</t>
  </si>
  <si>
    <t>BTJPG9475N</t>
  </si>
  <si>
    <t>Human Resources</t>
  </si>
  <si>
    <t>Abdul</t>
  </si>
  <si>
    <t>UI Developer</t>
  </si>
  <si>
    <t>GHPPS2705J</t>
  </si>
  <si>
    <t>Mohammed</t>
  </si>
  <si>
    <t>Harivarma</t>
  </si>
  <si>
    <t>DANPG7680E</t>
  </si>
  <si>
    <t>Kareem</t>
  </si>
  <si>
    <t>Nizam Uddin</t>
  </si>
  <si>
    <t>AJHPU5175A</t>
  </si>
  <si>
    <t>Komalee</t>
  </si>
  <si>
    <t>MWOPK1082Q</t>
  </si>
  <si>
    <t>Prem Kumar</t>
  </si>
  <si>
    <t>Assistant Manager</t>
  </si>
  <si>
    <t>CSXPM9391R</t>
  </si>
  <si>
    <t>Noor</t>
  </si>
  <si>
    <t>FYSPM3750G</t>
  </si>
  <si>
    <t>Product Manager</t>
  </si>
  <si>
    <t>EEJPM4553R</t>
  </si>
  <si>
    <t>Sai Kiran Reddy</t>
  </si>
  <si>
    <t>Senior Business Development Executive</t>
  </si>
  <si>
    <t>ELWPK1247L</t>
  </si>
  <si>
    <t>Sobha Devi Varalakshmi</t>
  </si>
  <si>
    <t>BLIPS8097R</t>
  </si>
  <si>
    <t>Pratiksha</t>
  </si>
  <si>
    <t>BAFPN6625L</t>
  </si>
  <si>
    <t>Bhavishath</t>
  </si>
  <si>
    <t>FEUPB0927J</t>
  </si>
  <si>
    <t>Gouse Basha</t>
  </si>
  <si>
    <t>Asst Vice President - Business Development</t>
  </si>
  <si>
    <t>BWDPS4768M</t>
  </si>
  <si>
    <t>Rajashekar</t>
  </si>
  <si>
    <t>Senior Bench Sales Manager</t>
  </si>
  <si>
    <t>AVJPT5383M</t>
  </si>
  <si>
    <t>Chiranjeevi</t>
  </si>
  <si>
    <t>Digital Marketing Manager</t>
  </si>
  <si>
    <t>AVQPR7544F</t>
  </si>
  <si>
    <t>Srivathsav Kumar</t>
  </si>
  <si>
    <t>CINPS2261Q</t>
  </si>
  <si>
    <t>Shivani</t>
  </si>
  <si>
    <t>CBFPB0730G</t>
  </si>
  <si>
    <t>Swapna</t>
  </si>
  <si>
    <t>Immigration Specialist</t>
  </si>
  <si>
    <t>ESTPP1857H</t>
  </si>
  <si>
    <t>Immigration</t>
  </si>
  <si>
    <t>Atchuta Rama Krishna Anirudh</t>
  </si>
  <si>
    <t>ETZPK0269M</t>
  </si>
  <si>
    <t>EVNPM7324H</t>
  </si>
  <si>
    <t>Sai kumar</t>
  </si>
  <si>
    <t>NNIPS6484N</t>
  </si>
  <si>
    <t>Danny Christopher</t>
  </si>
  <si>
    <t>BXRPS0024H</t>
  </si>
  <si>
    <t>Syamala</t>
  </si>
  <si>
    <t>COFPM7444M</t>
  </si>
  <si>
    <t>Harshini</t>
  </si>
  <si>
    <t>GJDPM2953Q</t>
  </si>
  <si>
    <t>Ramana Chitti Mounika</t>
  </si>
  <si>
    <t>PKZPS4524K</t>
  </si>
  <si>
    <t>Venkata Sainath</t>
  </si>
  <si>
    <t>BYMPG1600D</t>
  </si>
  <si>
    <t>Yemima Shankar</t>
  </si>
  <si>
    <t>KGKPS8473P</t>
  </si>
  <si>
    <t>Mohan Santhosh Sivakumar</t>
  </si>
  <si>
    <t>GEIPS6868Q</t>
  </si>
  <si>
    <t>SURYA</t>
  </si>
  <si>
    <t>OIQPS0430A</t>
  </si>
  <si>
    <t>Rajkumar</t>
  </si>
  <si>
    <t>DCRPK7518H</t>
  </si>
  <si>
    <t>Siva Prasad</t>
  </si>
  <si>
    <t>BLOPP5770Q</t>
  </si>
  <si>
    <t>Syed Mehtab</t>
  </si>
  <si>
    <t>LLQPS5410L</t>
  </si>
  <si>
    <t>Vamsi Krishna</t>
  </si>
  <si>
    <t>LGNPK0435K</t>
  </si>
  <si>
    <t>Suneetha</t>
  </si>
  <si>
    <t>ASKPV8032F</t>
  </si>
  <si>
    <t>Madhuri</t>
  </si>
  <si>
    <t>ACMPE2393N</t>
  </si>
  <si>
    <t>Prasad</t>
  </si>
  <si>
    <t>AXKPA0945K</t>
  </si>
  <si>
    <t>CBRPB5164N</t>
  </si>
  <si>
    <t>Praveen</t>
  </si>
  <si>
    <t>CLAPG4552Q</t>
  </si>
  <si>
    <t>Neelima</t>
  </si>
  <si>
    <t>LIHPS5096L</t>
  </si>
  <si>
    <t>RamaLakshmi</t>
  </si>
  <si>
    <t>EUNPP5475B</t>
  </si>
  <si>
    <t>AWUPV8352Q</t>
  </si>
  <si>
    <t>Santhosh</t>
  </si>
  <si>
    <t>ANUPY9764A</t>
  </si>
  <si>
    <t>Rama Krishna</t>
  </si>
  <si>
    <t>DBCPP4126G</t>
  </si>
  <si>
    <t>Sravani Swetha</t>
  </si>
  <si>
    <t>PJHPS0308Q</t>
  </si>
  <si>
    <t>Satya Sai Santosh Kumar</t>
  </si>
  <si>
    <t>BTTPK0753P</t>
  </si>
  <si>
    <t>Pavan Kumar</t>
  </si>
  <si>
    <t>KFBPK0810L</t>
  </si>
  <si>
    <t>Venkatesh</t>
  </si>
  <si>
    <t>AXWPT4127C</t>
  </si>
  <si>
    <t>Nandini</t>
  </si>
  <si>
    <t>EYUPB6555B</t>
  </si>
  <si>
    <t>Keerthi Pravalika</t>
  </si>
  <si>
    <t>NCJPK3054E</t>
  </si>
  <si>
    <t>Tilak</t>
  </si>
  <si>
    <t>IKUPS0404L</t>
  </si>
  <si>
    <t>Sonia</t>
  </si>
  <si>
    <t>KUHPS7142N</t>
  </si>
  <si>
    <t>Sateesh</t>
  </si>
  <si>
    <t>BSOPB4674G</t>
  </si>
  <si>
    <t>Tejaswini</t>
  </si>
  <si>
    <t>IT Recruiter</t>
  </si>
  <si>
    <t>EOVPP2286C</t>
  </si>
  <si>
    <t>Venkateshwar</t>
  </si>
  <si>
    <t>BCBPA3193G</t>
  </si>
  <si>
    <t>Vamsi</t>
  </si>
  <si>
    <t>BJFPR4395Q</t>
  </si>
  <si>
    <t>Shiva</t>
  </si>
  <si>
    <t>AVSPL3871F</t>
  </si>
  <si>
    <t>Hemanth</t>
  </si>
  <si>
    <t>EPKPB6892E</t>
  </si>
  <si>
    <t>Shashank</t>
  </si>
  <si>
    <t>BAVPJ1274P</t>
  </si>
  <si>
    <t>Haritha</t>
  </si>
  <si>
    <t>Sr Process Associate</t>
  </si>
  <si>
    <t>BKLPC9058C</t>
  </si>
  <si>
    <t>Suresh</t>
  </si>
  <si>
    <t>Team Manager</t>
  </si>
  <si>
    <t>BYWPB3765Q</t>
  </si>
  <si>
    <t>Prameela</t>
  </si>
  <si>
    <t>FMTPP0734E</t>
  </si>
  <si>
    <t>Aman</t>
  </si>
  <si>
    <t>AWOPT1361R</t>
  </si>
  <si>
    <t>Recruitment</t>
  </si>
  <si>
    <t>Karthikeya</t>
  </si>
  <si>
    <t>ECOPS6087M</t>
  </si>
  <si>
    <t>Pradeep</t>
  </si>
  <si>
    <t>Accounts Manager</t>
  </si>
  <si>
    <t>AXHPV0200F</t>
  </si>
  <si>
    <t>Jaswanth</t>
  </si>
  <si>
    <t>KHSPK6896R</t>
  </si>
  <si>
    <t>Noorjahan</t>
  </si>
  <si>
    <t>CLZPJ9099Q</t>
  </si>
  <si>
    <t>Devika</t>
  </si>
  <si>
    <t>HJKPD1136A</t>
  </si>
  <si>
    <t>Lakshmi Tulasi</t>
  </si>
  <si>
    <t>CGOPT5097G</t>
  </si>
  <si>
    <t>Shikher</t>
  </si>
  <si>
    <t>BBEPJ0631C</t>
  </si>
  <si>
    <t>Karuna kumari</t>
  </si>
  <si>
    <t>EDOPA6243Q</t>
  </si>
  <si>
    <t>Uday Kumar</t>
  </si>
  <si>
    <t>DLCPR2777F</t>
  </si>
  <si>
    <t>Mohan Vamshi Krishna</t>
  </si>
  <si>
    <t>JVLPK6253A</t>
  </si>
  <si>
    <t>Vamsikrishna Sumanth</t>
  </si>
  <si>
    <t>BNQPD7578E</t>
  </si>
  <si>
    <t>Ajay</t>
  </si>
  <si>
    <t>EZSPM8187H</t>
  </si>
  <si>
    <t>Parimala</t>
  </si>
  <si>
    <t>Bench Sales Recruiter</t>
  </si>
  <si>
    <t>IBRPP5283C</t>
  </si>
  <si>
    <t>Karuna</t>
  </si>
  <si>
    <t>EZOPM0869Q</t>
  </si>
  <si>
    <t>FAKPS3712J</t>
  </si>
  <si>
    <t>Sarika</t>
  </si>
  <si>
    <t>BDRPC3197F</t>
  </si>
  <si>
    <t>Sravan</t>
  </si>
  <si>
    <t>BZFPP4188K</t>
  </si>
  <si>
    <t>BNYPA0241H</t>
  </si>
  <si>
    <t>Santoshi</t>
  </si>
  <si>
    <t>HLMPM0606B</t>
  </si>
  <si>
    <t>Adiseshakumari</t>
  </si>
  <si>
    <t>BFTPG9799F</t>
  </si>
  <si>
    <t>Narayana</t>
  </si>
  <si>
    <t>Sr.Mendix Developer</t>
  </si>
  <si>
    <t>AUBPP9171G</t>
  </si>
  <si>
    <t>Venkata Ramana</t>
  </si>
  <si>
    <t>CFHPM9416E</t>
  </si>
  <si>
    <t>Dhanahari Kumar</t>
  </si>
  <si>
    <t>AEQPU1319G</t>
  </si>
  <si>
    <t>Siva Kumar</t>
  </si>
  <si>
    <t>CWLPP6001R</t>
  </si>
  <si>
    <t>BNTPM9524L</t>
  </si>
  <si>
    <t>Aasif</t>
  </si>
  <si>
    <t>AZVPJ1597K</t>
  </si>
  <si>
    <t>IATPK6107F</t>
  </si>
  <si>
    <t>Sravya</t>
  </si>
  <si>
    <t>PQZPS2119Q</t>
  </si>
  <si>
    <t>Kamireddy Suresh</t>
  </si>
  <si>
    <t>BJJPR4033F</t>
  </si>
  <si>
    <t>ELAPK4583H</t>
  </si>
  <si>
    <t>Srinivas</t>
  </si>
  <si>
    <t>AXYPP9211F</t>
  </si>
  <si>
    <t>Durga Nagendra Kumar</t>
  </si>
  <si>
    <t>KRAPK1531F</t>
  </si>
  <si>
    <t>Ashritha Reddy</t>
  </si>
  <si>
    <t>ETUPA8045J</t>
  </si>
  <si>
    <t>Justin</t>
  </si>
  <si>
    <t>BIUPJ6753J</t>
  </si>
  <si>
    <t>Vidya Sagar</t>
  </si>
  <si>
    <t>BIYPR7493F</t>
  </si>
  <si>
    <t>Ganesh Lova</t>
  </si>
  <si>
    <t>AQAPV0847L</t>
  </si>
  <si>
    <t>CNDPB1521K</t>
  </si>
  <si>
    <t>CAKPK8241F</t>
  </si>
  <si>
    <t>Dharani</t>
  </si>
  <si>
    <t>KNRPK4817B</t>
  </si>
  <si>
    <t>Gopala Krishna</t>
  </si>
  <si>
    <t>AGDPV1746R</t>
  </si>
  <si>
    <t>CJPPP3140L</t>
  </si>
  <si>
    <t>Keerthi</t>
  </si>
  <si>
    <t>Recruiter</t>
  </si>
  <si>
    <t>IQCPK9705E</t>
  </si>
  <si>
    <t>Durga Mahesh</t>
  </si>
  <si>
    <t>ACZPI9800R</t>
  </si>
  <si>
    <t>Saathwik</t>
  </si>
  <si>
    <t>AOJPL6591A</t>
  </si>
  <si>
    <t>Dharani Sai</t>
  </si>
  <si>
    <t>SDFPS3684N</t>
  </si>
  <si>
    <t>Priyankaa</t>
  </si>
  <si>
    <t>CRAPC4842H</t>
  </si>
  <si>
    <t>Navya sree</t>
  </si>
  <si>
    <t>LWLPK4019B</t>
  </si>
  <si>
    <t>Test</t>
  </si>
  <si>
    <t>Vishwateja</t>
  </si>
  <si>
    <t>CMRPV2025D</t>
  </si>
  <si>
    <t>Swetha</t>
  </si>
  <si>
    <t>DIFPA6817K</t>
  </si>
  <si>
    <t>DZNPB9752F</t>
  </si>
  <si>
    <t>Kornu</t>
  </si>
  <si>
    <t>HGUPK7698B</t>
  </si>
  <si>
    <t>ETGPD9795C</t>
  </si>
  <si>
    <t>Jonathan</t>
  </si>
  <si>
    <t>BVXPC8403N</t>
  </si>
  <si>
    <t>Sampath</t>
  </si>
  <si>
    <t>BEMPG2442F</t>
  </si>
  <si>
    <t>GDIPK5234H</t>
  </si>
  <si>
    <t>Shaik Nikhat</t>
  </si>
  <si>
    <t>CRHPP8785K</t>
  </si>
  <si>
    <t>Poluparthi</t>
  </si>
  <si>
    <t>CSRPP5717Q</t>
  </si>
  <si>
    <t>Lakshman</t>
  </si>
  <si>
    <t>BWHPG1378R</t>
  </si>
  <si>
    <t>Bharat</t>
  </si>
  <si>
    <t>DASPP5568M</t>
  </si>
  <si>
    <t>Sundar</t>
  </si>
  <si>
    <t>Priya</t>
  </si>
  <si>
    <t>EYQPK8626E</t>
  </si>
  <si>
    <t>SagarRaju</t>
  </si>
  <si>
    <t>Assistant Vice President - Recruitment Services</t>
  </si>
  <si>
    <t>ATVPG3408J</t>
  </si>
  <si>
    <t>BVTPG5340Q</t>
  </si>
  <si>
    <t>Pooja</t>
  </si>
  <si>
    <t>LFGPS6988M</t>
  </si>
  <si>
    <t>Prem</t>
  </si>
  <si>
    <t>EHQPD2922D</t>
  </si>
  <si>
    <t>Gayatri</t>
  </si>
  <si>
    <t>BDBPJ1903N</t>
  </si>
  <si>
    <t>Satish</t>
  </si>
  <si>
    <t>KPBPS8514F</t>
  </si>
  <si>
    <t xml:space="preserve">Bipul </t>
  </si>
  <si>
    <t>JXBPS7520E</t>
  </si>
  <si>
    <t xml:space="preserve">Uma Sai Sankar </t>
  </si>
  <si>
    <t>JYWPK9240R</t>
  </si>
  <si>
    <t>Mohsina</t>
  </si>
  <si>
    <t>Client Relationship Manager</t>
  </si>
  <si>
    <t>EVDPB0160G</t>
  </si>
  <si>
    <t>Venkata</t>
  </si>
  <si>
    <t>BQOPB9834L</t>
  </si>
  <si>
    <t>MD</t>
  </si>
  <si>
    <t>BQKPA8068F</t>
  </si>
  <si>
    <t>Mohit</t>
  </si>
  <si>
    <t>CWCPR5373M</t>
  </si>
  <si>
    <t>Kwaja Noor</t>
  </si>
  <si>
    <t>Ashwin</t>
  </si>
  <si>
    <t>CXAPA3531P</t>
  </si>
  <si>
    <t>Thanushree</t>
  </si>
  <si>
    <t>Senior IT Sales</t>
  </si>
  <si>
    <t>APTPT0872K</t>
  </si>
  <si>
    <t>CPLPM0432G</t>
  </si>
  <si>
    <t>Rayyan</t>
  </si>
  <si>
    <t>Research Analyst</t>
  </si>
  <si>
    <t>GZMPK3388G</t>
  </si>
  <si>
    <t>Sandhya</t>
  </si>
  <si>
    <t>EBZPS5295D</t>
  </si>
  <si>
    <t>Christopher</t>
  </si>
  <si>
    <t>Driver</t>
  </si>
  <si>
    <t>Operations</t>
  </si>
  <si>
    <t>Asha</t>
  </si>
  <si>
    <t>BVLPR8414A</t>
  </si>
  <si>
    <t>Aruna</t>
  </si>
  <si>
    <t>JNZPK1257A</t>
  </si>
  <si>
    <t>Venu Gopal</t>
  </si>
  <si>
    <t>Technical Project Manager</t>
  </si>
  <si>
    <t>AKOPN3863A</t>
  </si>
  <si>
    <t>Nagireddy</t>
  </si>
  <si>
    <t>BBPPN2148P</t>
  </si>
  <si>
    <t>GTZPB2086R</t>
  </si>
  <si>
    <t>EZPPB0061N</t>
  </si>
  <si>
    <t>FNQPD0786Q</t>
  </si>
  <si>
    <t>Rakesh</t>
  </si>
  <si>
    <t>NTFPS5081C</t>
  </si>
  <si>
    <t>Durga Sai</t>
  </si>
  <si>
    <t>DAFPM6926K</t>
  </si>
  <si>
    <t>Krishna</t>
  </si>
  <si>
    <t>KLOPK1512C</t>
  </si>
  <si>
    <t>Sai Lokesh</t>
  </si>
  <si>
    <t>LWYPS5579K</t>
  </si>
  <si>
    <t>Advait</t>
  </si>
  <si>
    <t>CVWPA4480P</t>
  </si>
  <si>
    <t>Uma Maheswara rao</t>
  </si>
  <si>
    <t>HVPPK5417J</t>
  </si>
  <si>
    <t>Venkata Satya Madhu</t>
  </si>
  <si>
    <t>BVJPC4728A</t>
  </si>
  <si>
    <t>Nehal Chakaravarthy</t>
  </si>
  <si>
    <t>DIYPA6033E</t>
  </si>
  <si>
    <t>Gurram</t>
  </si>
  <si>
    <t>BWDPV6542G</t>
  </si>
  <si>
    <t xml:space="preserve">Vamsi </t>
  </si>
  <si>
    <t>ERUPB5445K</t>
  </si>
  <si>
    <t>Anand</t>
  </si>
  <si>
    <t>KCYPS0692N</t>
  </si>
  <si>
    <t>Madhuri Kumari</t>
  </si>
  <si>
    <t>OKOPS3309Q</t>
  </si>
  <si>
    <t>Navin Kumar</t>
  </si>
  <si>
    <t>GARPM1472D</t>
  </si>
  <si>
    <t>Leela Avinash</t>
  </si>
  <si>
    <t>DLCPA5612Q</t>
  </si>
  <si>
    <t>Likitha</t>
  </si>
  <si>
    <t>AXVPN4494Q</t>
  </si>
  <si>
    <t>Ramesh</t>
  </si>
  <si>
    <t>BYZPB9093A</t>
  </si>
  <si>
    <t>Uday Bhargav</t>
  </si>
  <si>
    <t>BWCPV9823M</t>
  </si>
  <si>
    <t>Yeshwanth Kumar</t>
  </si>
  <si>
    <t>DZXPP2314D</t>
  </si>
  <si>
    <t xml:space="preserve">Bhavani Shanthi </t>
  </si>
  <si>
    <t>BKHPB3492D</t>
  </si>
  <si>
    <t>Sivasankra Vara Prasad</t>
  </si>
  <si>
    <t>BDUPM3159C</t>
  </si>
  <si>
    <t xml:space="preserve">Mittu </t>
  </si>
  <si>
    <t>BDIPM3159C</t>
  </si>
  <si>
    <t>DHARANI</t>
  </si>
  <si>
    <t>DYAPB8141N</t>
  </si>
  <si>
    <t>Yerribabu</t>
  </si>
  <si>
    <t>BHMPY0968D</t>
  </si>
  <si>
    <t>Sankara Rao</t>
  </si>
  <si>
    <t>BOBPB7952N</t>
  </si>
  <si>
    <t>Pramodh Kumar</t>
  </si>
  <si>
    <t>ELAPK4582G</t>
  </si>
  <si>
    <t>Chaitanya Varma</t>
  </si>
  <si>
    <t>BLRPA3534Q</t>
  </si>
  <si>
    <t>Tirumala</t>
  </si>
  <si>
    <t>BERPM3019P</t>
  </si>
  <si>
    <t>Gandikota</t>
  </si>
  <si>
    <t>HR Recruiter</t>
  </si>
  <si>
    <t>AVRPG7131Q</t>
  </si>
  <si>
    <t>Madireddy</t>
  </si>
  <si>
    <t>KQPPK4494B</t>
  </si>
  <si>
    <t>Rajesh</t>
  </si>
  <si>
    <t>DLLPR8274L</t>
  </si>
  <si>
    <t>Hosyar</t>
  </si>
  <si>
    <t>AVPPL6384A</t>
  </si>
  <si>
    <t>EQHPP2965J</t>
  </si>
  <si>
    <t>Lekha Sree</t>
  </si>
  <si>
    <t>ATUPJ6571E</t>
  </si>
  <si>
    <t>Sayed Salma Sultana</t>
  </si>
  <si>
    <t>ELGPS7873J</t>
  </si>
  <si>
    <t>Daisy</t>
  </si>
  <si>
    <t>HHEPD4166A</t>
  </si>
  <si>
    <t>Prashanth Varma</t>
  </si>
  <si>
    <t>DREPS6894E</t>
  </si>
  <si>
    <t>Manne</t>
  </si>
  <si>
    <t>CNGPM8149D</t>
  </si>
  <si>
    <t>Sandeep</t>
  </si>
  <si>
    <t>BHQPM5938P</t>
  </si>
  <si>
    <t>Bhavana</t>
  </si>
  <si>
    <t>EOPPP7322H</t>
  </si>
  <si>
    <t>Adhitya Vamsi Phanidhar</t>
  </si>
  <si>
    <t>AOBPR7388M</t>
  </si>
  <si>
    <t>Neelesh kumar</t>
  </si>
  <si>
    <t>LVNPK2150G</t>
  </si>
  <si>
    <t>Sai Sirisha</t>
  </si>
  <si>
    <t>AXUPN4494Q</t>
  </si>
  <si>
    <t>Dadi</t>
  </si>
  <si>
    <t>Anil</t>
  </si>
  <si>
    <t>Anusha</t>
  </si>
  <si>
    <t>Chaitanya</t>
  </si>
  <si>
    <t>Ravi Raj</t>
  </si>
  <si>
    <t>Renuka</t>
  </si>
  <si>
    <t>Jhanvi</t>
  </si>
  <si>
    <t>Mohana</t>
  </si>
  <si>
    <t>Dasari</t>
  </si>
  <si>
    <t>PENIEL</t>
  </si>
  <si>
    <t>AYEPM7791G</t>
  </si>
  <si>
    <t>Hanisha</t>
  </si>
  <si>
    <t>Yogesh</t>
  </si>
  <si>
    <t>CAIPD3877L</t>
  </si>
  <si>
    <t>Emmanuel</t>
  </si>
  <si>
    <t>DSEPK7418D</t>
  </si>
  <si>
    <t>Prithvi</t>
  </si>
  <si>
    <t>FMKPP8287D</t>
  </si>
  <si>
    <t>Hrishikesh</t>
  </si>
  <si>
    <t>J.LALIT</t>
  </si>
  <si>
    <t>Ravi Teja</t>
  </si>
  <si>
    <t>EZCPB4214E</t>
  </si>
  <si>
    <t>EDZPK3372R</t>
  </si>
  <si>
    <t>Uma Shanakar</t>
  </si>
  <si>
    <t>CYAPA5831P</t>
  </si>
  <si>
    <t>Vineetha Sri</t>
  </si>
  <si>
    <t>GOYPD5024K</t>
  </si>
  <si>
    <t>Sridhar</t>
  </si>
  <si>
    <t>EGGPR2359R</t>
  </si>
  <si>
    <t>GZLPM1417D</t>
  </si>
  <si>
    <t>Srividya</t>
  </si>
  <si>
    <t>MIIPS2346M</t>
  </si>
  <si>
    <t>Hemalatha</t>
  </si>
  <si>
    <t>BPCPA9143N</t>
  </si>
  <si>
    <t>BRHPT0848L</t>
  </si>
  <si>
    <t>Mrityunjay</t>
  </si>
  <si>
    <t>AQEPM4034A</t>
  </si>
  <si>
    <t>Hemanth Kumar</t>
  </si>
  <si>
    <t>JKDPK2673F</t>
  </si>
  <si>
    <t>Ramya Sri</t>
  </si>
  <si>
    <t>BPIPV9982A</t>
  </si>
  <si>
    <t>Saqlain</t>
  </si>
  <si>
    <t>CCMPA1965J</t>
  </si>
  <si>
    <t>Santosh L Narayana</t>
  </si>
  <si>
    <t>Shivarama Krishna</t>
  </si>
  <si>
    <t>FZVPD9003D</t>
  </si>
  <si>
    <t>Naveen</t>
  </si>
  <si>
    <t>AJBPI9504K</t>
  </si>
  <si>
    <t>Kodela</t>
  </si>
  <si>
    <t>OMXPS7153H</t>
  </si>
  <si>
    <t>Srihitha Varma</t>
  </si>
  <si>
    <t>SQXPS4548Q</t>
  </si>
  <si>
    <t>Sai Charan</t>
  </si>
  <si>
    <t>CILPC1692P</t>
  </si>
  <si>
    <t>Gnana Priyanjali</t>
  </si>
  <si>
    <t>EFWPA5592E</t>
  </si>
  <si>
    <t>GANESH</t>
  </si>
  <si>
    <t>DHPPG9270P</t>
  </si>
  <si>
    <t>Vasanthi</t>
  </si>
  <si>
    <t>CJNPV3357F</t>
  </si>
  <si>
    <t xml:space="preserve"> Roshini</t>
  </si>
  <si>
    <t>GFXPR1196L</t>
  </si>
  <si>
    <t>Urmila</t>
  </si>
  <si>
    <t>AQSPU2544B</t>
  </si>
  <si>
    <t>Uchitha</t>
  </si>
  <si>
    <t>SNEPS7668D</t>
  </si>
  <si>
    <t>Deepshika</t>
  </si>
  <si>
    <t>HCUPD3880C</t>
  </si>
  <si>
    <t>kappari</t>
  </si>
  <si>
    <t>EZSPK3433M</t>
  </si>
  <si>
    <t>Supriya</t>
  </si>
  <si>
    <t>EDRPS6602G</t>
  </si>
  <si>
    <t>Harish Kumar</t>
  </si>
  <si>
    <t>EJSPB8818L</t>
  </si>
  <si>
    <t>Nallabelli</t>
  </si>
  <si>
    <t>LIOPS6867G</t>
  </si>
  <si>
    <t>Laxmi</t>
  </si>
  <si>
    <t>HDBPK9547P</t>
  </si>
  <si>
    <t>Mohd</t>
  </si>
  <si>
    <t>HZMPS4976R</t>
  </si>
  <si>
    <t>Siva Chaitanya</t>
  </si>
  <si>
    <t>ECWPG7245B</t>
  </si>
  <si>
    <t>Govardhan Reddy</t>
  </si>
  <si>
    <t>CHMPR3321N</t>
  </si>
  <si>
    <t>ETVPB0150A</t>
  </si>
  <si>
    <t>Muneeruddin</t>
  </si>
  <si>
    <t>BJNPM6832P</t>
  </si>
  <si>
    <t xml:space="preserve">Rukmini </t>
  </si>
  <si>
    <t>BNXPV1349A</t>
  </si>
  <si>
    <t>Preeti</t>
  </si>
  <si>
    <t>NSSPS6187M</t>
  </si>
  <si>
    <t xml:space="preserve">ADITYA </t>
  </si>
  <si>
    <t>BYHPA6165N</t>
  </si>
  <si>
    <t>Manohar</t>
  </si>
  <si>
    <t>Sathvika</t>
  </si>
  <si>
    <t>OEZPS6292P</t>
  </si>
  <si>
    <t>FHDPB3831B</t>
  </si>
  <si>
    <t xml:space="preserve"> Naveena </t>
  </si>
  <si>
    <t>CHKPR5866E</t>
  </si>
  <si>
    <t xml:space="preserve">Sukanya </t>
  </si>
  <si>
    <t>MUEPS1449D</t>
  </si>
  <si>
    <t>V L S B Likhitha</t>
  </si>
  <si>
    <t>BGCPL2452A</t>
  </si>
  <si>
    <t>Ganesh</t>
  </si>
  <si>
    <t>DMCPA1958Q</t>
  </si>
  <si>
    <t>Dilleswar Rao</t>
  </si>
  <si>
    <t>FWXPR6711M</t>
  </si>
  <si>
    <t>EBOPA8809L</t>
  </si>
  <si>
    <t>Ramesh Naidu</t>
  </si>
  <si>
    <t>CHJPN2756G</t>
  </si>
  <si>
    <t>Sekhar</t>
  </si>
  <si>
    <t>CJNPD1983K</t>
  </si>
  <si>
    <t>Lakshmi Sravanthi</t>
  </si>
  <si>
    <t>RIWPS1822M</t>
  </si>
  <si>
    <t>Noorul Akber</t>
  </si>
  <si>
    <t>BRBPN0688J</t>
  </si>
  <si>
    <t>Viswanatha</t>
  </si>
  <si>
    <t>Vice President Delivery Technology</t>
  </si>
  <si>
    <t>ACOPK0673R</t>
  </si>
  <si>
    <t>PAVAN YASHA SREE</t>
  </si>
  <si>
    <t>HEXPP8981K</t>
  </si>
  <si>
    <t>Nideesh Kumar</t>
  </si>
  <si>
    <t>GNIPK9380L</t>
  </si>
  <si>
    <t>Vaishnavi</t>
  </si>
  <si>
    <t>CNHPJ7180E</t>
  </si>
  <si>
    <t>Navya</t>
  </si>
  <si>
    <t>CTXPN1958E</t>
  </si>
  <si>
    <t>Mouli Deepak</t>
  </si>
  <si>
    <t>JOIPK3282K</t>
  </si>
  <si>
    <t>Ujval Prem</t>
  </si>
  <si>
    <t>IGVPP4167A</t>
  </si>
  <si>
    <t>Srinu</t>
  </si>
  <si>
    <t>DOJPM9094E</t>
  </si>
  <si>
    <t>Sampath Kumar Raja</t>
  </si>
  <si>
    <t>CFSPG6333K</t>
  </si>
  <si>
    <t xml:space="preserve">Harsh </t>
  </si>
  <si>
    <t>CJIPJ3209B</t>
  </si>
  <si>
    <t>Satish kumar</t>
  </si>
  <si>
    <t>KYBPK3593M</t>
  </si>
  <si>
    <t>Prasanthi</t>
  </si>
  <si>
    <t>Vice President ,Practices</t>
  </si>
  <si>
    <t>ARKPK8246K</t>
  </si>
  <si>
    <t>Kolusu</t>
  </si>
  <si>
    <t>HQCPK1539K</t>
  </si>
  <si>
    <t>Velpuri</t>
  </si>
  <si>
    <t>BMVPA4862Q</t>
  </si>
  <si>
    <t>Janardhana</t>
  </si>
  <si>
    <t>Supervisor</t>
  </si>
  <si>
    <t>ASKPJ1581H</t>
  </si>
  <si>
    <t>CWSPA2224G</t>
  </si>
  <si>
    <t>ALI ASGHAR</t>
  </si>
  <si>
    <t>JEEPK7617L</t>
  </si>
  <si>
    <t>Satyagopal</t>
  </si>
  <si>
    <t>DQKPD0833B</t>
  </si>
  <si>
    <t>Vadrevu</t>
  </si>
  <si>
    <t>BIKPV7585C</t>
  </si>
  <si>
    <t>Vijaya Durga Mani Deepika</t>
  </si>
  <si>
    <t>HGXPS4386D</t>
  </si>
  <si>
    <t>Gajulapeta</t>
  </si>
  <si>
    <t>GFCPP1701L</t>
  </si>
  <si>
    <t>BGVPL1393R</t>
  </si>
  <si>
    <t>Venkata Satya Saikumar</t>
  </si>
  <si>
    <t>Sr. QA Engineer</t>
  </si>
  <si>
    <t>CTFPD2306G</t>
  </si>
  <si>
    <t>Mamatha</t>
  </si>
  <si>
    <t>BOQPV3547E</t>
  </si>
  <si>
    <t>Gusidi</t>
  </si>
  <si>
    <t>BJRPG6065J</t>
  </si>
  <si>
    <t>Ruhlika</t>
  </si>
  <si>
    <t>FEOPR8621P</t>
  </si>
  <si>
    <t>BWDPA1790D</t>
  </si>
  <si>
    <t>Ismail</t>
  </si>
  <si>
    <t>CUYPM2027D</t>
  </si>
  <si>
    <t>Shaik</t>
  </si>
  <si>
    <t>DWYPA7699A</t>
  </si>
  <si>
    <t>Shweta</t>
  </si>
  <si>
    <t>Talent Acquisition Specialist</t>
  </si>
  <si>
    <t>FJIPK8143N</t>
  </si>
  <si>
    <t>Hemlata</t>
  </si>
  <si>
    <t>CGBPC5266M</t>
  </si>
  <si>
    <t>ECLPP1572F</t>
  </si>
  <si>
    <t>Yuva</t>
  </si>
  <si>
    <t>LECPK8611L</t>
  </si>
  <si>
    <t>Vanapilli Lakshmi</t>
  </si>
  <si>
    <t>Raveendra</t>
  </si>
  <si>
    <t>ENMPP9941L</t>
  </si>
  <si>
    <t>Sr Program Manager</t>
  </si>
  <si>
    <t>AQYPN4451A</t>
  </si>
  <si>
    <t>Rajitha</t>
  </si>
  <si>
    <t>DNBPM4891N</t>
  </si>
  <si>
    <t>Rinku</t>
  </si>
  <si>
    <t>CERPB9261H</t>
  </si>
  <si>
    <t>Nagala</t>
  </si>
  <si>
    <t>BARPN6150J</t>
  </si>
  <si>
    <t>Bhupathiraju</t>
  </si>
  <si>
    <t>BGFPB4050D</t>
  </si>
  <si>
    <t>Srikanth</t>
  </si>
  <si>
    <t>ARBPC4421H</t>
  </si>
  <si>
    <t>Lakshmi</t>
  </si>
  <si>
    <t>GQUPP8174A</t>
  </si>
  <si>
    <t>Metta</t>
  </si>
  <si>
    <t>FNYPM8195N</t>
  </si>
  <si>
    <t xml:space="preserve">Ravindra Kumar </t>
  </si>
  <si>
    <t>JILPK4096Q</t>
  </si>
  <si>
    <t>Hari Sai Manikanta Varaprasad</t>
  </si>
  <si>
    <t>FQUPP7720P</t>
  </si>
  <si>
    <t xml:space="preserve">Mudassir </t>
  </si>
  <si>
    <t>EUPPM7714G</t>
  </si>
  <si>
    <t>Venkata Nandini Shivani Pratyusha</t>
  </si>
  <si>
    <t>Talent Acquisition Executive</t>
  </si>
  <si>
    <t>GMGPP0319R</t>
  </si>
  <si>
    <t>Sai Kumar</t>
  </si>
  <si>
    <t>CVZPA6716K</t>
  </si>
  <si>
    <t>CJDPP3156L</t>
  </si>
  <si>
    <t>Mitrajit</t>
  </si>
  <si>
    <t>BIMPC4341P</t>
  </si>
  <si>
    <t>Kantimahanthi</t>
  </si>
  <si>
    <t>Senior HR Recruiter</t>
  </si>
  <si>
    <t>CJKPK7422D</t>
  </si>
  <si>
    <t>LNIPS2097H</t>
  </si>
  <si>
    <t>Tejasri</t>
  </si>
  <si>
    <t>MXLPS2282J</t>
  </si>
  <si>
    <t>Karri</t>
  </si>
  <si>
    <t>HPSPK6992D</t>
  </si>
  <si>
    <t>Ganta</t>
  </si>
  <si>
    <t>CELPV2847D</t>
  </si>
  <si>
    <t>Venkata Sai</t>
  </si>
  <si>
    <t>ALQPU6252P</t>
  </si>
  <si>
    <t>IQVPK8988N</t>
  </si>
  <si>
    <t>LAXPS3323J</t>
  </si>
  <si>
    <t>Jaya Sree</t>
  </si>
  <si>
    <t>CIMPC3605F</t>
  </si>
  <si>
    <t xml:space="preserve">Abdul </t>
  </si>
  <si>
    <t>RAHPS8614C</t>
  </si>
  <si>
    <t>Joseph</t>
  </si>
  <si>
    <t>CKQPJ7199K</t>
  </si>
  <si>
    <t>Sirala</t>
  </si>
  <si>
    <t>GZQPK2358G</t>
  </si>
  <si>
    <t>Sai Nandan</t>
  </si>
  <si>
    <t>CVGPC8971B</t>
  </si>
  <si>
    <t>Ajay Ramanandam</t>
  </si>
  <si>
    <t>FNIPA3888L</t>
  </si>
  <si>
    <t>EQGPB5266R</t>
  </si>
  <si>
    <t>FBFPR3559Q</t>
  </si>
  <si>
    <t>Siddharth Yadav</t>
  </si>
  <si>
    <t>BIWPY5248M</t>
  </si>
  <si>
    <t>Vijayaratnam</t>
  </si>
  <si>
    <t>CHTPV4039G</t>
  </si>
  <si>
    <t>Kesav Kousal</t>
  </si>
  <si>
    <t>ANLPY4823D</t>
  </si>
  <si>
    <t>Jaya Chandrika</t>
  </si>
  <si>
    <t>DNUPG9232A</t>
  </si>
  <si>
    <t>Srinivasu</t>
  </si>
  <si>
    <t>CLDPG0603B</t>
  </si>
  <si>
    <t>Navya Laxmi</t>
  </si>
  <si>
    <t>CVIPN0167J</t>
  </si>
  <si>
    <t>BVPPM1950C</t>
  </si>
  <si>
    <t>Dilleswararao</t>
  </si>
  <si>
    <t>BMYPD9633H</t>
  </si>
  <si>
    <t>NGRPS4552R</t>
  </si>
  <si>
    <t>Grace</t>
  </si>
  <si>
    <t>BUGPV7610C</t>
  </si>
  <si>
    <t>Sulochana</t>
  </si>
  <si>
    <t>BYRPJ1994C</t>
  </si>
  <si>
    <t xml:space="preserve">Sai Viswanatha </t>
  </si>
  <si>
    <t>JMYPK5601Q</t>
  </si>
  <si>
    <t>Tejeshwar Rao</t>
  </si>
  <si>
    <t>BUMPG6150Q</t>
  </si>
  <si>
    <t>Uday</t>
  </si>
  <si>
    <t>CPQPP9521Q</t>
  </si>
  <si>
    <t>Gayathri</t>
  </si>
  <si>
    <t>Technical Consultant</t>
  </si>
  <si>
    <t>FAIPD2604A</t>
  </si>
  <si>
    <t>Hasini</t>
  </si>
  <si>
    <t>HOXPM5662G</t>
  </si>
  <si>
    <t>Gautam</t>
  </si>
  <si>
    <t>BAEPV0834J</t>
  </si>
  <si>
    <t xml:space="preserve">Uday </t>
  </si>
  <si>
    <t>BGDPY8187N</t>
  </si>
  <si>
    <t>Suresh Kumar</t>
  </si>
  <si>
    <t>BREPA4266N</t>
  </si>
  <si>
    <t>Sai Meghana</t>
  </si>
  <si>
    <t>IKWPM4341G</t>
  </si>
  <si>
    <t xml:space="preserve">Pallavi </t>
  </si>
  <si>
    <t>ELQPP3843B</t>
  </si>
  <si>
    <t>DYXPB5191M</t>
  </si>
  <si>
    <t xml:space="preserve">Mano Sai </t>
  </si>
  <si>
    <t>IHOPM9969P</t>
  </si>
  <si>
    <t>CMKPN2324Q</t>
  </si>
  <si>
    <t>Nilesh Gopal</t>
  </si>
  <si>
    <t>Saikrishna</t>
  </si>
  <si>
    <t>Vinay Kumar Goud</t>
  </si>
  <si>
    <t>GMVPK5689A</t>
  </si>
  <si>
    <t>Rahul</t>
  </si>
  <si>
    <t>Keerthana</t>
  </si>
  <si>
    <t>BNAPV4866R</t>
  </si>
  <si>
    <t>Hema</t>
  </si>
  <si>
    <t>Soujanya</t>
  </si>
  <si>
    <t>AQRPA1356L</t>
  </si>
  <si>
    <t>Prasanna</t>
  </si>
  <si>
    <t>ATEPT4433F</t>
  </si>
  <si>
    <t>Rushikesh</t>
  </si>
  <si>
    <t>Mounica</t>
  </si>
  <si>
    <t>BIJPV8436P</t>
  </si>
  <si>
    <t>Santosh Mani Sagar</t>
  </si>
  <si>
    <t>FNOPS9664E</t>
  </si>
  <si>
    <t>Praneeth</t>
  </si>
  <si>
    <t>FBPPK3639N</t>
  </si>
  <si>
    <t>Nachu</t>
  </si>
  <si>
    <t>AZZPN1483G</t>
  </si>
  <si>
    <t>Sunil</t>
  </si>
  <si>
    <t>BHKPC0749Q</t>
  </si>
  <si>
    <t>Divyasri</t>
  </si>
  <si>
    <t>HPQPD8561D</t>
  </si>
  <si>
    <t>BPWPV6131B</t>
  </si>
  <si>
    <t>Vennela</t>
  </si>
  <si>
    <t>CUZPG0168G</t>
  </si>
  <si>
    <t>Site 5- A Square</t>
  </si>
  <si>
    <t>vasupalli</t>
  </si>
  <si>
    <t>LXHPS8467C</t>
  </si>
  <si>
    <t>KRANTHI</t>
  </si>
  <si>
    <t>LDHPK9016M</t>
  </si>
  <si>
    <t>PRASAD</t>
  </si>
  <si>
    <t>FWCPP5929L</t>
  </si>
  <si>
    <t>COFPP5476J</t>
  </si>
  <si>
    <t>Swaroop</t>
  </si>
  <si>
    <t>BXEPG9549N</t>
  </si>
  <si>
    <t>NARASINGA RAO</t>
  </si>
  <si>
    <t>ADPPE2102D</t>
  </si>
  <si>
    <t>LSBPK6334H</t>
  </si>
  <si>
    <t>DIVYA</t>
  </si>
  <si>
    <t>CHDPV1663G</t>
  </si>
  <si>
    <t>Ravi</t>
  </si>
  <si>
    <t>FTCPR8587P</t>
  </si>
  <si>
    <t>Shabana</t>
  </si>
  <si>
    <t>CBFPM4225B</t>
  </si>
  <si>
    <t>GXJPM6093M</t>
  </si>
  <si>
    <t>BXMPV7256B</t>
  </si>
  <si>
    <t>Murthy</t>
  </si>
  <si>
    <t>BKIPG1029E</t>
  </si>
  <si>
    <t>Nagaraju</t>
  </si>
  <si>
    <t>CDHPG8942B</t>
  </si>
  <si>
    <t>Lakshmikanth</t>
  </si>
  <si>
    <t>LGHPS1980D</t>
  </si>
  <si>
    <t>HKXPM4049F</t>
  </si>
  <si>
    <t>Devendra</t>
  </si>
  <si>
    <t>GLHPD7731M</t>
  </si>
  <si>
    <t>V S S N Prasanth</t>
  </si>
  <si>
    <t>HLRPP1989N</t>
  </si>
  <si>
    <t>Arun Kumar</t>
  </si>
  <si>
    <t>DCXPA3533E</t>
  </si>
  <si>
    <t>EDFPG0059H</t>
  </si>
  <si>
    <t>Kesava Sadhana Kalyan</t>
  </si>
  <si>
    <t>FWDPD9716C</t>
  </si>
  <si>
    <t>Likhitha</t>
  </si>
  <si>
    <t>BKBPL6606H</t>
  </si>
  <si>
    <t>Matavalam</t>
  </si>
  <si>
    <t>EBAPM1953D</t>
  </si>
  <si>
    <t>Himanshu</t>
  </si>
  <si>
    <t>CDQPC8357R</t>
  </si>
  <si>
    <t>Siddotam Husna</t>
  </si>
  <si>
    <t>DKEPM9552G</t>
  </si>
  <si>
    <t>AXVPV7887L</t>
  </si>
  <si>
    <t>uma</t>
  </si>
  <si>
    <t>AMOPU3142M</t>
  </si>
  <si>
    <t>Swathi</t>
  </si>
  <si>
    <t>DZBPK6090P</t>
  </si>
  <si>
    <t>Priyanka</t>
  </si>
  <si>
    <t>Training Co-ordinator</t>
  </si>
  <si>
    <t>CZHPP4120L</t>
  </si>
  <si>
    <t>Training</t>
  </si>
  <si>
    <t>NKPBS8639M</t>
  </si>
  <si>
    <t>Revathi</t>
  </si>
  <si>
    <t>ATLPL4316Q</t>
  </si>
  <si>
    <t>Mohan Krishna</t>
  </si>
  <si>
    <t>CAKPB5412K</t>
  </si>
  <si>
    <t>Kantamsetti</t>
  </si>
  <si>
    <t>IIQPK9262J</t>
  </si>
  <si>
    <t>Varsha</t>
  </si>
  <si>
    <t>COKPV4708J</t>
  </si>
  <si>
    <t>Nandan</t>
  </si>
  <si>
    <t>BHMPT0901P</t>
  </si>
  <si>
    <t>Siva</t>
  </si>
  <si>
    <t>QEBPS5728N</t>
  </si>
  <si>
    <t>Khathmica</t>
  </si>
  <si>
    <t>MDVPK7934B</t>
  </si>
  <si>
    <t>Srishanmukhi</t>
  </si>
  <si>
    <t>HLMPD1414H</t>
  </si>
  <si>
    <t>EVHPP8042P</t>
  </si>
  <si>
    <t>BTVPG9937R</t>
  </si>
  <si>
    <t>Rama Devi</t>
  </si>
  <si>
    <t>HGRPD2237J</t>
  </si>
  <si>
    <t>Iswarya Lalitha</t>
  </si>
  <si>
    <t>CDNPN7971B</t>
  </si>
  <si>
    <t xml:space="preserve">Susmitha Apoorva </t>
  </si>
  <si>
    <t xml:space="preserve"> Sahithya</t>
  </si>
  <si>
    <t>AFYPE8278F</t>
  </si>
  <si>
    <t>Mai Moona</t>
  </si>
  <si>
    <t>AJXPF9161F</t>
  </si>
  <si>
    <t xml:space="preserve">Kirthi Priya </t>
  </si>
  <si>
    <t>Sales Manager</t>
  </si>
  <si>
    <t>Venu Polamma</t>
  </si>
  <si>
    <t>CFGPN1973Q</t>
  </si>
  <si>
    <t>EZUPM5311R</t>
  </si>
  <si>
    <t>Jeevan Kumar</t>
  </si>
  <si>
    <t>BQYPT3968B</t>
  </si>
  <si>
    <t>GQHPK6156E</t>
  </si>
  <si>
    <t>Akhilesh</t>
  </si>
  <si>
    <t>AWAPV5566G</t>
  </si>
  <si>
    <t>Sri Lakshmi</t>
  </si>
  <si>
    <t>PIRPS3702R</t>
  </si>
  <si>
    <t>Akshitha</t>
  </si>
  <si>
    <t>CGVPD7972H</t>
  </si>
  <si>
    <t>Naresh</t>
  </si>
  <si>
    <t>CNVPN9375H</t>
  </si>
  <si>
    <t>Eswari</t>
  </si>
  <si>
    <t>LVZPK4596E</t>
  </si>
  <si>
    <t>Meghana</t>
  </si>
  <si>
    <t>HMAPM0505F</t>
  </si>
  <si>
    <t>BLXPB0168H</t>
  </si>
  <si>
    <t>Jagadeesh Chandra Vara Prasad</t>
  </si>
  <si>
    <t>HBQPP5298R</t>
  </si>
  <si>
    <t>Hima Bindu</t>
  </si>
  <si>
    <t>GZRPB6162C</t>
  </si>
  <si>
    <t>Bala Sai</t>
  </si>
  <si>
    <t>DVHPB2618L</t>
  </si>
  <si>
    <t>FXUPM0916H</t>
  </si>
  <si>
    <t>Santosh Gandhi</t>
  </si>
  <si>
    <t>CEHPG5345F</t>
  </si>
  <si>
    <t>Tipu</t>
  </si>
  <si>
    <t>AISPT5377K</t>
  </si>
  <si>
    <t>SAMPATH</t>
  </si>
  <si>
    <t>BNNPM5315D</t>
  </si>
  <si>
    <t>PRAVEEN</t>
  </si>
  <si>
    <t>BRWPG6431P</t>
  </si>
  <si>
    <t>AIAPM1887P</t>
  </si>
  <si>
    <t>Saikiran</t>
  </si>
  <si>
    <t>BWNPB5024P</t>
  </si>
  <si>
    <t>Alekhya</t>
  </si>
  <si>
    <t>CICPK7658A</t>
  </si>
  <si>
    <t>Dileep</t>
  </si>
  <si>
    <t>ARTPC9943L</t>
  </si>
  <si>
    <t>CDWPR7752R</t>
  </si>
  <si>
    <t>ECEPP9834B</t>
  </si>
  <si>
    <t>Ramya</t>
  </si>
  <si>
    <t>CHGPD9356M</t>
  </si>
  <si>
    <t>Prakash</t>
  </si>
  <si>
    <t>DLCPP0156E</t>
  </si>
  <si>
    <t>Bharadwaj</t>
  </si>
  <si>
    <t>ENSPM8733F</t>
  </si>
  <si>
    <t>Vootla</t>
  </si>
  <si>
    <t>BHBPV9827K</t>
  </si>
  <si>
    <t>Sri Sai Ram</t>
  </si>
  <si>
    <t>HCJPK8184F</t>
  </si>
  <si>
    <t>SURENDRA</t>
  </si>
  <si>
    <t>CIOPG7449H</t>
  </si>
  <si>
    <t>Galib</t>
  </si>
  <si>
    <t>GZQPS0368E</t>
  </si>
  <si>
    <t>BWOPA6285Q</t>
  </si>
  <si>
    <t>CHINTAKUNTLA HUSSAIN</t>
  </si>
  <si>
    <t>CGAPC9999Q</t>
  </si>
  <si>
    <t>Aamancha Manjari Sree</t>
  </si>
  <si>
    <t>CQYPA6044G</t>
  </si>
  <si>
    <t>Ganti Naga</t>
  </si>
  <si>
    <t>FDNPS7309F</t>
  </si>
  <si>
    <t>Sadasivuni</t>
  </si>
  <si>
    <t>JKSPS3501M</t>
  </si>
  <si>
    <t>Anguluri</t>
  </si>
  <si>
    <t>GFAPP3321G</t>
  </si>
  <si>
    <t>Pilla</t>
  </si>
  <si>
    <t>ECRPP6299F</t>
  </si>
  <si>
    <t>EESPP0328N</t>
  </si>
  <si>
    <t>DGEPP8311Q</t>
  </si>
  <si>
    <t>Swaroopa Rani</t>
  </si>
  <si>
    <t>FNLPM9603J</t>
  </si>
  <si>
    <t>BZPPP3850E</t>
  </si>
  <si>
    <t>BPDPP3214E</t>
  </si>
  <si>
    <t>Kanisetty</t>
  </si>
  <si>
    <t>HGVPK6357N</t>
  </si>
  <si>
    <t>Nafeez Mehar</t>
  </si>
  <si>
    <t>LDVPS7538G</t>
  </si>
  <si>
    <t>Harika</t>
  </si>
  <si>
    <t>EDHPB9280F</t>
  </si>
  <si>
    <t>Yallavula</t>
  </si>
  <si>
    <t>ARAPY1546J</t>
  </si>
  <si>
    <t>ELKPR5627d</t>
  </si>
  <si>
    <t>Manaswini</t>
  </si>
  <si>
    <t>JMNPK2225R</t>
  </si>
  <si>
    <t xml:space="preserve">Raghunadha Raju </t>
  </si>
  <si>
    <t>DHFPP8006N</t>
  </si>
  <si>
    <t>Bhavani</t>
  </si>
  <si>
    <t>HHMPS1049M</t>
  </si>
  <si>
    <t>Vaishnavi Devi</t>
  </si>
  <si>
    <t>JPBPK6921M</t>
  </si>
  <si>
    <t>CJIPM0544G</t>
  </si>
  <si>
    <t xml:space="preserve">Jyoshna Devi </t>
  </si>
  <si>
    <t>HVLPD0296Q</t>
  </si>
  <si>
    <t>Asha Jyothi</t>
  </si>
  <si>
    <t>GSVPB2182R</t>
  </si>
  <si>
    <t>Harsha Vardhana</t>
  </si>
  <si>
    <t>CIMPV3673G</t>
  </si>
  <si>
    <t>EOFPB4994K</t>
  </si>
  <si>
    <t>komali sai lakshmi</t>
  </si>
  <si>
    <t>BXLPL5328P</t>
  </si>
  <si>
    <t>Riteesh</t>
  </si>
  <si>
    <t>Soundarya</t>
  </si>
  <si>
    <t>GLLPP7445E</t>
  </si>
  <si>
    <t>Aleski</t>
  </si>
  <si>
    <t>DBPPA2586G</t>
  </si>
  <si>
    <t>Poojari Sreepathi</t>
  </si>
  <si>
    <t>KXKPS4999M</t>
  </si>
  <si>
    <t>ANIL</t>
  </si>
  <si>
    <t>Senior Executive – (Admin &amp; Procurement)</t>
  </si>
  <si>
    <t>ATJPP7029C</t>
  </si>
  <si>
    <t>Prasuna</t>
  </si>
  <si>
    <t>AZTPV4434F</t>
  </si>
  <si>
    <t>RohitBabu</t>
  </si>
  <si>
    <t>Sales Head</t>
  </si>
  <si>
    <t>RAMANA</t>
  </si>
  <si>
    <t>FXPPP4648E</t>
  </si>
  <si>
    <t>Trinadh</t>
  </si>
  <si>
    <t>CYTPG2837E</t>
  </si>
  <si>
    <t>Prasanth Kumar</t>
  </si>
  <si>
    <t>DELPP8043E</t>
  </si>
  <si>
    <t xml:space="preserve">Durga Bhavani </t>
  </si>
  <si>
    <t>HSKPD7816Q</t>
  </si>
  <si>
    <t>Sai Dakshitha</t>
  </si>
  <si>
    <t>IVDPD6109M</t>
  </si>
  <si>
    <t>Laxman</t>
  </si>
  <si>
    <t>BGOPL5142D</t>
  </si>
  <si>
    <t>Bharathi</t>
  </si>
  <si>
    <t>IDQPB7666L</t>
  </si>
  <si>
    <t xml:space="preserve">Harika </t>
  </si>
  <si>
    <t>BWTPH9523H</t>
  </si>
  <si>
    <t xml:space="preserve">Tejeswari </t>
  </si>
  <si>
    <t>PKBPS2555E</t>
  </si>
  <si>
    <t>Varshitha</t>
  </si>
  <si>
    <t>CJJPV3881N</t>
  </si>
  <si>
    <t>Harinadh</t>
  </si>
  <si>
    <t>BIUPH1809R</t>
  </si>
  <si>
    <t>Lokesh Kumar</t>
  </si>
  <si>
    <t>BTOPN4364G</t>
  </si>
  <si>
    <t>Dani Akash</t>
  </si>
  <si>
    <t>FNGPB2196N</t>
  </si>
  <si>
    <t>CSFPG4287C</t>
  </si>
  <si>
    <t xml:space="preserve"> Sireesha</t>
  </si>
  <si>
    <t>HRAPP2651G</t>
  </si>
  <si>
    <t>SRIKANTH</t>
  </si>
  <si>
    <t>MCRPS5310L</t>
  </si>
  <si>
    <t>BICPC5489G</t>
  </si>
  <si>
    <t>SATISH</t>
  </si>
  <si>
    <t>KQUPK5741L</t>
  </si>
  <si>
    <t>Mrudwhik</t>
  </si>
  <si>
    <t>Recruitment Lead</t>
  </si>
  <si>
    <t>AXXPM8254E</t>
  </si>
  <si>
    <t>Vadlapudi</t>
  </si>
  <si>
    <t>AXJPV7868H</t>
  </si>
  <si>
    <t>Sadhanala</t>
  </si>
  <si>
    <t>Senior Manager - Delivery</t>
  </si>
  <si>
    <t>BZFPS0080M</t>
  </si>
  <si>
    <t>Tavitiki Sindhu</t>
  </si>
  <si>
    <t>NCRPS4068E</t>
  </si>
  <si>
    <t>Bommisetty</t>
  </si>
  <si>
    <t>BPBPT9365L</t>
  </si>
  <si>
    <t>Cheekati Venkata Shyam</t>
  </si>
  <si>
    <t>Software Engineer (UI)</t>
  </si>
  <si>
    <t>CKRPC8895C</t>
  </si>
  <si>
    <t>BTXPC1216R</t>
  </si>
  <si>
    <t>Siva kumar</t>
  </si>
  <si>
    <t>BQFPP3074D</t>
  </si>
  <si>
    <t>Abhiram</t>
  </si>
  <si>
    <t>JIVPK4092L</t>
  </si>
  <si>
    <t>Gopala krishna</t>
  </si>
  <si>
    <t>CUPPR8885R</t>
  </si>
  <si>
    <t>PAVITHRA</t>
  </si>
  <si>
    <t>HGUPP5221F</t>
  </si>
  <si>
    <t>Lokeswari</t>
  </si>
  <si>
    <t>BMHPL0643J</t>
  </si>
  <si>
    <t>AJVPR3217Q</t>
  </si>
  <si>
    <t>CQIPM1153J</t>
  </si>
  <si>
    <t>Akkireddy</t>
  </si>
  <si>
    <t>FPXPR4838Q</t>
  </si>
  <si>
    <t>Tenikar</t>
  </si>
  <si>
    <t>CCPPT9815F</t>
  </si>
  <si>
    <t>Terala</t>
  </si>
  <si>
    <t>BKZPT8670H</t>
  </si>
  <si>
    <t>Raavi</t>
  </si>
  <si>
    <t>DNYPR8716Q</t>
  </si>
  <si>
    <t>GEJPK0602F</t>
  </si>
  <si>
    <t>GDUPP9205D</t>
  </si>
  <si>
    <t>EIUPP4919M</t>
  </si>
  <si>
    <t>V</t>
  </si>
  <si>
    <t>DZEPR9535M</t>
  </si>
  <si>
    <t>Marimganti Guru Raghavendra</t>
  </si>
  <si>
    <t>MARPK8822M</t>
  </si>
  <si>
    <t>Yojitha</t>
  </si>
  <si>
    <t>BLCPY4814Q</t>
  </si>
  <si>
    <t>SAI</t>
  </si>
  <si>
    <t>ENQPP8928H</t>
  </si>
  <si>
    <t>LAVANYA</t>
  </si>
  <si>
    <t>BMMPL1789E</t>
  </si>
  <si>
    <t>Sumanth</t>
  </si>
  <si>
    <t>FYWPM8424B</t>
  </si>
  <si>
    <t>Nikil</t>
  </si>
  <si>
    <t>GHFPM4202N</t>
  </si>
  <si>
    <t>Guna</t>
  </si>
  <si>
    <t>GCIPK6348R</t>
  </si>
  <si>
    <t>HR Executive</t>
  </si>
  <si>
    <t>KYYPS1227M</t>
  </si>
  <si>
    <t>Sadia</t>
  </si>
  <si>
    <t>EVDPB0124E</t>
  </si>
  <si>
    <t>Giridhar</t>
  </si>
  <si>
    <t>BQTPG7311J</t>
  </si>
  <si>
    <t>ZULEKHA</t>
  </si>
  <si>
    <t>Samantaray</t>
  </si>
  <si>
    <t>OERPS8009N</t>
  </si>
  <si>
    <t>Deepak Teja</t>
  </si>
  <si>
    <t>GUBPD3515A</t>
  </si>
  <si>
    <t>Trailokya</t>
  </si>
  <si>
    <t>Ravinson</t>
  </si>
  <si>
    <t>BDGPL2417N</t>
  </si>
  <si>
    <t>BANDARI</t>
  </si>
  <si>
    <t>DGNPB3422F</t>
  </si>
  <si>
    <t>Finance Executive</t>
  </si>
  <si>
    <t>CODPS0575P</t>
  </si>
  <si>
    <t>James</t>
  </si>
  <si>
    <t>BLLPN6300H</t>
  </si>
  <si>
    <t>SUPRAJA</t>
  </si>
  <si>
    <t>MCTPK9988E</t>
  </si>
  <si>
    <t>HZHPK6629A</t>
  </si>
  <si>
    <t>JXAPK3170H</t>
  </si>
  <si>
    <t>BAFPV6434F</t>
  </si>
  <si>
    <t>Pawan</t>
  </si>
  <si>
    <t>EOIPP6971R</t>
  </si>
  <si>
    <t xml:space="preserve">Niharika </t>
  </si>
  <si>
    <t>IOZPK5773R</t>
  </si>
  <si>
    <t>Sai Vishwas</t>
  </si>
  <si>
    <t>CKWPV2113H</t>
  </si>
  <si>
    <t>CHMPT0257M</t>
  </si>
  <si>
    <t>pavan kumar</t>
  </si>
  <si>
    <t>HMLPP5319F</t>
  </si>
  <si>
    <t>Shiva Sai Dhanunjay Ram</t>
  </si>
  <si>
    <t>DLPPD0374H</t>
  </si>
  <si>
    <t>KSMPS4574P</t>
  </si>
  <si>
    <t>Neeraj</t>
  </si>
  <si>
    <t>FSCPR2419M</t>
  </si>
  <si>
    <t>DCLPK6306R</t>
  </si>
  <si>
    <t>Diwakar</t>
  </si>
  <si>
    <t>GMLPD0070G</t>
  </si>
  <si>
    <t>Teja kumar</t>
  </si>
  <si>
    <t>BRKPT7536A</t>
  </si>
  <si>
    <t>Sindhusha</t>
  </si>
  <si>
    <t>FFOPP9531K</t>
  </si>
  <si>
    <t>Jagadish Babu</t>
  </si>
  <si>
    <t>CQWPG4297D</t>
  </si>
  <si>
    <t>Varalakshmi</t>
  </si>
  <si>
    <t>EEDPK6359P</t>
  </si>
  <si>
    <t>KUNTA</t>
  </si>
  <si>
    <t>CMTPK7289L</t>
  </si>
  <si>
    <t>SUHANTH</t>
  </si>
  <si>
    <t>PJMPS1592B</t>
  </si>
  <si>
    <t>Mohammed Imran Ahmed</t>
  </si>
  <si>
    <t>BLMPK2555G</t>
  </si>
  <si>
    <t xml:space="preserve">Kavya Sri </t>
  </si>
  <si>
    <t>ALMPN0332K</t>
  </si>
  <si>
    <t>jyothi</t>
  </si>
  <si>
    <t>CYDPJ1312H</t>
  </si>
  <si>
    <t>APYPY6736J</t>
  </si>
  <si>
    <t>Sai Teja Reddy</t>
  </si>
  <si>
    <t>GXAPR4562P</t>
  </si>
  <si>
    <t>EWNPD4943J</t>
  </si>
  <si>
    <t>BOPPV0266R</t>
  </si>
  <si>
    <t xml:space="preserve"> Sravani</t>
  </si>
  <si>
    <t>OAQPS1907G</t>
  </si>
  <si>
    <t>Pavan Datta</t>
  </si>
  <si>
    <t>JCWPD1670Q</t>
  </si>
  <si>
    <t>Samyuktha</t>
  </si>
  <si>
    <t>IZIPM2909F</t>
  </si>
  <si>
    <t xml:space="preserve"> Harika</t>
  </si>
  <si>
    <t>BHMPH4662P</t>
  </si>
  <si>
    <t xml:space="preserve">Jagadeesh Kumar </t>
  </si>
  <si>
    <t>BEUPN4568K</t>
  </si>
  <si>
    <t xml:space="preserve"> Kanaka </t>
  </si>
  <si>
    <t>JIFPM8728H</t>
  </si>
  <si>
    <t xml:space="preserve"> Durga</t>
  </si>
  <si>
    <t>FYIPR2360P</t>
  </si>
  <si>
    <t xml:space="preserve"> Uma </t>
  </si>
  <si>
    <t>AMQPU8022L</t>
  </si>
  <si>
    <t xml:space="preserve"> Ganesh </t>
  </si>
  <si>
    <t>HUMPB5264A</t>
  </si>
  <si>
    <t xml:space="preserve"> Mohan</t>
  </si>
  <si>
    <t>OVYPS0268H</t>
  </si>
  <si>
    <t>Shanmukh</t>
  </si>
  <si>
    <t>ASAPC6315J</t>
  </si>
  <si>
    <t>Ranjitha</t>
  </si>
  <si>
    <t>ECPPR6463H</t>
  </si>
  <si>
    <t>BRCPJ0987P</t>
  </si>
  <si>
    <t>Vishakha</t>
  </si>
  <si>
    <t>BPZPV6805D</t>
  </si>
  <si>
    <t>Venkata Rathnam</t>
  </si>
  <si>
    <t>FXYPM2220N</t>
  </si>
  <si>
    <t>Gundala</t>
  </si>
  <si>
    <t>FGDPR1184Q</t>
  </si>
  <si>
    <t>Sanjeev</t>
  </si>
  <si>
    <t>AFOPC8660F</t>
  </si>
  <si>
    <t>Shyam prasad</t>
  </si>
  <si>
    <t>OPT Recruiter</t>
  </si>
  <si>
    <t>DUQPB8457R</t>
  </si>
  <si>
    <t>Iswarya</t>
  </si>
  <si>
    <t>BGYPG0248R</t>
  </si>
  <si>
    <t>AIIPI3123N</t>
  </si>
  <si>
    <t xml:space="preserve"> Sarath </t>
  </si>
  <si>
    <t>SUPPS4711D</t>
  </si>
  <si>
    <t>Shankar</t>
  </si>
  <si>
    <t>HGTPR9549M</t>
  </si>
  <si>
    <t xml:space="preserve"> Vijay</t>
  </si>
  <si>
    <t>CAJPV5951N</t>
  </si>
  <si>
    <t xml:space="preserve">Sowmya </t>
  </si>
  <si>
    <t>PSDPS6554P</t>
  </si>
  <si>
    <t>Greeshma</t>
  </si>
  <si>
    <t>CTKPD9244G</t>
  </si>
  <si>
    <t>Nukala</t>
  </si>
  <si>
    <t>MVLPS3755A</t>
  </si>
  <si>
    <t>MVLPS3767A</t>
  </si>
  <si>
    <t>Srikakolapu</t>
  </si>
  <si>
    <t>GVPPS3253H</t>
  </si>
  <si>
    <t>Dandi</t>
  </si>
  <si>
    <t>HSTPD8327R</t>
  </si>
  <si>
    <t>Dukka</t>
  </si>
  <si>
    <t>FYXPB8935F</t>
  </si>
  <si>
    <t>Ram</t>
  </si>
  <si>
    <t>CDPPT2310C</t>
  </si>
  <si>
    <t>Arjun</t>
  </si>
  <si>
    <t>DIEPA3309B</t>
  </si>
  <si>
    <t>Komal</t>
  </si>
  <si>
    <t>CGTPG1130L</t>
  </si>
  <si>
    <t>Geetha</t>
  </si>
  <si>
    <t>BVOPC5194B</t>
  </si>
  <si>
    <t>APOORVA AISWARYA</t>
  </si>
  <si>
    <t>DUFPA1125N</t>
  </si>
  <si>
    <t>CRPPB6317P</t>
  </si>
  <si>
    <t>CHANDRASEKHAR</t>
  </si>
  <si>
    <t>BCYPP7353N</t>
  </si>
  <si>
    <t>Nilesh</t>
  </si>
  <si>
    <t>BLKPG6792B</t>
  </si>
  <si>
    <t>Lokesh</t>
  </si>
  <si>
    <t>CNGPJ0681R</t>
  </si>
  <si>
    <t>Pujita</t>
  </si>
  <si>
    <t>CBVPP8919H</t>
  </si>
  <si>
    <t>BOIPV5724F</t>
  </si>
  <si>
    <t>Venkata Lalith raj</t>
  </si>
  <si>
    <t>FPEPR2539B</t>
  </si>
  <si>
    <t>FBEPK9211F</t>
  </si>
  <si>
    <t>Geethika Sai</t>
  </si>
  <si>
    <t>DQSPG5248H</t>
  </si>
  <si>
    <t>SAI KIRAN</t>
  </si>
  <si>
    <t>CSCPM0194F</t>
  </si>
  <si>
    <t>Nagendra</t>
  </si>
  <si>
    <t>AXIPB8375J</t>
  </si>
  <si>
    <t>Srija</t>
  </si>
  <si>
    <t>HLZPS2484F</t>
  </si>
  <si>
    <t>Lepakshi</t>
  </si>
  <si>
    <t>AJXPJ9634K</t>
  </si>
  <si>
    <t>AQRPV0799C</t>
  </si>
  <si>
    <t>Sai Teja</t>
  </si>
  <si>
    <t>GVCPM6297L</t>
  </si>
  <si>
    <t>Vijay shali</t>
  </si>
  <si>
    <t>EOVPP2243K</t>
  </si>
  <si>
    <t>BMFPL4219J</t>
  </si>
  <si>
    <t>Sahitya</t>
  </si>
  <si>
    <t>AWPPJ5020L</t>
  </si>
  <si>
    <t>Venu</t>
  </si>
  <si>
    <t>BTKPB4136J</t>
  </si>
  <si>
    <t>HDRPS6678P</t>
  </si>
  <si>
    <t xml:space="preserve">Amin </t>
  </si>
  <si>
    <t>FNSPM8091M</t>
  </si>
  <si>
    <t>Sainath</t>
  </si>
  <si>
    <t>MGAPS8962B</t>
  </si>
  <si>
    <t>Kasi Venkateswarlu</t>
  </si>
  <si>
    <t>CMEPV2193P</t>
  </si>
  <si>
    <t>Lavanya</t>
  </si>
  <si>
    <t>FQFPB6868F</t>
  </si>
  <si>
    <t>BTOPJ8814M</t>
  </si>
  <si>
    <t>Mohan Sai</t>
  </si>
  <si>
    <t>EQIPB4676K</t>
  </si>
  <si>
    <t xml:space="preserve">Abhishek Gopi </t>
  </si>
  <si>
    <t>GFPPD8507B</t>
  </si>
  <si>
    <t>Madhu Kumar</t>
  </si>
  <si>
    <t>HDOPM0027D</t>
  </si>
  <si>
    <t>Aswitha</t>
  </si>
  <si>
    <t>DNFPA1858B</t>
  </si>
  <si>
    <t xml:space="preserve"> Lakshmi </t>
  </si>
  <si>
    <t>JKRPK5149G</t>
  </si>
  <si>
    <t xml:space="preserve">Gayathri </t>
  </si>
  <si>
    <t>CPUPG5004H</t>
  </si>
  <si>
    <t xml:space="preserve">Venkata Sai </t>
  </si>
  <si>
    <t>IAXPD3983E</t>
  </si>
  <si>
    <t xml:space="preserve"> Ashok</t>
  </si>
  <si>
    <t>FCBPA1963E</t>
  </si>
  <si>
    <t xml:space="preserve"> Sharmila </t>
  </si>
  <si>
    <t>JTMPD9376Q</t>
  </si>
  <si>
    <t xml:space="preserve"> Vara Prasad</t>
  </si>
  <si>
    <t>IBTPP5526E</t>
  </si>
  <si>
    <t xml:space="preserve"> Sampath </t>
  </si>
  <si>
    <t>MDMPK2879N</t>
  </si>
  <si>
    <t>Venkateshwarlu</t>
  </si>
  <si>
    <t xml:space="preserve">Shaik </t>
  </si>
  <si>
    <t>FMSPA2524Q</t>
  </si>
  <si>
    <t>VahiniSowmya</t>
  </si>
  <si>
    <t>CYEPV6426P</t>
  </si>
  <si>
    <t>Nookaratnam</t>
  </si>
  <si>
    <t>CLIPN6358M</t>
  </si>
  <si>
    <t>ICPPD8046E</t>
  </si>
  <si>
    <t>Veera Bhadra Sravya</t>
  </si>
  <si>
    <t>Renuka Vidyadhari</t>
  </si>
  <si>
    <t>BCGPY5927B</t>
  </si>
  <si>
    <t>Mohan Reddy</t>
  </si>
  <si>
    <t>BEJPY1498G</t>
  </si>
  <si>
    <t>CDUPV7053D</t>
  </si>
  <si>
    <t>Shyam Naga Babu</t>
  </si>
  <si>
    <t>DRHPG3823A</t>
  </si>
  <si>
    <t>Prabash</t>
  </si>
  <si>
    <t>IGTPP6298E</t>
  </si>
  <si>
    <t>EWMPP7279A</t>
  </si>
  <si>
    <t>BFQPY4958D</t>
  </si>
  <si>
    <t>Karthik Harshavardhan</t>
  </si>
  <si>
    <t>PNHPK5159K</t>
  </si>
  <si>
    <t xml:space="preserve">Ramesh </t>
  </si>
  <si>
    <t>FZOPR5598N</t>
  </si>
  <si>
    <t xml:space="preserve"> Lakshmi Sai </t>
  </si>
  <si>
    <t>DNKPK9483D</t>
  </si>
  <si>
    <t>Revanth Kumar</t>
  </si>
  <si>
    <t>CCHPB0818E</t>
  </si>
  <si>
    <t>Prasanthi Kumari</t>
  </si>
  <si>
    <t>CAAPM1451P</t>
  </si>
  <si>
    <t>Roshni Kumari</t>
  </si>
  <si>
    <t>IMJPK0841L</t>
  </si>
  <si>
    <t>Manidhar</t>
  </si>
  <si>
    <t>ANPPC2199G</t>
  </si>
  <si>
    <t>CINPR1490N</t>
  </si>
  <si>
    <t>Naga Sai Purna Balaji</t>
  </si>
  <si>
    <t>MRLPS2196H</t>
  </si>
  <si>
    <t>Harinath Rao</t>
  </si>
  <si>
    <t>AZAPT7889D</t>
  </si>
  <si>
    <t>Venkata Pavan</t>
  </si>
  <si>
    <t>APYPD8030J</t>
  </si>
  <si>
    <t>aldpd6924e</t>
  </si>
  <si>
    <t>Venkat</t>
  </si>
  <si>
    <t>BQOPT7509N</t>
  </si>
  <si>
    <t>DURGA PRASAD</t>
  </si>
  <si>
    <t>ESQPP6207Q</t>
  </si>
  <si>
    <t>Akku Naidu</t>
  </si>
  <si>
    <t>DOXPK9105J</t>
  </si>
  <si>
    <t>Thulasi</t>
  </si>
  <si>
    <t>AWOPK9512D</t>
  </si>
  <si>
    <t>Chadaram Varaha</t>
  </si>
  <si>
    <t>BFZPC2827J</t>
  </si>
  <si>
    <t>Srio Lakshmi Sireesha kanaka Durga</t>
  </si>
  <si>
    <t>CZOPG9344Q</t>
  </si>
  <si>
    <t>Yamuna</t>
  </si>
  <si>
    <t>JQJPS6688J</t>
  </si>
  <si>
    <t>AGIPU6074E</t>
  </si>
  <si>
    <t>Gafoor</t>
  </si>
  <si>
    <t>EJXPM3068J</t>
  </si>
  <si>
    <t>KARTHIK</t>
  </si>
  <si>
    <t>HXWPK5661P</t>
  </si>
  <si>
    <t>Sai Venkat</t>
  </si>
  <si>
    <t>BQJPT0850K</t>
  </si>
  <si>
    <t>Karthik Surya Sri Sai Maheshwar</t>
  </si>
  <si>
    <t>HEUPM3325B</t>
  </si>
  <si>
    <t>Anitha</t>
  </si>
  <si>
    <t>DAWPB0145L</t>
  </si>
  <si>
    <t>BYPPA2390P</t>
  </si>
  <si>
    <t>JWIPS7391H</t>
  </si>
  <si>
    <t>Prasanth</t>
  </si>
  <si>
    <t>DBIPP1567B</t>
  </si>
  <si>
    <t>Ramana</t>
  </si>
  <si>
    <t>AVPPV2499E</t>
  </si>
  <si>
    <t>Fazia</t>
  </si>
  <si>
    <t>CWSPA2254C</t>
  </si>
  <si>
    <t>Srinathreddy</t>
  </si>
  <si>
    <t>AWJPT0095K</t>
  </si>
  <si>
    <t>Yousaf Ahmad</t>
  </si>
  <si>
    <t>LRTPS9192L</t>
  </si>
  <si>
    <t>POTHU RAJU</t>
  </si>
  <si>
    <t>COOPM8752D</t>
  </si>
  <si>
    <t>Sai Krishna</t>
  </si>
  <si>
    <t>DCGPA6183M</t>
  </si>
  <si>
    <t>Durga venkata sai kumar</t>
  </si>
  <si>
    <t>DJEPM4072A</t>
  </si>
  <si>
    <t xml:space="preserve">Vinya </t>
  </si>
  <si>
    <t>BLTPV8082N</t>
  </si>
  <si>
    <t>FNNPM5722A</t>
  </si>
  <si>
    <t>Poornima</t>
  </si>
  <si>
    <t>GWTPP6309C</t>
  </si>
  <si>
    <t>Surya Satya</t>
  </si>
  <si>
    <t>SEO  Analyst</t>
  </si>
  <si>
    <t>DGOPK9520G</t>
  </si>
  <si>
    <t>Ankur</t>
  </si>
  <si>
    <t>BUIPP9507J</t>
  </si>
  <si>
    <t>SIVAKUMAR</t>
  </si>
  <si>
    <t>CKJPK1504N</t>
  </si>
  <si>
    <t>AOGPD5007C</t>
  </si>
  <si>
    <t xml:space="preserve">Nithish </t>
  </si>
  <si>
    <t>EVEPM2743F</t>
  </si>
  <si>
    <t>Sandhya Rani</t>
  </si>
  <si>
    <t>BXHPG7140L</t>
  </si>
  <si>
    <t>BPAPR2094K</t>
  </si>
  <si>
    <t>EFZPP1194A</t>
  </si>
  <si>
    <t>FPPPD1068Q</t>
  </si>
  <si>
    <t>Bhagya Raj</t>
  </si>
  <si>
    <t>Murali</t>
  </si>
  <si>
    <t>AZAPV0602J</t>
  </si>
  <si>
    <t>Venkata Sai Kishore</t>
  </si>
  <si>
    <t>BEKPG2404P</t>
  </si>
  <si>
    <t>Chandrasekhar</t>
  </si>
  <si>
    <t>BZHPG2320Q</t>
  </si>
  <si>
    <t>Shanmukha Reddy</t>
  </si>
  <si>
    <t>PRNPS0359M</t>
  </si>
  <si>
    <t>BXOPH8946L</t>
  </si>
  <si>
    <t>Charan Satya</t>
  </si>
  <si>
    <t>PMQPS2785K</t>
  </si>
  <si>
    <t xml:space="preserve">Sivakumar </t>
  </si>
  <si>
    <t>JVUPK3975C</t>
  </si>
  <si>
    <t xml:space="preserve">Ravi Jaya </t>
  </si>
  <si>
    <t>JZMPK6115G</t>
  </si>
  <si>
    <t>Jhansi</t>
  </si>
  <si>
    <t>CMKPJ8253N</t>
  </si>
  <si>
    <t>Beena</t>
  </si>
  <si>
    <t>PHNPS7293Q</t>
  </si>
  <si>
    <t>DUFPP1723R</t>
  </si>
  <si>
    <t>FXAPD2980L</t>
  </si>
  <si>
    <t>DFJPC1882M</t>
  </si>
  <si>
    <t>Sri Naga</t>
  </si>
  <si>
    <t>CNBPC5184R</t>
  </si>
  <si>
    <t>Kedhar Nadh</t>
  </si>
  <si>
    <t>CLRPN4977P</t>
  </si>
  <si>
    <t xml:space="preserve">Prasanth Sarvan </t>
  </si>
  <si>
    <t>DNGPG6544D</t>
  </si>
  <si>
    <t>DZMPG6224E</t>
  </si>
  <si>
    <t>Francisca</t>
  </si>
  <si>
    <t>BARPD9862P</t>
  </si>
  <si>
    <t>Nanda kishore</t>
  </si>
  <si>
    <t>FLEPP9127H</t>
  </si>
  <si>
    <t>AEFPI2876H</t>
  </si>
  <si>
    <t>Rajeev</t>
  </si>
  <si>
    <t>ABVPN7979H</t>
  </si>
  <si>
    <t>Devender</t>
  </si>
  <si>
    <t>AOXPN6142H</t>
  </si>
  <si>
    <t>Durga Prasad</t>
  </si>
  <si>
    <t>Geeta rani</t>
  </si>
  <si>
    <t>EWPPG9247A</t>
  </si>
  <si>
    <t>GLRPP8387P</t>
  </si>
  <si>
    <t>CJIPA3625G</t>
  </si>
  <si>
    <t>Mahesh</t>
  </si>
  <si>
    <t>GYCPM0931A</t>
  </si>
  <si>
    <t>Srinath</t>
  </si>
  <si>
    <t>Gopi</t>
  </si>
  <si>
    <t>JUMPK2834R</t>
  </si>
  <si>
    <t>Sriharshitha</t>
  </si>
  <si>
    <t>MPMPS6262K</t>
  </si>
  <si>
    <t>Manvitha</t>
  </si>
  <si>
    <t>GUIPP3297N</t>
  </si>
  <si>
    <t>Sirin Raj</t>
  </si>
  <si>
    <t>Appian Developer</t>
  </si>
  <si>
    <t>CLYPN6252Q</t>
  </si>
  <si>
    <t>BPQPH5664K</t>
  </si>
  <si>
    <t xml:space="preserve">santosh kumar </t>
  </si>
  <si>
    <t>DSGPG7606P</t>
  </si>
  <si>
    <t>Meera Krishna Sai</t>
  </si>
  <si>
    <t>PEXPS7034J</t>
  </si>
  <si>
    <t>Afroz</t>
  </si>
  <si>
    <t>Sr. Appian Business Analyst</t>
  </si>
  <si>
    <t>DNMPM4637K</t>
  </si>
  <si>
    <t>Praveena</t>
  </si>
  <si>
    <t>AUKPN1229N</t>
  </si>
  <si>
    <t>Ramprasad</t>
  </si>
  <si>
    <t>Sr. Designer</t>
  </si>
  <si>
    <t>BYSPP3033P</t>
  </si>
  <si>
    <t>BANPK3787Q</t>
  </si>
  <si>
    <t>Alka</t>
  </si>
  <si>
    <t>Senior Recruiting Manager</t>
  </si>
  <si>
    <t>BUYPS5411C</t>
  </si>
  <si>
    <t>ARIPA0697G</t>
  </si>
  <si>
    <t>IT Sales Senior Manager</t>
  </si>
  <si>
    <t>AQSPK7204L</t>
  </si>
  <si>
    <t>Bala Sushuma Kumari</t>
  </si>
  <si>
    <t>Sr. Tech Lead</t>
  </si>
  <si>
    <t>DCYPB4819M</t>
  </si>
  <si>
    <t>Pramod</t>
  </si>
  <si>
    <t>ASHPA2748L</t>
  </si>
  <si>
    <t>Lead Talent Acquisition</t>
  </si>
  <si>
    <t>ALRPV4736A</t>
  </si>
  <si>
    <t>Mahalakshmi</t>
  </si>
  <si>
    <t>Talent Acquisition Manager</t>
  </si>
  <si>
    <t>AOVPJ6312B</t>
  </si>
  <si>
    <t>Suvarna</t>
  </si>
  <si>
    <t>BNQPB9200D</t>
  </si>
  <si>
    <t>CFVPD7231Q</t>
  </si>
  <si>
    <t>CATPM4851J</t>
  </si>
  <si>
    <t>Hema Harshitha</t>
  </si>
  <si>
    <t>Sr. Payroll Executive</t>
  </si>
  <si>
    <t>BJYPB7903D</t>
  </si>
  <si>
    <t>Sriharsha</t>
  </si>
  <si>
    <t>Lohith</t>
  </si>
  <si>
    <t>Graphic Designer</t>
  </si>
  <si>
    <t>GFDPK1513L</t>
  </si>
  <si>
    <t>Software Engineer - Sr.Appian Consultant</t>
  </si>
  <si>
    <t>CQWPD2133B</t>
  </si>
  <si>
    <t>Chandra Sekhar</t>
  </si>
  <si>
    <t>Sr. Software Engineer(UI)</t>
  </si>
  <si>
    <t>AFSPV3297B</t>
  </si>
  <si>
    <t>EMDPS3887J</t>
  </si>
  <si>
    <t>ASOPM4157E</t>
  </si>
  <si>
    <t>Vinay Kumar</t>
  </si>
  <si>
    <t>Senior Software Engineer</t>
  </si>
  <si>
    <t>CDPPR1013N</t>
  </si>
  <si>
    <t>Taraka Manikanta</t>
  </si>
  <si>
    <t>BWIPB7476C</t>
  </si>
  <si>
    <t>Sruthi</t>
  </si>
  <si>
    <t>BVNPD2512F</t>
  </si>
  <si>
    <t>Azeez</t>
  </si>
  <si>
    <t>DPDPS2586N</t>
  </si>
  <si>
    <t>Talent Acquisition Lead</t>
  </si>
  <si>
    <t>BCNPP4314A</t>
  </si>
  <si>
    <t>Senior Delivery Manger</t>
  </si>
  <si>
    <t>ANNPK5875F</t>
  </si>
  <si>
    <t>V S Sashi Praveen</t>
  </si>
  <si>
    <t>IT Sales Manager</t>
  </si>
  <si>
    <t>AXPPK8833M</t>
  </si>
  <si>
    <t>Ranjeeth</t>
  </si>
  <si>
    <t>CFNPM3525E</t>
  </si>
  <si>
    <t>Kirthi</t>
  </si>
  <si>
    <t>AMMPN1253G</t>
  </si>
  <si>
    <t>Barat Chandar</t>
  </si>
  <si>
    <t>AFSPV0247D</t>
  </si>
  <si>
    <t>KOLLI SAI</t>
  </si>
  <si>
    <t>Prakash Babu</t>
  </si>
  <si>
    <t>BLZPB9707L</t>
  </si>
  <si>
    <t>Pavithra</t>
  </si>
  <si>
    <t>CEBPB5339G</t>
  </si>
  <si>
    <t>Bhagya Lakshmi</t>
  </si>
  <si>
    <t>DNIPR9466K</t>
  </si>
  <si>
    <t>Killada</t>
  </si>
  <si>
    <t>GYYPK1460C</t>
  </si>
  <si>
    <t>Yamini</t>
  </si>
  <si>
    <t>EQMPB8097N</t>
  </si>
  <si>
    <t>Bharghava</t>
  </si>
  <si>
    <t>Testing Engineer</t>
  </si>
  <si>
    <t>CNVPM4586P</t>
  </si>
  <si>
    <t>Datta Kiran</t>
  </si>
  <si>
    <t>QA Engineer</t>
  </si>
  <si>
    <t>AKBPA7411J</t>
  </si>
  <si>
    <t>Praneetha</t>
  </si>
  <si>
    <t>Sr Sales Consultant</t>
  </si>
  <si>
    <t>BUVPA7001H</t>
  </si>
  <si>
    <t>Dhanunjay</t>
  </si>
  <si>
    <t>EDOPK2930Q</t>
  </si>
  <si>
    <t>BQEPM0830K</t>
  </si>
  <si>
    <t>AVCPC6458P</t>
  </si>
  <si>
    <t>Ramarao</t>
  </si>
  <si>
    <t>APLPA6679P</t>
  </si>
  <si>
    <t>Anjali</t>
  </si>
  <si>
    <t>Hariprakash</t>
  </si>
  <si>
    <t>ASHPB8872A</t>
  </si>
  <si>
    <t>Jyothsna</t>
  </si>
  <si>
    <t>BMMPJ2746M</t>
  </si>
  <si>
    <t>Bala Veera Krupamani</t>
  </si>
  <si>
    <t>Developer</t>
  </si>
  <si>
    <t>EMHPM8682Q</t>
  </si>
  <si>
    <t>Vice President - Insurance Operations</t>
  </si>
  <si>
    <t>AUHPC3400H</t>
  </si>
  <si>
    <t>Srirama Aditya</t>
  </si>
  <si>
    <t>BMBPN5323H</t>
  </si>
  <si>
    <t>APJPA6594H</t>
  </si>
  <si>
    <t>EBMPM7308N</t>
  </si>
  <si>
    <t>ADMPL8515A</t>
  </si>
  <si>
    <t>Usha</t>
  </si>
  <si>
    <t>AFOPU8844F</t>
  </si>
  <si>
    <t>PRIYADARSHINI</t>
  </si>
  <si>
    <t>CFGPG9803J</t>
  </si>
  <si>
    <t>Satya Kiran</t>
  </si>
  <si>
    <t>Sr. Project Manager</t>
  </si>
  <si>
    <t>BARPS3761C</t>
  </si>
  <si>
    <t>Kiran Sai Ram Singh</t>
  </si>
  <si>
    <t>GLPPK5685D</t>
  </si>
  <si>
    <t>Vineela</t>
  </si>
  <si>
    <t>AFLPV9626D</t>
  </si>
  <si>
    <t>AVYPN7129G</t>
  </si>
  <si>
    <t>Sasidhar</t>
  </si>
  <si>
    <t>Delivery Manager</t>
  </si>
  <si>
    <t>CPZPK0487H</t>
  </si>
  <si>
    <t>Mohana Rao</t>
  </si>
  <si>
    <t>CICPP8740E</t>
  </si>
  <si>
    <t>Narendra</t>
  </si>
  <si>
    <t>AMSPT7233N</t>
  </si>
  <si>
    <t>Hephzibah</t>
  </si>
  <si>
    <t>Recruiting Specialist</t>
  </si>
  <si>
    <t>ATTPH0682F</t>
  </si>
  <si>
    <t>CRUPP3972K</t>
  </si>
  <si>
    <t>Jasmit</t>
  </si>
  <si>
    <t>DFEPK9808C</t>
  </si>
  <si>
    <t>Manasa</t>
  </si>
  <si>
    <t>BEHPN3587F</t>
  </si>
  <si>
    <t>Argha</t>
  </si>
  <si>
    <t>BAYPD2936B</t>
  </si>
  <si>
    <t>Malla Nagaraja</t>
  </si>
  <si>
    <t>FXWPK8334K</t>
  </si>
  <si>
    <t>SivaKumarReddy</t>
  </si>
  <si>
    <t>CHEPB6492G</t>
  </si>
  <si>
    <t>Vikram</t>
  </si>
  <si>
    <t>AVAPC6242P</t>
  </si>
  <si>
    <t>Meesala Siva Devi</t>
  </si>
  <si>
    <t>DZKPM5118P</t>
  </si>
  <si>
    <t>Vinod</t>
  </si>
  <si>
    <t>HSZPK7433P</t>
  </si>
  <si>
    <t>Botta</t>
  </si>
  <si>
    <t>Senior Executive-HR</t>
  </si>
  <si>
    <t>Haribabu</t>
  </si>
  <si>
    <t>BAPPK9631M</t>
  </si>
  <si>
    <t>Bharti</t>
  </si>
  <si>
    <t>FTZPK5573H</t>
  </si>
  <si>
    <t>Shanthi</t>
  </si>
  <si>
    <t>BWXPG0576R</t>
  </si>
  <si>
    <t>Raghvendra</t>
  </si>
  <si>
    <t>CRUPM5441E</t>
  </si>
  <si>
    <t>Pallavi</t>
  </si>
  <si>
    <t>BZXPP4056N</t>
  </si>
  <si>
    <t>Madhukiran</t>
  </si>
  <si>
    <t>AZAPV7944B</t>
  </si>
  <si>
    <t>Sathya Murthy Yadav</t>
  </si>
  <si>
    <t>AMMPY4020E</t>
  </si>
  <si>
    <t>Triveni</t>
  </si>
  <si>
    <t>AXMPN9871H</t>
  </si>
  <si>
    <t>Satyanarayana Reddy</t>
  </si>
  <si>
    <t>DYFPS1051B</t>
  </si>
  <si>
    <t>B N Chandrasekhar</t>
  </si>
  <si>
    <t>BNLPM1895C</t>
  </si>
  <si>
    <t>Technical Architect</t>
  </si>
  <si>
    <t>BNHPK1898K</t>
  </si>
  <si>
    <t>Raja Sekhar</t>
  </si>
  <si>
    <t>AYNPN6054A</t>
  </si>
  <si>
    <t>Vsr Subbarao</t>
  </si>
  <si>
    <t>AYYPP2302G</t>
  </si>
  <si>
    <t>AMNPH7684L</t>
  </si>
  <si>
    <t>CEDPP5999A</t>
  </si>
  <si>
    <t>Amruthavalli</t>
  </si>
  <si>
    <t>FHWPK6119N</t>
  </si>
  <si>
    <t>Chandra</t>
  </si>
  <si>
    <t>AMKPR7345B</t>
  </si>
  <si>
    <t>BLWPB9720Q</t>
  </si>
  <si>
    <t>ENWPK6621N</t>
  </si>
  <si>
    <t>GTZPK2660G</t>
  </si>
  <si>
    <t>Sairam</t>
  </si>
  <si>
    <t>BNKPT0128E</t>
  </si>
  <si>
    <t>Goutham</t>
  </si>
  <si>
    <t>BQYPG6463Q</t>
  </si>
  <si>
    <t>Technical Lead UI</t>
  </si>
  <si>
    <t>ATQPR2564K</t>
  </si>
  <si>
    <t>CSRPP2400A</t>
  </si>
  <si>
    <t>Jaya Deepika</t>
  </si>
  <si>
    <t>DGUPB4330R</t>
  </si>
  <si>
    <t>Madhu</t>
  </si>
  <si>
    <t>ARXPT3956E</t>
  </si>
  <si>
    <t>Bhadra</t>
  </si>
  <si>
    <t>CMVPM9214K</t>
  </si>
  <si>
    <t>Varshini</t>
  </si>
  <si>
    <t>ASBPB9559Q</t>
  </si>
  <si>
    <t>Marpina</t>
  </si>
  <si>
    <t>CYNPM1812K</t>
  </si>
  <si>
    <t>Sanyasi</t>
  </si>
  <si>
    <t>BBLPC2175H</t>
  </si>
  <si>
    <t>Vora</t>
  </si>
  <si>
    <t>EMKPS2091M</t>
  </si>
  <si>
    <t>Ashis</t>
  </si>
  <si>
    <t>CRBPB5034M</t>
  </si>
  <si>
    <t>DZFPK1887N</t>
  </si>
  <si>
    <t>Harish</t>
  </si>
  <si>
    <t>AVWPG9271C</t>
  </si>
  <si>
    <t>AISHA</t>
  </si>
  <si>
    <t>DPZPS3431C</t>
  </si>
  <si>
    <t>CFJPG8855B</t>
  </si>
  <si>
    <t>GVYPS6628K</t>
  </si>
  <si>
    <t>AYVPA8674P</t>
  </si>
  <si>
    <t>Dhana</t>
  </si>
  <si>
    <t>DRBPK5742J</t>
  </si>
  <si>
    <t>Maahadev</t>
  </si>
  <si>
    <t>AIFPT9525J</t>
  </si>
  <si>
    <t>Naga</t>
  </si>
  <si>
    <t>AAUPI5072J</t>
  </si>
  <si>
    <t>Siva Parvathi</t>
  </si>
  <si>
    <t>KKDPS9681C</t>
  </si>
  <si>
    <t>BHARGAVI</t>
  </si>
  <si>
    <t>BVIPC3404N</t>
  </si>
  <si>
    <t>Gnaneswar</t>
  </si>
  <si>
    <t>BXZPM4975R</t>
  </si>
  <si>
    <t>Nagendhra</t>
  </si>
  <si>
    <t>BNFPG1744Q</t>
  </si>
  <si>
    <t>CJKPS6655Q</t>
  </si>
  <si>
    <t>Navyasree</t>
  </si>
  <si>
    <t>DKFPK4340P</t>
  </si>
  <si>
    <t>Manikya</t>
  </si>
  <si>
    <t>General Manager -Operations</t>
  </si>
  <si>
    <t>AWKPK6527G</t>
  </si>
  <si>
    <t>BZPPP1183A</t>
  </si>
  <si>
    <t>Mobin</t>
  </si>
  <si>
    <t>CNLPM7075H</t>
  </si>
  <si>
    <t>Kavya Sri</t>
  </si>
  <si>
    <t>DAIPP2102P</t>
  </si>
  <si>
    <t>Shyam</t>
  </si>
  <si>
    <t>US IT Recruiter</t>
  </si>
  <si>
    <t>DUUPD8384P</t>
  </si>
  <si>
    <t>Pramodh</t>
  </si>
  <si>
    <t>APTPT2944J</t>
  </si>
  <si>
    <t>Sai Vasanth</t>
  </si>
  <si>
    <t>ANSAP8026H</t>
  </si>
  <si>
    <t>IBUPK3109P</t>
  </si>
  <si>
    <t>HR Coordinator</t>
  </si>
  <si>
    <t>ENUPM6939P</t>
  </si>
  <si>
    <t>CKYPB7188N</t>
  </si>
  <si>
    <t>BUOPB2147L</t>
  </si>
  <si>
    <t>IT Manager</t>
  </si>
  <si>
    <t>AKJPN2303A</t>
  </si>
  <si>
    <t>COLPG6545K</t>
  </si>
  <si>
    <t>Karthik</t>
  </si>
  <si>
    <t>BWGPG2087Q</t>
  </si>
  <si>
    <t>Hudson</t>
  </si>
  <si>
    <t>EBZPA9358H</t>
  </si>
  <si>
    <t>CBBPV1329P</t>
  </si>
  <si>
    <t>Teja</t>
  </si>
  <si>
    <t>EDWPS6486M</t>
  </si>
  <si>
    <t>EAAPP9559P</t>
  </si>
  <si>
    <t>ANDPL1546N</t>
  </si>
  <si>
    <t>Gnapika</t>
  </si>
  <si>
    <t>CZBPM0896A</t>
  </si>
  <si>
    <t>EWZPP1715G</t>
  </si>
  <si>
    <t>Sum</t>
  </si>
  <si>
    <t>Average</t>
  </si>
  <si>
    <t>Running Total</t>
  </si>
  <si>
    <t>Count</t>
  </si>
  <si>
    <t>100000</t>
  </si>
  <si>
    <t>Paid</t>
  </si>
  <si>
    <t>No warnings</t>
  </si>
  <si>
    <t>0</t>
  </si>
  <si>
    <t>50000</t>
  </si>
  <si>
    <t>Employee Salary Credite</t>
  </si>
  <si>
    <t>Issue in pan Card</t>
  </si>
  <si>
    <t>10000</t>
  </si>
  <si>
    <t>13000</t>
  </si>
  <si>
    <t>20000</t>
  </si>
  <si>
    <t>employee_number</t>
  </si>
  <si>
    <t>employee_name</t>
  </si>
  <si>
    <t>job_title</t>
  </si>
  <si>
    <t>pan_number</t>
  </si>
  <si>
    <t>employment_status</t>
  </si>
  <si>
    <t>date_of_joining</t>
  </si>
  <si>
    <t>gender</t>
  </si>
  <si>
    <t>date_of_birth</t>
  </si>
  <si>
    <t>location</t>
  </si>
  <si>
    <t>department</t>
  </si>
  <si>
    <t>payroll_month</t>
  </si>
  <si>
    <t>payroll_type</t>
  </si>
  <si>
    <t>status</t>
  </si>
  <si>
    <t>status_description</t>
  </si>
  <si>
    <t>warnings</t>
  </si>
  <si>
    <t>actual_payable_days</t>
  </si>
  <si>
    <t>working_days</t>
  </si>
  <si>
    <t>loss_of_pay_days</t>
  </si>
  <si>
    <t>days_payable</t>
  </si>
  <si>
    <t>payable_units</t>
  </si>
  <si>
    <t>remuneration_amount</t>
  </si>
  <si>
    <t>basic</t>
  </si>
  <si>
    <t>hra</t>
  </si>
  <si>
    <t>medical_allowance</t>
  </si>
  <si>
    <t>transport_allowance</t>
  </si>
  <si>
    <t>pf_employer</t>
  </si>
  <si>
    <t>esi_employer</t>
  </si>
  <si>
    <t>special_allowance</t>
  </si>
  <si>
    <t>meal_coupons</t>
  </si>
  <si>
    <t>mobile_internet_allowance</t>
  </si>
  <si>
    <t>newspaper_journal_allowance</t>
  </si>
  <si>
    <t>child_education_allowance</t>
  </si>
  <si>
    <t>incentives</t>
  </si>
  <si>
    <t>other_reimbursement</t>
  </si>
  <si>
    <t>relocation_bonus</t>
  </si>
  <si>
    <t>gross_a</t>
  </si>
  <si>
    <t>total</t>
  </si>
  <si>
    <t>pf_employee</t>
  </si>
  <si>
    <t>esi_employee</t>
  </si>
  <si>
    <t>total_contributions_b</t>
  </si>
  <si>
    <t>professional_tax</t>
  </si>
  <si>
    <t>total_income_tax</t>
  </si>
  <si>
    <t>loan_deduction</t>
  </si>
  <si>
    <t>meal_coupon_service_charge</t>
  </si>
  <si>
    <t>other_deduction</t>
  </si>
  <si>
    <t>meal_coupon</t>
  </si>
  <si>
    <t>total_deductions_c</t>
  </si>
  <si>
    <t>net_pay</t>
  </si>
  <si>
    <t>cash_advance_d</t>
  </si>
  <si>
    <t>settlement_against_advance_e</t>
  </si>
  <si>
    <t>socialmedia_login_invoice</t>
  </si>
  <si>
    <t>total_reimbursements_f</t>
  </si>
  <si>
    <t>total_net_pay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</si>
</sst>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6" formatCode="[$-F800]dddd\,\ mmmm\ dd\,\ 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3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49" fontId="0" fillId="2" borderId="0" xfId="0" applyNumberFormat="1" applyFill="1"/>
    <xf numFmtId="9" fontId="0" fillId="0" borderId="0" xfId="1" applyFont="1"/>
    <xf numFmtId="166" fontId="0" fillId="0" borderId="0" xfId="1" applyNumberFormat="1" applyFont="1"/>
    <xf numFmtId="39" fontId="0" fillId="3" borderId="0" xfId="0" applyNumberFormat="1" applyFill="1"/>
    <xf numFmtId="39" fontId="0" fillId="4" borderId="0" xfId="0" applyNumberFormat="1" applyFill="1"/>
    <xf numFmtId="39" fontId="3" fillId="0" borderId="0" xfId="0" applyNumberFormat="1" applyFont="1"/>
    <xf numFmtId="39" fontId="3" fillId="4" borderId="0" xfId="0" applyNumberFormat="1" applyFont="1" applyFill="1"/>
    <xf numFmtId="39" fontId="3" fillId="3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7"/>
  <sheetViews>
    <sheetView tabSelected="1" topLeftCell="AV1" workbookViewId="0">
      <selection activeCell="BA1" sqref="BA1"/>
    </sheetView>
  </sheetViews>
  <sheetFormatPr defaultRowHeight="15" x14ac:dyDescent="0.25"/>
  <cols>
    <col min="1" max="1" width="17.85546875" style="1" bestFit="1" customWidth="1"/>
    <col min="2" max="2" width="44.28515625" style="1" bestFit="1" customWidth="1"/>
    <col min="3" max="3" width="42.140625" style="1" bestFit="1" customWidth="1"/>
    <col min="4" max="4" width="14.28515625" style="1" bestFit="1" customWidth="1"/>
    <col min="5" max="5" width="18.140625" style="1" bestFit="1" customWidth="1"/>
    <col min="6" max="6" width="14.42578125" style="2" bestFit="1" customWidth="1"/>
    <col min="7" max="7" width="8.42578125" style="1" bestFit="1" customWidth="1"/>
    <col min="8" max="8" width="12.5703125" style="2" bestFit="1" customWidth="1"/>
    <col min="9" max="9" width="31.5703125" style="1" bestFit="1" customWidth="1"/>
    <col min="10" max="10" width="20.85546875" style="1" bestFit="1" customWidth="1"/>
    <col min="11" max="11" width="13.5703125" style="8" bestFit="1" customWidth="1"/>
    <col min="12" max="12" width="11.85546875" style="8" bestFit="1" customWidth="1"/>
    <col min="13" max="13" width="19" style="8" bestFit="1" customWidth="1"/>
    <col min="14" max="14" width="41" style="8" bestFit="1" customWidth="1"/>
    <col min="15" max="15" width="30" style="1" customWidth="1"/>
    <col min="16" max="16" width="18.42578125" bestFit="1" customWidth="1"/>
    <col min="17" max="17" width="13" bestFit="1" customWidth="1"/>
    <col min="18" max="18" width="15.42578125" bestFit="1" customWidth="1"/>
    <col min="19" max="19" width="12.5703125" bestFit="1" customWidth="1"/>
    <col min="20" max="20" width="13" style="1" bestFit="1" customWidth="1"/>
    <col min="21" max="21" width="21.28515625" style="1" bestFit="1" customWidth="1"/>
    <col min="22" max="23" width="13.140625" style="3" bestFit="1" customWidth="1"/>
    <col min="24" max="24" width="17.5703125" style="3" bestFit="1" customWidth="1"/>
    <col min="25" max="25" width="19.140625" style="3" bestFit="1" customWidth="1"/>
    <col min="26" max="26" width="19.140625" style="3" customWidth="1"/>
    <col min="27" max="27" width="16.7109375" style="3" bestFit="1" customWidth="1"/>
    <col min="28" max="28" width="13.7109375" style="3" bestFit="1" customWidth="1"/>
    <col min="29" max="29" width="24.85546875" style="3" bestFit="1" customWidth="1"/>
    <col min="30" max="30" width="27.85546875" style="3" bestFit="1" customWidth="1"/>
    <col min="31" max="31" width="24.28515625" style="3" bestFit="1" customWidth="1"/>
    <col min="32" max="32" width="11.5703125" style="3" bestFit="1" customWidth="1"/>
    <col min="33" max="33" width="20" style="3" bestFit="1" customWidth="1"/>
    <col min="34" max="34" width="16.28515625" style="3" bestFit="1" customWidth="1"/>
    <col min="35" max="35" width="14.28515625" style="3" bestFit="1" customWidth="1"/>
    <col min="36" max="36" width="12.42578125" style="3" bestFit="1" customWidth="1"/>
    <col min="37" max="37" width="14.28515625" style="3" bestFit="1" customWidth="1"/>
    <col min="38" max="38" width="12.28515625" style="3" bestFit="1" customWidth="1"/>
    <col min="39" max="39" width="12.85546875" style="3" bestFit="1" customWidth="1"/>
    <col min="40" max="40" width="20.42578125" style="3" bestFit="1" customWidth="1"/>
    <col min="41" max="41" width="15.28515625" style="3" bestFit="1" customWidth="1"/>
    <col min="42" max="42" width="16" style="3" bestFit="1" customWidth="1"/>
    <col min="43" max="43" width="14.85546875" style="3" bestFit="1" customWidth="1"/>
    <col min="44" max="44" width="25.5703125" style="3" bestFit="1" customWidth="1"/>
    <col min="45" max="45" width="15.7109375" style="3" bestFit="1" customWidth="1"/>
    <col min="46" max="46" width="12.85546875" style="3" bestFit="1" customWidth="1"/>
    <col min="47" max="47" width="18.42578125" style="3" bestFit="1" customWidth="1"/>
    <col min="48" max="48" width="14.28515625" style="3" bestFit="1" customWidth="1"/>
    <col min="49" max="49" width="15.85546875" style="11" bestFit="1" customWidth="1"/>
    <col min="50" max="50" width="28.140625" style="11" bestFit="1" customWidth="1"/>
    <col min="51" max="51" width="23.7109375" style="11" bestFit="1" customWidth="1"/>
    <col min="52" max="52" width="23.140625" style="11" bestFit="1" customWidth="1"/>
    <col min="53" max="53" width="25.5703125" style="3" bestFit="1" customWidth="1"/>
  </cols>
  <sheetData>
    <row r="1" spans="1:53" x14ac:dyDescent="0.25">
      <c r="A1" s="4" t="s">
        <v>2942</v>
      </c>
      <c r="B1" s="4" t="s">
        <v>2943</v>
      </c>
      <c r="C1" s="4" t="s">
        <v>2944</v>
      </c>
      <c r="D1" s="4" t="s">
        <v>2945</v>
      </c>
      <c r="E1" s="4" t="s">
        <v>2946</v>
      </c>
      <c r="F1" s="5" t="s">
        <v>2947</v>
      </c>
      <c r="G1" s="4" t="s">
        <v>2948</v>
      </c>
      <c r="H1" s="5" t="s">
        <v>2949</v>
      </c>
      <c r="I1" s="4" t="s">
        <v>2950</v>
      </c>
      <c r="J1" s="4" t="s">
        <v>2951</v>
      </c>
      <c r="K1" s="7" t="s">
        <v>2952</v>
      </c>
      <c r="L1" s="7" t="s">
        <v>2953</v>
      </c>
      <c r="M1" s="7" t="s">
        <v>2954</v>
      </c>
      <c r="N1" s="7" t="s">
        <v>2955</v>
      </c>
      <c r="O1" s="4" t="s">
        <v>2956</v>
      </c>
      <c r="P1" s="6" t="s">
        <v>2957</v>
      </c>
      <c r="Q1" s="6" t="s">
        <v>2958</v>
      </c>
      <c r="R1" s="6" t="s">
        <v>2959</v>
      </c>
      <c r="S1" s="6" t="s">
        <v>2960</v>
      </c>
      <c r="T1" s="4" t="s">
        <v>2961</v>
      </c>
      <c r="U1" s="4" t="s">
        <v>2962</v>
      </c>
      <c r="V1" s="13" t="s">
        <v>2963</v>
      </c>
      <c r="W1" s="13" t="s">
        <v>2964</v>
      </c>
      <c r="X1" s="13" t="s">
        <v>2965</v>
      </c>
      <c r="Y1" s="13" t="s">
        <v>2966</v>
      </c>
      <c r="Z1" s="13" t="s">
        <v>2967</v>
      </c>
      <c r="AA1" s="13" t="s">
        <v>2968</v>
      </c>
      <c r="AB1" s="13" t="s">
        <v>2969</v>
      </c>
      <c r="AC1" s="13" t="s">
        <v>2970</v>
      </c>
      <c r="AD1" s="13" t="s">
        <v>2971</v>
      </c>
      <c r="AE1" s="13" t="s">
        <v>2972</v>
      </c>
      <c r="AF1" s="13" t="s">
        <v>2973</v>
      </c>
      <c r="AG1" s="13" t="s">
        <v>2974</v>
      </c>
      <c r="AH1" s="13" t="s">
        <v>2975</v>
      </c>
      <c r="AI1" s="13" t="s">
        <v>2976</v>
      </c>
      <c r="AJ1" s="13" t="s">
        <v>2977</v>
      </c>
      <c r="AK1" s="13" t="s">
        <v>2978</v>
      </c>
      <c r="AL1" s="13" t="s">
        <v>2979</v>
      </c>
      <c r="AM1" s="13" t="s">
        <v>2980</v>
      </c>
      <c r="AN1" s="13" t="s">
        <v>2981</v>
      </c>
      <c r="AO1" s="14" t="s">
        <v>2982</v>
      </c>
      <c r="AP1" s="14" t="s">
        <v>2983</v>
      </c>
      <c r="AQ1" s="14" t="s">
        <v>2984</v>
      </c>
      <c r="AR1" s="14" t="s">
        <v>2985</v>
      </c>
      <c r="AS1" s="14" t="s">
        <v>2986</v>
      </c>
      <c r="AT1" s="14" t="s">
        <v>2987</v>
      </c>
      <c r="AU1" s="13" t="s">
        <v>2988</v>
      </c>
      <c r="AV1" s="13" t="s">
        <v>2989</v>
      </c>
      <c r="AW1" s="15" t="s">
        <v>2990</v>
      </c>
      <c r="AX1" s="15" t="s">
        <v>2991</v>
      </c>
      <c r="AY1" s="15" t="s">
        <v>2992</v>
      </c>
      <c r="AZ1" s="15" t="s">
        <v>2993</v>
      </c>
      <c r="BA1" s="13" t="s">
        <v>2994</v>
      </c>
    </row>
    <row r="2" spans="1:53" x14ac:dyDescent="0.25">
      <c r="A2" s="1" t="s">
        <v>0</v>
      </c>
      <c r="B2" s="9" t="s">
        <v>1057</v>
      </c>
      <c r="C2" s="9" t="s">
        <v>1058</v>
      </c>
      <c r="D2" s="9" t="s">
        <v>1059</v>
      </c>
      <c r="E2" s="9" t="s">
        <v>1008</v>
      </c>
      <c r="F2" s="10">
        <v>38938</v>
      </c>
      <c r="G2" s="9" t="s">
        <v>1019</v>
      </c>
      <c r="I2" s="9" t="s">
        <v>1014</v>
      </c>
      <c r="J2" s="9" t="s">
        <v>1056</v>
      </c>
      <c r="K2" s="8" t="s">
        <v>1006</v>
      </c>
      <c r="L2" s="8" t="s">
        <v>1007</v>
      </c>
      <c r="M2" s="8" t="s">
        <v>2933</v>
      </c>
      <c r="N2" s="8" t="s">
        <v>2937</v>
      </c>
      <c r="O2" s="1" t="s">
        <v>2938</v>
      </c>
      <c r="P2">
        <v>30</v>
      </c>
      <c r="Q2">
        <v>30</v>
      </c>
      <c r="R2">
        <v>0</v>
      </c>
      <c r="S2">
        <f>SUM(Q2-R2)</f>
        <v>30</v>
      </c>
      <c r="T2" s="1" t="s">
        <v>2935</v>
      </c>
      <c r="U2" s="1" t="s">
        <v>2936</v>
      </c>
      <c r="V2" s="3">
        <f>ROUND((U2*40%) / Q2  * S2,0)</f>
        <v>20000</v>
      </c>
      <c r="W2" s="3">
        <f>ROUND((U2*16%) / Q2  * S2,0)</f>
        <v>8000</v>
      </c>
      <c r="X2" s="3">
        <f>ROUND(1250 - ((1250/Q2)*R2),0)</f>
        <v>1250</v>
      </c>
      <c r="Y2" s="3">
        <f>ROUND(1600 - (1600/Q2) *R2,0)</f>
        <v>1600</v>
      </c>
      <c r="Z2" s="3">
        <f>IF(V2&lt;=15000,V2*12%,1800)</f>
        <v>1800</v>
      </c>
      <c r="AA2" s="3">
        <v>0</v>
      </c>
      <c r="AB2" s="3">
        <f>ROUND(U2 - (V2+W2+X2+Y2+Z2) - (U2/Q2 * R2),0)</f>
        <v>17350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f>SUM(V2+W2+X2+Y2+AB2)</f>
        <v>48200</v>
      </c>
      <c r="AK2" s="3">
        <f>SUM(AJ2-AA2)</f>
        <v>48200</v>
      </c>
      <c r="AL2" s="3">
        <f>IF(V2&lt;=15000,V2*12%,1800)</f>
        <v>1800</v>
      </c>
      <c r="AM2" s="3">
        <v>0</v>
      </c>
      <c r="AN2" s="3">
        <f>SUM(AL2+AM2)</f>
        <v>1800</v>
      </c>
      <c r="AO2" s="12">
        <v>200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3">
        <f>SUM(AO2:AT2)</f>
        <v>200</v>
      </c>
      <c r="AV2" s="3">
        <f>SUM(AJ2 - AN2 - AU2)</f>
        <v>46200</v>
      </c>
      <c r="AW2" s="11">
        <v>0</v>
      </c>
      <c r="AX2" s="11">
        <v>0</v>
      </c>
      <c r="AY2" s="11">
        <v>0</v>
      </c>
      <c r="AZ2" s="11">
        <v>0</v>
      </c>
      <c r="BA2" s="3">
        <f>AV2+AW2+AX2+AZ2</f>
        <v>46200</v>
      </c>
    </row>
    <row r="3" spans="1:53" x14ac:dyDescent="0.25">
      <c r="A3" s="1" t="s">
        <v>1</v>
      </c>
      <c r="B3" s="9" t="s">
        <v>1053</v>
      </c>
      <c r="C3" s="9" t="s">
        <v>1054</v>
      </c>
      <c r="D3" s="9" t="s">
        <v>1055</v>
      </c>
      <c r="E3" s="9" t="s">
        <v>1008</v>
      </c>
      <c r="F3" s="10">
        <v>42139</v>
      </c>
      <c r="G3" s="9" t="s">
        <v>1013</v>
      </c>
      <c r="I3" s="9" t="s">
        <v>1014</v>
      </c>
      <c r="J3" s="9" t="s">
        <v>1056</v>
      </c>
      <c r="K3" s="8" t="s">
        <v>1006</v>
      </c>
      <c r="L3" s="8" t="s">
        <v>1007</v>
      </c>
      <c r="M3" s="8" t="s">
        <v>2933</v>
      </c>
      <c r="N3" s="8" t="s">
        <v>2937</v>
      </c>
      <c r="O3" s="1" t="s">
        <v>2934</v>
      </c>
      <c r="P3">
        <v>30</v>
      </c>
      <c r="Q3">
        <v>30</v>
      </c>
      <c r="R3">
        <v>0</v>
      </c>
      <c r="S3">
        <f>SUM(Q3-R3)</f>
        <v>30</v>
      </c>
      <c r="T3" s="1" t="s">
        <v>2935</v>
      </c>
      <c r="U3" s="1" t="s">
        <v>2936</v>
      </c>
      <c r="V3" s="3">
        <f t="shared" ref="V3:V4" si="0">ROUND((U3*40%) / Q3  * S3,0)</f>
        <v>20000</v>
      </c>
      <c r="W3" s="3">
        <f>ROUND((U3*16%) / Q3  * S3,0)</f>
        <v>8000</v>
      </c>
      <c r="X3" s="3">
        <f t="shared" ref="X3:X66" si="1">ROUND(1250 - ((1250/Q3)*R3),0)</f>
        <v>1250</v>
      </c>
      <c r="Y3" s="3">
        <f t="shared" ref="Y3:Y66" si="2">ROUND(1600 - (1600/Q3) *R3,0)</f>
        <v>1600</v>
      </c>
      <c r="Z3" s="3">
        <f t="shared" ref="Z3:Z66" si="3">IF(V3&lt;=15000,V3*12%,1800)</f>
        <v>1800</v>
      </c>
      <c r="AA3" s="3">
        <v>0</v>
      </c>
      <c r="AB3" s="3">
        <f>ROUND(U3 - (V3+W3+X3+Y3+Z3) - (U3/Q3 * R3) - 1800,0)</f>
        <v>15550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f>SUM(V3+W3+X3+Y3+AB3)</f>
        <v>46400</v>
      </c>
      <c r="AK3" s="3">
        <f>SUM(AJ3-AA3)</f>
        <v>46400</v>
      </c>
      <c r="AL3" s="3">
        <f>IF(V3&lt;=15000,V3*12%,1800)</f>
        <v>1800</v>
      </c>
      <c r="AM3" s="3">
        <v>0</v>
      </c>
      <c r="AN3" s="3">
        <f t="shared" ref="AN3:AN66" si="4">SUM(AL3+AM3)</f>
        <v>1800</v>
      </c>
      <c r="AO3" s="12">
        <v>200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3">
        <f t="shared" ref="AU3" si="5">SUM(AO3:AT3)</f>
        <v>200</v>
      </c>
      <c r="AV3" s="3">
        <f>SUM(AJ3 - AN3 - AU3)</f>
        <v>44400</v>
      </c>
      <c r="AW3" s="11">
        <v>0</v>
      </c>
      <c r="AX3" s="11">
        <v>0</v>
      </c>
      <c r="AY3" s="11">
        <v>0</v>
      </c>
      <c r="AZ3" s="11">
        <v>0</v>
      </c>
      <c r="BA3" s="3">
        <f t="shared" ref="BA3:BA66" si="6">AV3+AW3+AX3+AZ3</f>
        <v>44400</v>
      </c>
    </row>
    <row r="4" spans="1:53" x14ac:dyDescent="0.25">
      <c r="A4" s="1" t="s">
        <v>2</v>
      </c>
      <c r="B4" s="9" t="s">
        <v>1049</v>
      </c>
      <c r="C4" s="9" t="s">
        <v>1050</v>
      </c>
      <c r="D4" s="9" t="s">
        <v>1051</v>
      </c>
      <c r="E4" s="9" t="s">
        <v>1012</v>
      </c>
      <c r="F4" s="10">
        <v>39594</v>
      </c>
      <c r="G4" s="9" t="s">
        <v>1019</v>
      </c>
      <c r="I4" s="9" t="s">
        <v>1042</v>
      </c>
      <c r="J4" s="9" t="s">
        <v>1052</v>
      </c>
      <c r="K4" s="8" t="s">
        <v>1006</v>
      </c>
      <c r="L4" s="8" t="s">
        <v>1007</v>
      </c>
      <c r="M4" s="8" t="s">
        <v>2933</v>
      </c>
      <c r="N4" s="8" t="s">
        <v>2937</v>
      </c>
      <c r="O4" s="1" t="s">
        <v>2934</v>
      </c>
      <c r="P4">
        <v>30</v>
      </c>
      <c r="Q4">
        <v>30</v>
      </c>
      <c r="R4">
        <v>0</v>
      </c>
      <c r="S4">
        <f>SUM(Q4-R4)</f>
        <v>30</v>
      </c>
      <c r="T4" s="1" t="s">
        <v>2935</v>
      </c>
      <c r="U4" s="1" t="s">
        <v>2941</v>
      </c>
      <c r="V4" s="3">
        <f t="shared" si="0"/>
        <v>8000</v>
      </c>
      <c r="W4" s="3">
        <f>ROUND((U4*16%) / Q4  * S4,0)</f>
        <v>3200</v>
      </c>
      <c r="X4" s="3">
        <f t="shared" si="1"/>
        <v>1250</v>
      </c>
      <c r="Y4" s="3">
        <f t="shared" si="2"/>
        <v>1600</v>
      </c>
      <c r="Z4" s="3">
        <f t="shared" si="3"/>
        <v>960</v>
      </c>
      <c r="AA4" s="3">
        <f>ROUND((V4*5%) / Q4  * S4,0)</f>
        <v>400</v>
      </c>
      <c r="AB4" s="3">
        <f>ROUND(U4 - (V4+W4+X4+Y4+Z4+AA4) - (U4/Q4 * R4),0)</f>
        <v>4590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f>SUM(V4+W4+X4+Y4+AB4)</f>
        <v>18640</v>
      </c>
      <c r="AK4" s="3">
        <f>SUM(AJ4-AA4)</f>
        <v>18240</v>
      </c>
      <c r="AL4" s="3">
        <f>IF(V4&lt;=15000,V4*12%,1800)</f>
        <v>960</v>
      </c>
      <c r="AM4" s="3">
        <f>ROUND((V4*0.75%) / V4  * V4,0)</f>
        <v>60</v>
      </c>
      <c r="AN4" s="3">
        <f t="shared" si="4"/>
        <v>1020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3">
        <f t="shared" ref="AU4:AU67" si="7">SUM(AO4:AT4)</f>
        <v>0</v>
      </c>
      <c r="AV4" s="3">
        <f>SUM(AJ4 - AN4 - AU4)</f>
        <v>17620</v>
      </c>
      <c r="AW4" s="11">
        <v>0</v>
      </c>
      <c r="AX4" s="11">
        <v>0</v>
      </c>
      <c r="AY4" s="11">
        <v>0</v>
      </c>
      <c r="AZ4" s="11">
        <v>0</v>
      </c>
      <c r="BA4" s="3">
        <f t="shared" si="6"/>
        <v>17620</v>
      </c>
    </row>
    <row r="5" spans="1:53" x14ac:dyDescent="0.25">
      <c r="A5" s="1" t="s">
        <v>3</v>
      </c>
      <c r="B5" s="9" t="s">
        <v>1045</v>
      </c>
      <c r="C5" s="9" t="s">
        <v>1046</v>
      </c>
      <c r="D5" s="9" t="s">
        <v>1047</v>
      </c>
      <c r="E5" s="9" t="s">
        <v>1012</v>
      </c>
      <c r="F5" s="10">
        <v>41232</v>
      </c>
      <c r="G5" s="9" t="s">
        <v>1019</v>
      </c>
      <c r="I5" s="9" t="s">
        <v>1042</v>
      </c>
      <c r="J5" s="9" t="s">
        <v>1048</v>
      </c>
      <c r="K5" s="8" t="s">
        <v>1006</v>
      </c>
      <c r="L5" s="8" t="s">
        <v>1007</v>
      </c>
      <c r="M5" s="8" t="s">
        <v>2933</v>
      </c>
      <c r="N5" s="8" t="s">
        <v>2937</v>
      </c>
      <c r="O5" s="1" t="s">
        <v>2934</v>
      </c>
      <c r="P5">
        <v>30</v>
      </c>
      <c r="Q5">
        <v>30</v>
      </c>
      <c r="R5">
        <v>0</v>
      </c>
      <c r="S5">
        <f t="shared" ref="S5:S68" si="8">SUM(Q5-R5)</f>
        <v>30</v>
      </c>
      <c r="T5" s="1" t="s">
        <v>2935</v>
      </c>
      <c r="U5" s="1" t="s">
        <v>2940</v>
      </c>
      <c r="V5" s="3">
        <f t="shared" ref="V5:V68" si="9">ROUND((U5*40%) / Q5  * S5,0)</f>
        <v>5200</v>
      </c>
      <c r="W5" s="3">
        <f t="shared" ref="W5:W68" si="10">ROUND((U5*16%) / Q5  * S5,0)</f>
        <v>2080</v>
      </c>
      <c r="X5" s="3">
        <f t="shared" si="1"/>
        <v>1250</v>
      </c>
      <c r="Y5" s="3">
        <f t="shared" si="2"/>
        <v>1600</v>
      </c>
      <c r="Z5" s="3">
        <f t="shared" si="3"/>
        <v>624</v>
      </c>
      <c r="AA5" s="3">
        <v>0</v>
      </c>
      <c r="AB5" s="3">
        <f>ROUND(U5 - (V5+W5+X5+Y5) - (U5/Q5 * 2),0)</f>
        <v>2003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f>SUM(V5+W5+X5+Y5+AB5)</f>
        <v>12133</v>
      </c>
      <c r="AK5" s="3">
        <f>SUM(AJ5-AA5)</f>
        <v>12133</v>
      </c>
      <c r="AL5" s="3">
        <f>IF(V5&lt;=15000,V5*12%,1800)</f>
        <v>624</v>
      </c>
      <c r="AM5" s="3">
        <f>ROUND((V5*0.75%) / V5  * V5,0)</f>
        <v>39</v>
      </c>
      <c r="AN5" s="3">
        <f t="shared" si="4"/>
        <v>663</v>
      </c>
      <c r="AO5" s="12">
        <v>200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3">
        <f t="shared" si="7"/>
        <v>200</v>
      </c>
      <c r="AV5" s="3">
        <f>SUM(AJ5 - AN5 - AU5)</f>
        <v>11270</v>
      </c>
      <c r="AW5" s="11">
        <v>0</v>
      </c>
      <c r="AX5" s="11">
        <v>0</v>
      </c>
      <c r="AY5" s="11">
        <v>0</v>
      </c>
      <c r="AZ5" s="11">
        <v>0</v>
      </c>
      <c r="BA5" s="3">
        <f t="shared" si="6"/>
        <v>11270</v>
      </c>
    </row>
    <row r="6" spans="1:53" x14ac:dyDescent="0.25">
      <c r="A6" s="1" t="s">
        <v>4</v>
      </c>
      <c r="B6" s="9" t="s">
        <v>1043</v>
      </c>
      <c r="C6" s="9" t="s">
        <v>1038</v>
      </c>
      <c r="D6" s="9" t="s">
        <v>1044</v>
      </c>
      <c r="E6" s="9" t="s">
        <v>1012</v>
      </c>
      <c r="F6" s="10">
        <v>44951</v>
      </c>
      <c r="G6" s="9" t="s">
        <v>1019</v>
      </c>
      <c r="I6" s="9" t="s">
        <v>1035</v>
      </c>
      <c r="J6" s="9" t="s">
        <v>1031</v>
      </c>
      <c r="K6" s="8" t="s">
        <v>1006</v>
      </c>
      <c r="L6" s="8" t="s">
        <v>1007</v>
      </c>
      <c r="M6" s="8" t="s">
        <v>2933</v>
      </c>
      <c r="N6" s="8" t="s">
        <v>2937</v>
      </c>
      <c r="O6" s="1" t="s">
        <v>2934</v>
      </c>
      <c r="P6">
        <v>30</v>
      </c>
      <c r="Q6">
        <v>30</v>
      </c>
      <c r="R6">
        <v>0</v>
      </c>
      <c r="S6">
        <f t="shared" si="8"/>
        <v>30</v>
      </c>
      <c r="T6" s="1" t="s">
        <v>2935</v>
      </c>
      <c r="U6" s="1" t="s">
        <v>2932</v>
      </c>
      <c r="V6" s="3">
        <f t="shared" si="9"/>
        <v>40000</v>
      </c>
      <c r="W6" s="3">
        <f t="shared" si="10"/>
        <v>16000</v>
      </c>
      <c r="X6" s="3">
        <f t="shared" si="1"/>
        <v>1250</v>
      </c>
      <c r="Y6" s="3">
        <f t="shared" si="2"/>
        <v>1600</v>
      </c>
      <c r="Z6" s="3">
        <f t="shared" si="3"/>
        <v>1800</v>
      </c>
      <c r="AA6" s="3">
        <v>0</v>
      </c>
      <c r="AB6" s="3">
        <f>ROUND(U6 - (V6+W6+X6+Y6) - (U6/Q6 * 2),0)</f>
        <v>34483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f>SUM(V6+W6+X6+Y6+AB6)</f>
        <v>93333</v>
      </c>
      <c r="AK6" s="3">
        <f>SUM(AJ6-AA6)</f>
        <v>93333</v>
      </c>
      <c r="AL6" s="3">
        <f>IF(V6&lt;=15000,V6*12%,1800)</f>
        <v>1800</v>
      </c>
      <c r="AM6" s="3">
        <v>0</v>
      </c>
      <c r="AN6" s="3">
        <f t="shared" si="4"/>
        <v>1800</v>
      </c>
      <c r="AO6" s="12">
        <v>200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3">
        <f t="shared" si="7"/>
        <v>200</v>
      </c>
      <c r="AV6" s="3">
        <f>SUM(AJ6 - AN6 - AU6)</f>
        <v>91333</v>
      </c>
      <c r="AW6" s="11">
        <v>0</v>
      </c>
      <c r="AX6" s="11">
        <v>0</v>
      </c>
      <c r="AY6" s="11">
        <v>0</v>
      </c>
      <c r="AZ6" s="11">
        <v>0</v>
      </c>
      <c r="BA6" s="3">
        <f t="shared" si="6"/>
        <v>91333</v>
      </c>
    </row>
    <row r="7" spans="1:53" x14ac:dyDescent="0.25">
      <c r="A7" s="1" t="s">
        <v>5</v>
      </c>
      <c r="B7" s="9" t="s">
        <v>1040</v>
      </c>
      <c r="C7" s="9" t="s">
        <v>1029</v>
      </c>
      <c r="D7" s="9" t="s">
        <v>1041</v>
      </c>
      <c r="E7" s="9" t="s">
        <v>1012</v>
      </c>
      <c r="F7" s="10">
        <v>44958</v>
      </c>
      <c r="G7" s="9" t="s">
        <v>1019</v>
      </c>
      <c r="I7" s="9" t="s">
        <v>1042</v>
      </c>
      <c r="J7" s="9" t="s">
        <v>1031</v>
      </c>
      <c r="K7" s="8" t="s">
        <v>1006</v>
      </c>
      <c r="L7" s="8" t="s">
        <v>1007</v>
      </c>
      <c r="M7" s="8" t="s">
        <v>2933</v>
      </c>
      <c r="N7" s="8" t="s">
        <v>2937</v>
      </c>
      <c r="O7" s="1" t="s">
        <v>2934</v>
      </c>
      <c r="P7">
        <v>30</v>
      </c>
      <c r="Q7">
        <v>30</v>
      </c>
      <c r="R7">
        <v>0</v>
      </c>
      <c r="S7">
        <f t="shared" si="8"/>
        <v>30</v>
      </c>
      <c r="T7" s="1" t="s">
        <v>2935</v>
      </c>
      <c r="U7" s="1" t="s">
        <v>2932</v>
      </c>
      <c r="V7" s="3">
        <f t="shared" si="9"/>
        <v>40000</v>
      </c>
      <c r="W7" s="3">
        <f t="shared" si="10"/>
        <v>16000</v>
      </c>
      <c r="X7" s="3">
        <f t="shared" si="1"/>
        <v>1250</v>
      </c>
      <c r="Y7" s="3">
        <f t="shared" si="2"/>
        <v>1600</v>
      </c>
      <c r="Z7" s="3">
        <f t="shared" si="3"/>
        <v>1800</v>
      </c>
      <c r="AA7" s="3">
        <v>0</v>
      </c>
      <c r="AB7" s="3">
        <f>ROUND(U7 - (V7+W7+X7+Y7) - (U7/Q7 * 2),0)</f>
        <v>34483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f>SUM(V7+W7+X7+Y7+AB7)</f>
        <v>93333</v>
      </c>
      <c r="AK7" s="3">
        <f>SUM(AJ7-AA7)</f>
        <v>93333</v>
      </c>
      <c r="AL7" s="3">
        <f>IF(V7&lt;=15000,V7*12%,1800)</f>
        <v>1800</v>
      </c>
      <c r="AM7" s="3">
        <v>0</v>
      </c>
      <c r="AN7" s="3">
        <f t="shared" si="4"/>
        <v>1800</v>
      </c>
      <c r="AO7" s="12">
        <v>200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3">
        <f t="shared" si="7"/>
        <v>200</v>
      </c>
      <c r="AV7" s="3">
        <f>SUM(AJ7 - AN7 - AU7)</f>
        <v>91333</v>
      </c>
      <c r="AW7" s="11">
        <v>0</v>
      </c>
      <c r="AX7" s="11">
        <v>0</v>
      </c>
      <c r="AY7" s="11">
        <v>0</v>
      </c>
      <c r="AZ7" s="11">
        <v>0</v>
      </c>
      <c r="BA7" s="3">
        <f t="shared" si="6"/>
        <v>91333</v>
      </c>
    </row>
    <row r="8" spans="1:53" x14ac:dyDescent="0.25">
      <c r="A8" s="1" t="s">
        <v>6</v>
      </c>
      <c r="B8" s="9" t="s">
        <v>1037</v>
      </c>
      <c r="C8" s="9" t="s">
        <v>1038</v>
      </c>
      <c r="D8" s="9" t="s">
        <v>1039</v>
      </c>
      <c r="E8" s="9" t="s">
        <v>1012</v>
      </c>
      <c r="F8" s="10">
        <v>44970</v>
      </c>
      <c r="G8" s="9" t="s">
        <v>1019</v>
      </c>
      <c r="I8" s="9" t="s">
        <v>1035</v>
      </c>
      <c r="J8" s="9" t="s">
        <v>1031</v>
      </c>
      <c r="K8" s="8" t="s">
        <v>1006</v>
      </c>
      <c r="L8" s="8" t="s">
        <v>1007</v>
      </c>
      <c r="M8" s="8" t="s">
        <v>2933</v>
      </c>
      <c r="N8" s="8" t="s">
        <v>2937</v>
      </c>
      <c r="O8" s="1" t="s">
        <v>2934</v>
      </c>
      <c r="P8">
        <v>30</v>
      </c>
      <c r="Q8">
        <v>30</v>
      </c>
      <c r="R8">
        <v>0</v>
      </c>
      <c r="S8">
        <f t="shared" si="8"/>
        <v>30</v>
      </c>
      <c r="T8" s="1" t="s">
        <v>2935</v>
      </c>
      <c r="U8" s="1" t="s">
        <v>2932</v>
      </c>
      <c r="V8" s="3">
        <f t="shared" si="9"/>
        <v>40000</v>
      </c>
      <c r="W8" s="3">
        <f t="shared" si="10"/>
        <v>16000</v>
      </c>
      <c r="X8" s="3">
        <f t="shared" si="1"/>
        <v>1250</v>
      </c>
      <c r="Y8" s="3">
        <f t="shared" si="2"/>
        <v>1600</v>
      </c>
      <c r="Z8" s="3">
        <f t="shared" si="3"/>
        <v>1800</v>
      </c>
      <c r="AA8" s="3">
        <v>0</v>
      </c>
      <c r="AB8" s="3">
        <f>ROUND(U8 - (V8+W8+X8+Y8) - (U8/Q8 * 2),0)</f>
        <v>34483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f>SUM(V8+W8+X8+Y8+AB8)</f>
        <v>93333</v>
      </c>
      <c r="AK8" s="3">
        <f>SUM(AJ8-AA8)</f>
        <v>93333</v>
      </c>
      <c r="AL8" s="3">
        <f>IF(V8&lt;=15000,V8*12%,1800)</f>
        <v>1800</v>
      </c>
      <c r="AM8" s="3">
        <v>0</v>
      </c>
      <c r="AN8" s="3">
        <f t="shared" si="4"/>
        <v>1800</v>
      </c>
      <c r="AO8" s="12">
        <v>200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3">
        <f t="shared" si="7"/>
        <v>200</v>
      </c>
      <c r="AV8" s="3">
        <f>SUM(AJ8 - AN8 - AU8)</f>
        <v>91333</v>
      </c>
      <c r="AW8" s="11">
        <v>0</v>
      </c>
      <c r="AX8" s="11">
        <v>0</v>
      </c>
      <c r="AY8" s="11">
        <v>0</v>
      </c>
      <c r="AZ8" s="11">
        <v>0</v>
      </c>
      <c r="BA8" s="3">
        <f t="shared" si="6"/>
        <v>91333</v>
      </c>
    </row>
    <row r="9" spans="1:53" x14ac:dyDescent="0.25">
      <c r="A9" s="1" t="s">
        <v>7</v>
      </c>
      <c r="B9" s="9" t="s">
        <v>1032</v>
      </c>
      <c r="C9" s="9" t="s">
        <v>1033</v>
      </c>
      <c r="D9" s="9" t="s">
        <v>1034</v>
      </c>
      <c r="E9" s="9" t="s">
        <v>1012</v>
      </c>
      <c r="F9" s="10">
        <v>44970</v>
      </c>
      <c r="G9" s="9" t="s">
        <v>1013</v>
      </c>
      <c r="I9" s="9" t="s">
        <v>1035</v>
      </c>
      <c r="J9" s="9" t="s">
        <v>1036</v>
      </c>
      <c r="K9" s="8" t="s">
        <v>1006</v>
      </c>
      <c r="L9" s="8" t="s">
        <v>1007</v>
      </c>
      <c r="M9" s="8" t="s">
        <v>2933</v>
      </c>
      <c r="N9" s="8" t="s">
        <v>2937</v>
      </c>
      <c r="O9" s="1" t="s">
        <v>2934</v>
      </c>
      <c r="P9">
        <v>30</v>
      </c>
      <c r="Q9">
        <v>30</v>
      </c>
      <c r="R9">
        <v>0</v>
      </c>
      <c r="S9">
        <f t="shared" si="8"/>
        <v>30</v>
      </c>
      <c r="T9" s="1" t="s">
        <v>2935</v>
      </c>
      <c r="U9" s="1" t="s">
        <v>2932</v>
      </c>
      <c r="V9" s="3">
        <f t="shared" si="9"/>
        <v>40000</v>
      </c>
      <c r="W9" s="3">
        <f t="shared" si="10"/>
        <v>16000</v>
      </c>
      <c r="X9" s="3">
        <f t="shared" si="1"/>
        <v>1250</v>
      </c>
      <c r="Y9" s="3">
        <f t="shared" si="2"/>
        <v>1600</v>
      </c>
      <c r="Z9" s="3">
        <f t="shared" si="3"/>
        <v>1800</v>
      </c>
      <c r="AA9" s="3">
        <v>0</v>
      </c>
      <c r="AB9" s="3">
        <f>ROUND(U9 - (V9+W9+X9+Y9) - (U9/Q9 * 2),0)</f>
        <v>34483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f>SUM(V9+W9+X9+Y9+AB9)</f>
        <v>93333</v>
      </c>
      <c r="AK9" s="3">
        <f>SUM(AJ9-AA9)</f>
        <v>93333</v>
      </c>
      <c r="AL9" s="3">
        <f>IF(V9&lt;=15000,V9*12%,1800)</f>
        <v>1800</v>
      </c>
      <c r="AM9" s="3">
        <v>0</v>
      </c>
      <c r="AN9" s="3">
        <f t="shared" si="4"/>
        <v>1800</v>
      </c>
      <c r="AO9" s="12">
        <v>200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3">
        <f t="shared" si="7"/>
        <v>200</v>
      </c>
      <c r="AV9" s="3">
        <f>SUM(AJ9 - AN9 - AU9)</f>
        <v>91333</v>
      </c>
      <c r="AW9" s="11">
        <v>0</v>
      </c>
      <c r="AX9" s="11">
        <v>0</v>
      </c>
      <c r="AY9" s="11">
        <v>0</v>
      </c>
      <c r="AZ9" s="11">
        <v>0</v>
      </c>
      <c r="BA9" s="3">
        <f t="shared" si="6"/>
        <v>91333</v>
      </c>
    </row>
    <row r="10" spans="1:53" x14ac:dyDescent="0.25">
      <c r="A10" s="1" t="s">
        <v>8</v>
      </c>
      <c r="B10" s="9" t="s">
        <v>1028</v>
      </c>
      <c r="C10" s="9" t="s">
        <v>1029</v>
      </c>
      <c r="D10" s="9" t="s">
        <v>1030</v>
      </c>
      <c r="E10" s="9" t="s">
        <v>1012</v>
      </c>
      <c r="F10" s="10">
        <v>44963</v>
      </c>
      <c r="G10" s="9" t="s">
        <v>1013</v>
      </c>
      <c r="I10" s="9" t="s">
        <v>1020</v>
      </c>
      <c r="J10" s="9" t="s">
        <v>1031</v>
      </c>
      <c r="K10" s="8" t="s">
        <v>1006</v>
      </c>
      <c r="L10" s="8" t="s">
        <v>1007</v>
      </c>
      <c r="M10" s="8" t="s">
        <v>2933</v>
      </c>
      <c r="N10" s="8" t="s">
        <v>2937</v>
      </c>
      <c r="O10" s="1" t="s">
        <v>2934</v>
      </c>
      <c r="P10">
        <v>30</v>
      </c>
      <c r="Q10">
        <v>30</v>
      </c>
      <c r="R10">
        <v>0</v>
      </c>
      <c r="S10">
        <f t="shared" si="8"/>
        <v>30</v>
      </c>
      <c r="T10" s="1" t="s">
        <v>2935</v>
      </c>
      <c r="U10" s="1" t="s">
        <v>2932</v>
      </c>
      <c r="V10" s="3">
        <f t="shared" si="9"/>
        <v>40000</v>
      </c>
      <c r="W10" s="3">
        <f t="shared" si="10"/>
        <v>16000</v>
      </c>
      <c r="X10" s="3">
        <f t="shared" si="1"/>
        <v>1250</v>
      </c>
      <c r="Y10" s="3">
        <f t="shared" si="2"/>
        <v>1600</v>
      </c>
      <c r="Z10" s="3">
        <f t="shared" si="3"/>
        <v>1800</v>
      </c>
      <c r="AA10" s="3">
        <v>0</v>
      </c>
      <c r="AB10" s="3">
        <f>ROUND(U10 - (V10+W10+X10+Y10) - (U10/Q10 * 2),0)</f>
        <v>34483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f>SUM(V10+W10+X10+Y10+AB10)</f>
        <v>93333</v>
      </c>
      <c r="AK10" s="3">
        <f>SUM(AJ10-AA10)</f>
        <v>93333</v>
      </c>
      <c r="AL10" s="3">
        <f>IF(V10&lt;=15000,V10*12%,1800)</f>
        <v>1800</v>
      </c>
      <c r="AM10" s="3">
        <v>0</v>
      </c>
      <c r="AN10" s="3">
        <f t="shared" si="4"/>
        <v>1800</v>
      </c>
      <c r="AO10" s="12">
        <v>200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3">
        <f t="shared" si="7"/>
        <v>200</v>
      </c>
      <c r="AV10" s="3">
        <f>SUM(AJ10 - AN10 - AU10)</f>
        <v>91333</v>
      </c>
      <c r="AW10" s="11">
        <v>0</v>
      </c>
      <c r="AX10" s="11">
        <v>0</v>
      </c>
      <c r="AY10" s="11">
        <v>0</v>
      </c>
      <c r="AZ10" s="11">
        <v>0</v>
      </c>
      <c r="BA10" s="3">
        <f t="shared" si="6"/>
        <v>91333</v>
      </c>
    </row>
    <row r="11" spans="1:53" x14ac:dyDescent="0.25">
      <c r="A11" s="1" t="s">
        <v>9</v>
      </c>
      <c r="B11" s="9" t="s">
        <v>1025</v>
      </c>
      <c r="C11" s="9" t="s">
        <v>1026</v>
      </c>
      <c r="D11" s="9" t="s">
        <v>1027</v>
      </c>
      <c r="E11" s="9" t="s">
        <v>1012</v>
      </c>
      <c r="F11" s="10">
        <v>44966</v>
      </c>
      <c r="G11" s="9" t="s">
        <v>1019</v>
      </c>
      <c r="I11" s="9" t="s">
        <v>1014</v>
      </c>
      <c r="J11" s="9" t="s">
        <v>1015</v>
      </c>
      <c r="K11" s="8" t="s">
        <v>1006</v>
      </c>
      <c r="L11" s="8" t="s">
        <v>1007</v>
      </c>
      <c r="M11" s="8" t="s">
        <v>2933</v>
      </c>
      <c r="N11" s="8" t="s">
        <v>2937</v>
      </c>
      <c r="O11" s="1" t="s">
        <v>2934</v>
      </c>
      <c r="P11">
        <v>30</v>
      </c>
      <c r="Q11">
        <v>30</v>
      </c>
      <c r="R11">
        <v>0</v>
      </c>
      <c r="S11">
        <f t="shared" si="8"/>
        <v>30</v>
      </c>
      <c r="T11" s="1" t="s">
        <v>2935</v>
      </c>
      <c r="U11" s="1" t="s">
        <v>2932</v>
      </c>
      <c r="V11" s="3">
        <f t="shared" si="9"/>
        <v>40000</v>
      </c>
      <c r="W11" s="3">
        <f t="shared" si="10"/>
        <v>16000</v>
      </c>
      <c r="X11" s="3">
        <f t="shared" si="1"/>
        <v>1250</v>
      </c>
      <c r="Y11" s="3">
        <f t="shared" si="2"/>
        <v>1600</v>
      </c>
      <c r="Z11" s="3">
        <f t="shared" si="3"/>
        <v>1800</v>
      </c>
      <c r="AA11" s="3">
        <v>0</v>
      </c>
      <c r="AB11" s="3">
        <f>ROUND(U11 - (V11+W11+X11+Y11) - (U11/Q11 * 2),0)</f>
        <v>34483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f>SUM(V11+W11+X11+Y11+AB11)</f>
        <v>93333</v>
      </c>
      <c r="AK11" s="3">
        <f>SUM(AJ11-AA11)</f>
        <v>93333</v>
      </c>
      <c r="AL11" s="3">
        <f>IF(V11&lt;=15000,V11*12%,1800)</f>
        <v>1800</v>
      </c>
      <c r="AM11" s="3">
        <v>0</v>
      </c>
      <c r="AN11" s="3">
        <f t="shared" si="4"/>
        <v>1800</v>
      </c>
      <c r="AO11" s="12">
        <v>200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3">
        <f t="shared" si="7"/>
        <v>200</v>
      </c>
      <c r="AV11" s="3">
        <f>SUM(AJ11 - AN11 - AU11)</f>
        <v>91333</v>
      </c>
      <c r="AW11" s="11">
        <v>0</v>
      </c>
      <c r="AX11" s="11">
        <v>0</v>
      </c>
      <c r="AY11" s="11">
        <v>0</v>
      </c>
      <c r="AZ11" s="11">
        <v>0</v>
      </c>
      <c r="BA11" s="3">
        <f t="shared" si="6"/>
        <v>91333</v>
      </c>
    </row>
    <row r="12" spans="1:53" x14ac:dyDescent="0.25">
      <c r="A12" s="1" t="s">
        <v>10</v>
      </c>
      <c r="B12" s="9" t="s">
        <v>1022</v>
      </c>
      <c r="C12" s="9" t="s">
        <v>1023</v>
      </c>
      <c r="D12" s="9" t="s">
        <v>1024</v>
      </c>
      <c r="E12" s="9" t="s">
        <v>1012</v>
      </c>
      <c r="F12" s="10">
        <v>44972</v>
      </c>
      <c r="G12" s="9" t="s">
        <v>1019</v>
      </c>
      <c r="I12" s="9" t="s">
        <v>1014</v>
      </c>
      <c r="J12" s="9" t="s">
        <v>1021</v>
      </c>
      <c r="K12" s="8" t="s">
        <v>1006</v>
      </c>
      <c r="L12" s="8" t="s">
        <v>1007</v>
      </c>
      <c r="M12" s="8" t="s">
        <v>2933</v>
      </c>
      <c r="N12" s="8" t="s">
        <v>2937</v>
      </c>
      <c r="O12" s="1" t="s">
        <v>2934</v>
      </c>
      <c r="P12">
        <v>30</v>
      </c>
      <c r="Q12">
        <v>30</v>
      </c>
      <c r="R12">
        <v>0</v>
      </c>
      <c r="S12">
        <f t="shared" si="8"/>
        <v>30</v>
      </c>
      <c r="T12" s="1" t="s">
        <v>2935</v>
      </c>
      <c r="U12" s="1" t="s">
        <v>2932</v>
      </c>
      <c r="V12" s="3">
        <f t="shared" si="9"/>
        <v>40000</v>
      </c>
      <c r="W12" s="3">
        <f t="shared" si="10"/>
        <v>16000</v>
      </c>
      <c r="X12" s="3">
        <f t="shared" si="1"/>
        <v>1250</v>
      </c>
      <c r="Y12" s="3">
        <f t="shared" si="2"/>
        <v>1600</v>
      </c>
      <c r="Z12" s="3">
        <f t="shared" si="3"/>
        <v>1800</v>
      </c>
      <c r="AA12" s="3">
        <v>0</v>
      </c>
      <c r="AB12" s="3">
        <f>ROUND(U12 - (V12+W12+X12+Y12) - (U12/Q12 * 2),0)</f>
        <v>34483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f>SUM(V12+W12+X12+Y12+AB12)</f>
        <v>93333</v>
      </c>
      <c r="AK12" s="3">
        <f>SUM(AJ12-AA12)</f>
        <v>93333</v>
      </c>
      <c r="AL12" s="3">
        <f>IF(V12&lt;=15000,V12*12%,1800)</f>
        <v>1800</v>
      </c>
      <c r="AM12" s="3">
        <v>0</v>
      </c>
      <c r="AN12" s="3">
        <f t="shared" si="4"/>
        <v>1800</v>
      </c>
      <c r="AO12" s="12">
        <v>200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3">
        <f t="shared" si="7"/>
        <v>200</v>
      </c>
      <c r="AV12" s="3">
        <f>SUM(AJ12 - AN12 - AU12)</f>
        <v>91333</v>
      </c>
      <c r="AW12" s="11">
        <v>0</v>
      </c>
      <c r="AX12" s="11">
        <v>0</v>
      </c>
      <c r="AY12" s="11">
        <v>0</v>
      </c>
      <c r="AZ12" s="11">
        <v>0</v>
      </c>
      <c r="BA12" s="3">
        <f t="shared" si="6"/>
        <v>91333</v>
      </c>
    </row>
    <row r="13" spans="1:53" x14ac:dyDescent="0.25">
      <c r="A13" s="1" t="s">
        <v>11</v>
      </c>
      <c r="B13" s="9" t="s">
        <v>1016</v>
      </c>
      <c r="C13" s="9" t="s">
        <v>1017</v>
      </c>
      <c r="D13" s="9" t="s">
        <v>1018</v>
      </c>
      <c r="E13" s="9" t="s">
        <v>1012</v>
      </c>
      <c r="F13" s="10">
        <v>44972</v>
      </c>
      <c r="G13" s="9" t="s">
        <v>1019</v>
      </c>
      <c r="I13" s="9" t="s">
        <v>1020</v>
      </c>
      <c r="J13" s="9" t="s">
        <v>1021</v>
      </c>
      <c r="K13" s="8" t="s">
        <v>1006</v>
      </c>
      <c r="L13" s="8" t="s">
        <v>1007</v>
      </c>
      <c r="M13" s="8" t="s">
        <v>2933</v>
      </c>
      <c r="N13" s="8" t="s">
        <v>2937</v>
      </c>
      <c r="O13" s="1" t="s">
        <v>2934</v>
      </c>
      <c r="P13">
        <v>30</v>
      </c>
      <c r="Q13">
        <v>30</v>
      </c>
      <c r="R13">
        <v>0</v>
      </c>
      <c r="S13">
        <f t="shared" si="8"/>
        <v>30</v>
      </c>
      <c r="T13" s="1" t="s">
        <v>2935</v>
      </c>
      <c r="U13" s="1" t="s">
        <v>2932</v>
      </c>
      <c r="V13" s="3">
        <f t="shared" si="9"/>
        <v>40000</v>
      </c>
      <c r="W13" s="3">
        <f t="shared" si="10"/>
        <v>16000</v>
      </c>
      <c r="X13" s="3">
        <f t="shared" si="1"/>
        <v>1250</v>
      </c>
      <c r="Y13" s="3">
        <f t="shared" si="2"/>
        <v>1600</v>
      </c>
      <c r="Z13" s="3">
        <f t="shared" si="3"/>
        <v>1800</v>
      </c>
      <c r="AA13" s="3">
        <v>0</v>
      </c>
      <c r="AB13" s="3">
        <f>ROUND(U13 - (V13+W13+X13+Y13) - (U13/Q13 * 2),0)</f>
        <v>34483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f>SUM(V13+W13+X13+Y13+AB13)</f>
        <v>93333</v>
      </c>
      <c r="AK13" s="3">
        <f>SUM(AJ13-AA13)</f>
        <v>93333</v>
      </c>
      <c r="AL13" s="3">
        <f>IF(V13&lt;=15000,V13*12%,1800)</f>
        <v>1800</v>
      </c>
      <c r="AM13" s="3">
        <v>0</v>
      </c>
      <c r="AN13" s="3">
        <f t="shared" si="4"/>
        <v>1800</v>
      </c>
      <c r="AO13" s="12">
        <v>200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3">
        <f t="shared" si="7"/>
        <v>200</v>
      </c>
      <c r="AV13" s="3">
        <f>SUM(AJ13 - AN13 - AU13)</f>
        <v>91333</v>
      </c>
      <c r="AW13" s="11">
        <v>0</v>
      </c>
      <c r="AX13" s="11">
        <v>0</v>
      </c>
      <c r="AY13" s="11">
        <v>0</v>
      </c>
      <c r="AZ13" s="11">
        <v>0</v>
      </c>
      <c r="BA13" s="3">
        <f t="shared" si="6"/>
        <v>91333</v>
      </c>
    </row>
    <row r="14" spans="1:53" x14ac:dyDescent="0.25">
      <c r="A14" s="1" t="s">
        <v>12</v>
      </c>
      <c r="B14" s="9" t="s">
        <v>1009</v>
      </c>
      <c r="C14" s="9" t="s">
        <v>1010</v>
      </c>
      <c r="D14" s="9" t="s">
        <v>1011</v>
      </c>
      <c r="E14" s="9" t="s">
        <v>1012</v>
      </c>
      <c r="F14" s="10">
        <v>44977</v>
      </c>
      <c r="G14" s="9" t="s">
        <v>1013</v>
      </c>
      <c r="I14" s="9" t="s">
        <v>1014</v>
      </c>
      <c r="J14" s="9" t="s">
        <v>1015</v>
      </c>
      <c r="K14" s="8" t="s">
        <v>1006</v>
      </c>
      <c r="L14" s="8" t="s">
        <v>1007</v>
      </c>
      <c r="M14" s="8" t="s">
        <v>2933</v>
      </c>
      <c r="N14" s="8" t="s">
        <v>2937</v>
      </c>
      <c r="O14" s="1" t="s">
        <v>2934</v>
      </c>
      <c r="P14">
        <v>30</v>
      </c>
      <c r="Q14">
        <v>30</v>
      </c>
      <c r="R14">
        <v>0</v>
      </c>
      <c r="S14">
        <f t="shared" si="8"/>
        <v>30</v>
      </c>
      <c r="T14" s="1" t="s">
        <v>2935</v>
      </c>
      <c r="U14" s="1" t="s">
        <v>2932</v>
      </c>
      <c r="V14" s="3">
        <f t="shared" si="9"/>
        <v>40000</v>
      </c>
      <c r="W14" s="3">
        <f t="shared" si="10"/>
        <v>16000</v>
      </c>
      <c r="X14" s="3">
        <f t="shared" si="1"/>
        <v>1250</v>
      </c>
      <c r="Y14" s="3">
        <f t="shared" si="2"/>
        <v>1600</v>
      </c>
      <c r="Z14" s="3">
        <f t="shared" si="3"/>
        <v>1800</v>
      </c>
      <c r="AA14" s="3">
        <v>0</v>
      </c>
      <c r="AB14" s="3">
        <f>ROUND(U14 - (V14+W14+X14+Y14) - (U14/Q14 * 2),0)</f>
        <v>34483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f>SUM(V14+W14+X14+Y14+AB14)</f>
        <v>93333</v>
      </c>
      <c r="AK14" s="3">
        <f>SUM(AJ14-AA14)</f>
        <v>93333</v>
      </c>
      <c r="AL14" s="3">
        <f>IF(V14&lt;=15000,V14*12%,1800)</f>
        <v>1800</v>
      </c>
      <c r="AM14" s="3">
        <v>0</v>
      </c>
      <c r="AN14" s="3">
        <f t="shared" si="4"/>
        <v>1800</v>
      </c>
      <c r="AO14" s="12">
        <v>200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3">
        <f t="shared" si="7"/>
        <v>200</v>
      </c>
      <c r="AV14" s="3">
        <f>SUM(AJ14 - AN14 - AU14)</f>
        <v>91333</v>
      </c>
      <c r="AW14" s="11">
        <v>0</v>
      </c>
      <c r="AX14" s="11">
        <v>0</v>
      </c>
      <c r="AY14" s="11">
        <v>0</v>
      </c>
      <c r="AZ14" s="11">
        <v>0</v>
      </c>
      <c r="BA14" s="3">
        <f t="shared" si="6"/>
        <v>91333</v>
      </c>
    </row>
    <row r="15" spans="1:53" x14ac:dyDescent="0.25">
      <c r="A15" s="1" t="s">
        <v>13</v>
      </c>
      <c r="B15" s="9" t="s">
        <v>1096</v>
      </c>
      <c r="C15" s="9" t="s">
        <v>1097</v>
      </c>
      <c r="D15" s="9" t="s">
        <v>1098</v>
      </c>
      <c r="E15" s="9" t="s">
        <v>1012</v>
      </c>
      <c r="F15" s="10">
        <v>44986</v>
      </c>
      <c r="G15" s="9" t="s">
        <v>1019</v>
      </c>
      <c r="I15" s="9" t="s">
        <v>1014</v>
      </c>
      <c r="J15" s="9" t="s">
        <v>1031</v>
      </c>
      <c r="K15" s="8" t="s">
        <v>1006</v>
      </c>
      <c r="L15" s="8" t="s">
        <v>1007</v>
      </c>
      <c r="M15" s="8" t="s">
        <v>2933</v>
      </c>
      <c r="N15" s="8" t="s">
        <v>2937</v>
      </c>
      <c r="O15" s="1" t="s">
        <v>2934</v>
      </c>
      <c r="P15">
        <v>30</v>
      </c>
      <c r="Q15">
        <v>30</v>
      </c>
      <c r="R15">
        <v>0</v>
      </c>
      <c r="S15">
        <f t="shared" si="8"/>
        <v>30</v>
      </c>
      <c r="T15" s="1" t="s">
        <v>2935</v>
      </c>
      <c r="U15" s="1" t="s">
        <v>2932</v>
      </c>
      <c r="V15" s="3">
        <f t="shared" si="9"/>
        <v>40000</v>
      </c>
      <c r="W15" s="3">
        <f t="shared" si="10"/>
        <v>16000</v>
      </c>
      <c r="X15" s="3">
        <f t="shared" si="1"/>
        <v>1250</v>
      </c>
      <c r="Y15" s="3">
        <f t="shared" si="2"/>
        <v>1600</v>
      </c>
      <c r="Z15" s="3">
        <f t="shared" si="3"/>
        <v>1800</v>
      </c>
      <c r="AA15" s="3">
        <v>0</v>
      </c>
      <c r="AB15" s="3">
        <f>ROUND(U15 - (V15+W15+X15+Y15) - (U15/Q15 * 2),0)</f>
        <v>34483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f>SUM(V15+W15+X15+Y15+AB15)</f>
        <v>93333</v>
      </c>
      <c r="AK15" s="3">
        <f>SUM(AJ15-AA15)</f>
        <v>93333</v>
      </c>
      <c r="AL15" s="3">
        <f>IF(V15&lt;=15000,V15*12%,1800)</f>
        <v>1800</v>
      </c>
      <c r="AM15" s="3">
        <v>0</v>
      </c>
      <c r="AN15" s="3">
        <f t="shared" si="4"/>
        <v>1800</v>
      </c>
      <c r="AO15" s="12">
        <v>200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3">
        <f t="shared" si="7"/>
        <v>200</v>
      </c>
      <c r="AV15" s="3">
        <f>SUM(AJ15 - AN15 - AU15)</f>
        <v>91333</v>
      </c>
      <c r="AW15" s="11">
        <v>0</v>
      </c>
      <c r="AX15" s="11">
        <v>0</v>
      </c>
      <c r="AY15" s="11">
        <v>0</v>
      </c>
      <c r="AZ15" s="11">
        <v>0</v>
      </c>
      <c r="BA15" s="3">
        <f t="shared" si="6"/>
        <v>91333</v>
      </c>
    </row>
    <row r="16" spans="1:53" x14ac:dyDescent="0.25">
      <c r="A16" s="1" t="s">
        <v>14</v>
      </c>
      <c r="B16" s="9" t="s">
        <v>1094</v>
      </c>
      <c r="C16" s="9" t="s">
        <v>1023</v>
      </c>
      <c r="D16" s="9" t="s">
        <v>1095</v>
      </c>
      <c r="E16" s="9" t="s">
        <v>1012</v>
      </c>
      <c r="F16" s="10">
        <v>44986</v>
      </c>
      <c r="G16" s="9" t="s">
        <v>1013</v>
      </c>
      <c r="I16" s="9" t="s">
        <v>1020</v>
      </c>
      <c r="J16" s="9" t="s">
        <v>1021</v>
      </c>
      <c r="K16" s="8" t="s">
        <v>1006</v>
      </c>
      <c r="L16" s="8" t="s">
        <v>1007</v>
      </c>
      <c r="M16" s="8" t="s">
        <v>2933</v>
      </c>
      <c r="N16" s="8" t="s">
        <v>2937</v>
      </c>
      <c r="O16" s="1" t="s">
        <v>2934</v>
      </c>
      <c r="P16">
        <v>30</v>
      </c>
      <c r="Q16">
        <v>30</v>
      </c>
      <c r="R16">
        <v>0</v>
      </c>
      <c r="S16">
        <f t="shared" si="8"/>
        <v>30</v>
      </c>
      <c r="T16" s="1" t="s">
        <v>2935</v>
      </c>
      <c r="U16" s="1" t="s">
        <v>2932</v>
      </c>
      <c r="V16" s="3">
        <f t="shared" si="9"/>
        <v>40000</v>
      </c>
      <c r="W16" s="3">
        <f t="shared" si="10"/>
        <v>16000</v>
      </c>
      <c r="X16" s="3">
        <f t="shared" si="1"/>
        <v>1250</v>
      </c>
      <c r="Y16" s="3">
        <f t="shared" si="2"/>
        <v>1600</v>
      </c>
      <c r="Z16" s="3">
        <f t="shared" si="3"/>
        <v>1800</v>
      </c>
      <c r="AA16" s="3">
        <v>0</v>
      </c>
      <c r="AB16" s="3">
        <f>ROUND(U16 - (V16+W16+X16+Y16) - (U16/Q16 * 2),0)</f>
        <v>34483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f>SUM(V16+W16+X16+Y16+AB16)</f>
        <v>93333</v>
      </c>
      <c r="AK16" s="3">
        <f>SUM(AJ16-AA16)</f>
        <v>93333</v>
      </c>
      <c r="AL16" s="3">
        <f>IF(V16&lt;=15000,V16*12%,1800)</f>
        <v>1800</v>
      </c>
      <c r="AM16" s="3">
        <v>0</v>
      </c>
      <c r="AN16" s="3">
        <f t="shared" si="4"/>
        <v>1800</v>
      </c>
      <c r="AO16" s="12">
        <v>200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3">
        <f t="shared" si="7"/>
        <v>200</v>
      </c>
      <c r="AV16" s="3">
        <f>SUM(AJ16 - AN16 - AU16)</f>
        <v>91333</v>
      </c>
      <c r="AW16" s="11">
        <v>0</v>
      </c>
      <c r="AX16" s="11">
        <v>0</v>
      </c>
      <c r="AY16" s="11">
        <v>0</v>
      </c>
      <c r="AZ16" s="11">
        <v>0</v>
      </c>
      <c r="BA16" s="3">
        <f t="shared" si="6"/>
        <v>91333</v>
      </c>
    </row>
    <row r="17" spans="1:53" x14ac:dyDescent="0.25">
      <c r="A17" s="1" t="s">
        <v>15</v>
      </c>
      <c r="B17" s="9" t="s">
        <v>1091</v>
      </c>
      <c r="C17" s="9" t="s">
        <v>1092</v>
      </c>
      <c r="D17" s="9" t="s">
        <v>1093</v>
      </c>
      <c r="E17" s="9" t="s">
        <v>1008</v>
      </c>
      <c r="F17" s="10">
        <v>44986</v>
      </c>
      <c r="G17" s="9" t="s">
        <v>1013</v>
      </c>
      <c r="I17" s="9" t="s">
        <v>1020</v>
      </c>
      <c r="J17" s="9" t="s">
        <v>1021</v>
      </c>
      <c r="K17" s="8" t="s">
        <v>1006</v>
      </c>
      <c r="L17" s="8" t="s">
        <v>1007</v>
      </c>
      <c r="M17" s="8" t="s">
        <v>2933</v>
      </c>
      <c r="N17" s="8" t="s">
        <v>2937</v>
      </c>
      <c r="O17" s="1" t="s">
        <v>2934</v>
      </c>
      <c r="P17">
        <v>30</v>
      </c>
      <c r="Q17">
        <v>30</v>
      </c>
      <c r="R17">
        <v>0</v>
      </c>
      <c r="S17">
        <f t="shared" si="8"/>
        <v>30</v>
      </c>
      <c r="T17" s="1" t="s">
        <v>2935</v>
      </c>
      <c r="U17" s="1" t="s">
        <v>2932</v>
      </c>
      <c r="V17" s="3">
        <f t="shared" si="9"/>
        <v>40000</v>
      </c>
      <c r="W17" s="3">
        <f t="shared" si="10"/>
        <v>16000</v>
      </c>
      <c r="X17" s="3">
        <f t="shared" si="1"/>
        <v>1250</v>
      </c>
      <c r="Y17" s="3">
        <f t="shared" si="2"/>
        <v>1600</v>
      </c>
      <c r="Z17" s="3">
        <f t="shared" si="3"/>
        <v>1800</v>
      </c>
      <c r="AA17" s="3">
        <v>0</v>
      </c>
      <c r="AB17" s="3">
        <f>ROUND(U17 - (V17+W17+X17+Y17) - (U17/Q17 * 2),0)</f>
        <v>34483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f>SUM(V17+W17+X17+Y17+AB17)</f>
        <v>93333</v>
      </c>
      <c r="AK17" s="3">
        <f>SUM(AJ17-AA17)</f>
        <v>93333</v>
      </c>
      <c r="AL17" s="3">
        <f>IF(V17&lt;=15000,V17*12%,1800)</f>
        <v>1800</v>
      </c>
      <c r="AM17" s="3">
        <v>0</v>
      </c>
      <c r="AN17" s="3">
        <f t="shared" si="4"/>
        <v>1800</v>
      </c>
      <c r="AO17" s="12">
        <v>200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3">
        <f t="shared" si="7"/>
        <v>200</v>
      </c>
      <c r="AV17" s="3">
        <f>SUM(AJ17 - AN17 - AU17)</f>
        <v>91333</v>
      </c>
      <c r="AW17" s="11">
        <v>0</v>
      </c>
      <c r="AX17" s="11">
        <v>0</v>
      </c>
      <c r="AY17" s="11">
        <v>0</v>
      </c>
      <c r="AZ17" s="11">
        <v>0</v>
      </c>
      <c r="BA17" s="3">
        <f t="shared" si="6"/>
        <v>91333</v>
      </c>
    </row>
    <row r="18" spans="1:53" x14ac:dyDescent="0.25">
      <c r="A18" s="1" t="s">
        <v>16</v>
      </c>
      <c r="B18" s="9" t="s">
        <v>1089</v>
      </c>
      <c r="C18" s="9" t="s">
        <v>1023</v>
      </c>
      <c r="D18" s="9" t="s">
        <v>1090</v>
      </c>
      <c r="E18" s="9" t="s">
        <v>1012</v>
      </c>
      <c r="F18" s="10">
        <v>44986</v>
      </c>
      <c r="G18" s="9" t="s">
        <v>1019</v>
      </c>
      <c r="I18" s="9" t="s">
        <v>1014</v>
      </c>
      <c r="J18" s="9" t="s">
        <v>1021</v>
      </c>
      <c r="K18" s="8" t="s">
        <v>1006</v>
      </c>
      <c r="L18" s="8" t="s">
        <v>1007</v>
      </c>
      <c r="M18" s="8" t="s">
        <v>2933</v>
      </c>
      <c r="N18" s="8" t="s">
        <v>2937</v>
      </c>
      <c r="O18" s="1" t="s">
        <v>2934</v>
      </c>
      <c r="P18">
        <v>30</v>
      </c>
      <c r="Q18">
        <v>30</v>
      </c>
      <c r="R18">
        <v>0</v>
      </c>
      <c r="S18">
        <f t="shared" si="8"/>
        <v>30</v>
      </c>
      <c r="T18" s="1" t="s">
        <v>2935</v>
      </c>
      <c r="U18" s="1" t="s">
        <v>2932</v>
      </c>
      <c r="V18" s="3">
        <f t="shared" si="9"/>
        <v>40000</v>
      </c>
      <c r="W18" s="3">
        <f t="shared" si="10"/>
        <v>16000</v>
      </c>
      <c r="X18" s="3">
        <f t="shared" si="1"/>
        <v>1250</v>
      </c>
      <c r="Y18" s="3">
        <f t="shared" si="2"/>
        <v>1600</v>
      </c>
      <c r="Z18" s="3">
        <f t="shared" si="3"/>
        <v>1800</v>
      </c>
      <c r="AA18" s="3">
        <v>0</v>
      </c>
      <c r="AB18" s="3">
        <f>ROUND(U18 - (V18+W18+X18+Y18) - (U18/Q18 * 2),0)</f>
        <v>34483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f>SUM(V18+W18+X18+Y18+AB18)</f>
        <v>93333</v>
      </c>
      <c r="AK18" s="3">
        <f>SUM(AJ18-AA18)</f>
        <v>93333</v>
      </c>
      <c r="AL18" s="3">
        <f>IF(V18&lt;=15000,V18*12%,1800)</f>
        <v>1800</v>
      </c>
      <c r="AM18" s="3">
        <v>0</v>
      </c>
      <c r="AN18" s="3">
        <f t="shared" si="4"/>
        <v>1800</v>
      </c>
      <c r="AO18" s="12">
        <v>200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3">
        <f t="shared" si="7"/>
        <v>200</v>
      </c>
      <c r="AV18" s="3">
        <f>SUM(AJ18 - AN18 - AU18)</f>
        <v>91333</v>
      </c>
      <c r="AW18" s="11">
        <v>0</v>
      </c>
      <c r="AX18" s="11">
        <v>0</v>
      </c>
      <c r="AY18" s="11">
        <v>0</v>
      </c>
      <c r="AZ18" s="11">
        <v>0</v>
      </c>
      <c r="BA18" s="3">
        <f t="shared" si="6"/>
        <v>91333</v>
      </c>
    </row>
    <row r="19" spans="1:53" x14ac:dyDescent="0.25">
      <c r="A19" s="1" t="s">
        <v>17</v>
      </c>
      <c r="B19" s="9" t="s">
        <v>1087</v>
      </c>
      <c r="C19" s="9" t="s">
        <v>1075</v>
      </c>
      <c r="D19" s="9" t="s">
        <v>1088</v>
      </c>
      <c r="E19" s="9" t="s">
        <v>1012</v>
      </c>
      <c r="F19" s="10">
        <v>44986</v>
      </c>
      <c r="G19" s="9" t="s">
        <v>1013</v>
      </c>
      <c r="I19" s="9" t="s">
        <v>1014</v>
      </c>
      <c r="J19" s="9" t="s">
        <v>1015</v>
      </c>
      <c r="K19" s="8" t="s">
        <v>1006</v>
      </c>
      <c r="L19" s="8" t="s">
        <v>1007</v>
      </c>
      <c r="M19" s="8" t="s">
        <v>2933</v>
      </c>
      <c r="N19" s="8" t="s">
        <v>2937</v>
      </c>
      <c r="O19" s="1" t="s">
        <v>2934</v>
      </c>
      <c r="P19">
        <v>30</v>
      </c>
      <c r="Q19">
        <v>30</v>
      </c>
      <c r="R19">
        <v>0</v>
      </c>
      <c r="S19">
        <f t="shared" si="8"/>
        <v>30</v>
      </c>
      <c r="T19" s="1" t="s">
        <v>2935</v>
      </c>
      <c r="U19" s="1" t="s">
        <v>2932</v>
      </c>
      <c r="V19" s="3">
        <f t="shared" si="9"/>
        <v>40000</v>
      </c>
      <c r="W19" s="3">
        <f t="shared" si="10"/>
        <v>16000</v>
      </c>
      <c r="X19" s="3">
        <f t="shared" si="1"/>
        <v>1250</v>
      </c>
      <c r="Y19" s="3">
        <f t="shared" si="2"/>
        <v>1600</v>
      </c>
      <c r="Z19" s="3">
        <f t="shared" si="3"/>
        <v>1800</v>
      </c>
      <c r="AA19" s="3">
        <v>0</v>
      </c>
      <c r="AB19" s="3">
        <f>ROUND(U19 - (V19+W19+X19+Y19) - (U19/Q19 * 2),0)</f>
        <v>34483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f>SUM(V19+W19+X19+Y19+AB19)</f>
        <v>93333</v>
      </c>
      <c r="AK19" s="3">
        <f>SUM(AJ19-AA19)</f>
        <v>93333</v>
      </c>
      <c r="AL19" s="3">
        <f>IF(V19&lt;=15000,V19*12%,1800)</f>
        <v>1800</v>
      </c>
      <c r="AM19" s="3">
        <v>0</v>
      </c>
      <c r="AN19" s="3">
        <f t="shared" si="4"/>
        <v>1800</v>
      </c>
      <c r="AO19" s="12">
        <v>200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3">
        <f t="shared" si="7"/>
        <v>200</v>
      </c>
      <c r="AV19" s="3">
        <f>SUM(AJ19 - AN19 - AU19)</f>
        <v>91333</v>
      </c>
      <c r="AW19" s="11">
        <v>0</v>
      </c>
      <c r="AX19" s="11">
        <v>0</v>
      </c>
      <c r="AY19" s="11">
        <v>0</v>
      </c>
      <c r="AZ19" s="11">
        <v>0</v>
      </c>
      <c r="BA19" s="3">
        <f t="shared" si="6"/>
        <v>91333</v>
      </c>
    </row>
    <row r="20" spans="1:53" x14ac:dyDescent="0.25">
      <c r="A20" s="1" t="s">
        <v>18</v>
      </c>
      <c r="B20" s="9" t="s">
        <v>1085</v>
      </c>
      <c r="C20" s="9" t="s">
        <v>1023</v>
      </c>
      <c r="D20" s="9" t="s">
        <v>1086</v>
      </c>
      <c r="E20" s="9" t="s">
        <v>1012</v>
      </c>
      <c r="F20" s="10">
        <v>44986</v>
      </c>
      <c r="G20" s="9" t="s">
        <v>1013</v>
      </c>
      <c r="I20" s="9" t="s">
        <v>1014</v>
      </c>
      <c r="J20" s="9" t="s">
        <v>1021</v>
      </c>
      <c r="K20" s="8" t="s">
        <v>1006</v>
      </c>
      <c r="L20" s="8" t="s">
        <v>1007</v>
      </c>
      <c r="M20" s="8" t="s">
        <v>2933</v>
      </c>
      <c r="N20" s="8" t="s">
        <v>2937</v>
      </c>
      <c r="O20" s="1" t="s">
        <v>2934</v>
      </c>
      <c r="P20">
        <v>30</v>
      </c>
      <c r="Q20">
        <v>30</v>
      </c>
      <c r="R20">
        <v>0</v>
      </c>
      <c r="S20">
        <f t="shared" si="8"/>
        <v>30</v>
      </c>
      <c r="T20" s="1" t="s">
        <v>2935</v>
      </c>
      <c r="U20" s="1" t="s">
        <v>2932</v>
      </c>
      <c r="V20" s="3">
        <f t="shared" si="9"/>
        <v>40000</v>
      </c>
      <c r="W20" s="3">
        <f t="shared" si="10"/>
        <v>16000</v>
      </c>
      <c r="X20" s="3">
        <f t="shared" si="1"/>
        <v>1250</v>
      </c>
      <c r="Y20" s="3">
        <f t="shared" si="2"/>
        <v>1600</v>
      </c>
      <c r="Z20" s="3">
        <f t="shared" si="3"/>
        <v>1800</v>
      </c>
      <c r="AA20" s="3">
        <v>0</v>
      </c>
      <c r="AB20" s="3">
        <f>ROUND(U20 - (V20+W20+X20+Y20) - (U20/Q20 * 2),0)</f>
        <v>34483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f>SUM(V20+W20+X20+Y20+AB20)</f>
        <v>93333</v>
      </c>
      <c r="AK20" s="3">
        <f>SUM(AJ20-AA20)</f>
        <v>93333</v>
      </c>
      <c r="AL20" s="3">
        <f>IF(V20&lt;=15000,V20*12%,1800)</f>
        <v>1800</v>
      </c>
      <c r="AM20" s="3">
        <v>0</v>
      </c>
      <c r="AN20" s="3">
        <f t="shared" si="4"/>
        <v>1800</v>
      </c>
      <c r="AO20" s="12">
        <v>200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3">
        <f t="shared" si="7"/>
        <v>200</v>
      </c>
      <c r="AV20" s="3">
        <f>SUM(AJ20 - AN20 - AU20)</f>
        <v>91333</v>
      </c>
      <c r="AW20" s="11">
        <v>0</v>
      </c>
      <c r="AX20" s="11">
        <v>0</v>
      </c>
      <c r="AY20" s="11">
        <v>0</v>
      </c>
      <c r="AZ20" s="11">
        <v>0</v>
      </c>
      <c r="BA20" s="3">
        <f t="shared" si="6"/>
        <v>91333</v>
      </c>
    </row>
    <row r="21" spans="1:53" x14ac:dyDescent="0.25">
      <c r="A21" s="1" t="s">
        <v>19</v>
      </c>
      <c r="B21" s="9" t="s">
        <v>1083</v>
      </c>
      <c r="C21" s="9" t="s">
        <v>1023</v>
      </c>
      <c r="D21" s="9" t="s">
        <v>1084</v>
      </c>
      <c r="E21" s="9" t="s">
        <v>1008</v>
      </c>
      <c r="F21" s="10">
        <v>44986</v>
      </c>
      <c r="G21" s="9" t="s">
        <v>1013</v>
      </c>
      <c r="I21" s="9" t="s">
        <v>1014</v>
      </c>
      <c r="J21" s="9" t="s">
        <v>1021</v>
      </c>
      <c r="K21" s="8" t="s">
        <v>1006</v>
      </c>
      <c r="L21" s="8" t="s">
        <v>1007</v>
      </c>
      <c r="M21" s="8" t="s">
        <v>2933</v>
      </c>
      <c r="N21" s="8" t="s">
        <v>2937</v>
      </c>
      <c r="O21" s="1" t="s">
        <v>2934</v>
      </c>
      <c r="P21">
        <v>30</v>
      </c>
      <c r="Q21">
        <v>30</v>
      </c>
      <c r="R21">
        <v>0</v>
      </c>
      <c r="S21">
        <f t="shared" si="8"/>
        <v>30</v>
      </c>
      <c r="T21" s="1" t="s">
        <v>2935</v>
      </c>
      <c r="U21" s="1" t="s">
        <v>2932</v>
      </c>
      <c r="V21" s="3">
        <f t="shared" si="9"/>
        <v>40000</v>
      </c>
      <c r="W21" s="3">
        <f t="shared" si="10"/>
        <v>16000</v>
      </c>
      <c r="X21" s="3">
        <f t="shared" si="1"/>
        <v>1250</v>
      </c>
      <c r="Y21" s="3">
        <f t="shared" si="2"/>
        <v>1600</v>
      </c>
      <c r="Z21" s="3">
        <f t="shared" si="3"/>
        <v>1800</v>
      </c>
      <c r="AA21" s="3">
        <v>0</v>
      </c>
      <c r="AB21" s="3">
        <f>ROUND(U21 - (V21+W21+X21+Y21) - (U21/Q21 * 2),0)</f>
        <v>34483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f>SUM(V21+W21+X21+Y21+AB21)</f>
        <v>93333</v>
      </c>
      <c r="AK21" s="3">
        <f>SUM(AJ21-AA21)</f>
        <v>93333</v>
      </c>
      <c r="AL21" s="3">
        <f>IF(V21&lt;=15000,V21*12%,1800)</f>
        <v>1800</v>
      </c>
      <c r="AM21" s="3">
        <v>0</v>
      </c>
      <c r="AN21" s="3">
        <f t="shared" si="4"/>
        <v>1800</v>
      </c>
      <c r="AO21" s="12">
        <v>200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3">
        <f t="shared" si="7"/>
        <v>200</v>
      </c>
      <c r="AV21" s="3">
        <f>SUM(AJ21 - AN21 - AU21)</f>
        <v>91333</v>
      </c>
      <c r="AW21" s="11">
        <v>0</v>
      </c>
      <c r="AX21" s="11">
        <v>0</v>
      </c>
      <c r="AY21" s="11">
        <v>0</v>
      </c>
      <c r="AZ21" s="11">
        <v>0</v>
      </c>
      <c r="BA21" s="3">
        <f t="shared" si="6"/>
        <v>91333</v>
      </c>
    </row>
    <row r="22" spans="1:53" x14ac:dyDescent="0.25">
      <c r="A22" s="1" t="s">
        <v>20</v>
      </c>
      <c r="B22" s="9" t="s">
        <v>1081</v>
      </c>
      <c r="C22" s="9" t="s">
        <v>1029</v>
      </c>
      <c r="D22" s="9" t="s">
        <v>1082</v>
      </c>
      <c r="E22" s="9" t="s">
        <v>1012</v>
      </c>
      <c r="F22" s="10">
        <v>44998</v>
      </c>
      <c r="G22" s="9" t="s">
        <v>1019</v>
      </c>
      <c r="I22" s="9" t="s">
        <v>1035</v>
      </c>
      <c r="J22" s="9" t="s">
        <v>1031</v>
      </c>
      <c r="K22" s="8" t="s">
        <v>1006</v>
      </c>
      <c r="L22" s="8" t="s">
        <v>1007</v>
      </c>
      <c r="M22" s="8" t="s">
        <v>2933</v>
      </c>
      <c r="N22" s="8" t="s">
        <v>2937</v>
      </c>
      <c r="O22" s="1" t="s">
        <v>2934</v>
      </c>
      <c r="P22">
        <v>30</v>
      </c>
      <c r="Q22">
        <v>30</v>
      </c>
      <c r="R22">
        <v>0</v>
      </c>
      <c r="S22">
        <f t="shared" si="8"/>
        <v>30</v>
      </c>
      <c r="T22" s="1" t="s">
        <v>2935</v>
      </c>
      <c r="U22" s="1" t="s">
        <v>2932</v>
      </c>
      <c r="V22" s="3">
        <f t="shared" si="9"/>
        <v>40000</v>
      </c>
      <c r="W22" s="3">
        <f t="shared" si="10"/>
        <v>16000</v>
      </c>
      <c r="X22" s="3">
        <f t="shared" si="1"/>
        <v>1250</v>
      </c>
      <c r="Y22" s="3">
        <f t="shared" si="2"/>
        <v>1600</v>
      </c>
      <c r="Z22" s="3">
        <f t="shared" si="3"/>
        <v>1800</v>
      </c>
      <c r="AA22" s="3">
        <v>0</v>
      </c>
      <c r="AB22" s="3">
        <f>ROUND(U22 - (V22+W22+X22+Y22) - (U22/Q22 * 2),0)</f>
        <v>34483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f>SUM(V22+W22+X22+Y22+AB22)</f>
        <v>93333</v>
      </c>
      <c r="AK22" s="3">
        <f>SUM(AJ22-AA22)</f>
        <v>93333</v>
      </c>
      <c r="AL22" s="3">
        <f>IF(V22&lt;=15000,V22*12%,1800)</f>
        <v>1800</v>
      </c>
      <c r="AM22" s="3">
        <v>0</v>
      </c>
      <c r="AN22" s="3">
        <f t="shared" si="4"/>
        <v>1800</v>
      </c>
      <c r="AO22" s="12">
        <v>200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3">
        <f t="shared" si="7"/>
        <v>200</v>
      </c>
      <c r="AV22" s="3">
        <f>SUM(AJ22 - AN22 - AU22)</f>
        <v>91333</v>
      </c>
      <c r="AW22" s="11">
        <v>0</v>
      </c>
      <c r="AX22" s="11">
        <v>0</v>
      </c>
      <c r="AY22" s="11">
        <v>0</v>
      </c>
      <c r="AZ22" s="11">
        <v>0</v>
      </c>
      <c r="BA22" s="3">
        <f t="shared" si="6"/>
        <v>91333</v>
      </c>
    </row>
    <row r="23" spans="1:53" x14ac:dyDescent="0.25">
      <c r="A23" s="1" t="s">
        <v>21</v>
      </c>
      <c r="B23" s="9" t="s">
        <v>1079</v>
      </c>
      <c r="C23" s="9" t="s">
        <v>1023</v>
      </c>
      <c r="D23" s="9" t="s">
        <v>1080</v>
      </c>
      <c r="E23" s="9" t="s">
        <v>1012</v>
      </c>
      <c r="F23" s="10">
        <v>44993</v>
      </c>
      <c r="G23" s="9" t="s">
        <v>1013</v>
      </c>
      <c r="I23" s="9" t="s">
        <v>1014</v>
      </c>
      <c r="J23" s="9" t="s">
        <v>1021</v>
      </c>
      <c r="K23" s="8" t="s">
        <v>1006</v>
      </c>
      <c r="L23" s="8" t="s">
        <v>1007</v>
      </c>
      <c r="M23" s="8" t="s">
        <v>2933</v>
      </c>
      <c r="N23" s="8" t="s">
        <v>2937</v>
      </c>
      <c r="O23" s="1" t="s">
        <v>2934</v>
      </c>
      <c r="P23">
        <v>30</v>
      </c>
      <c r="Q23">
        <v>30</v>
      </c>
      <c r="R23">
        <v>0</v>
      </c>
      <c r="S23">
        <f t="shared" si="8"/>
        <v>30</v>
      </c>
      <c r="T23" s="1" t="s">
        <v>2935</v>
      </c>
      <c r="U23" s="1" t="s">
        <v>2932</v>
      </c>
      <c r="V23" s="3">
        <f t="shared" si="9"/>
        <v>40000</v>
      </c>
      <c r="W23" s="3">
        <f t="shared" si="10"/>
        <v>16000</v>
      </c>
      <c r="X23" s="3">
        <f t="shared" si="1"/>
        <v>1250</v>
      </c>
      <c r="Y23" s="3">
        <f t="shared" si="2"/>
        <v>1600</v>
      </c>
      <c r="Z23" s="3">
        <f t="shared" si="3"/>
        <v>1800</v>
      </c>
      <c r="AA23" s="3">
        <v>0</v>
      </c>
      <c r="AB23" s="3">
        <f>ROUND(U23 - (V23+W23+X23+Y23) - (U23/Q23 * 2),0)</f>
        <v>34483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f>SUM(V23+W23+X23+Y23+AB23)</f>
        <v>93333</v>
      </c>
      <c r="AK23" s="3">
        <f>SUM(AJ23-AA23)</f>
        <v>93333</v>
      </c>
      <c r="AL23" s="3">
        <f>IF(V23&lt;=15000,V23*12%,1800)</f>
        <v>1800</v>
      </c>
      <c r="AM23" s="3">
        <v>0</v>
      </c>
      <c r="AN23" s="3">
        <f t="shared" si="4"/>
        <v>1800</v>
      </c>
      <c r="AO23" s="12">
        <v>200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3">
        <f t="shared" si="7"/>
        <v>200</v>
      </c>
      <c r="AV23" s="3">
        <f>SUM(AJ23 - AN23 - AU23)</f>
        <v>91333</v>
      </c>
      <c r="AW23" s="11">
        <v>0</v>
      </c>
      <c r="AX23" s="11">
        <v>0</v>
      </c>
      <c r="AY23" s="11">
        <v>0</v>
      </c>
      <c r="AZ23" s="11">
        <v>0</v>
      </c>
      <c r="BA23" s="3">
        <f t="shared" si="6"/>
        <v>91333</v>
      </c>
    </row>
    <row r="24" spans="1:53" x14ac:dyDescent="0.25">
      <c r="A24" s="1" t="s">
        <v>22</v>
      </c>
      <c r="B24" s="9" t="s">
        <v>1077</v>
      </c>
      <c r="C24" s="9" t="s">
        <v>1010</v>
      </c>
      <c r="D24" s="9" t="s">
        <v>1078</v>
      </c>
      <c r="E24" s="9" t="s">
        <v>1008</v>
      </c>
      <c r="F24" s="10">
        <v>44993</v>
      </c>
      <c r="G24" s="9" t="s">
        <v>1019</v>
      </c>
      <c r="I24" s="9" t="s">
        <v>1014</v>
      </c>
      <c r="J24" s="9" t="s">
        <v>1015</v>
      </c>
      <c r="K24" s="8" t="s">
        <v>1006</v>
      </c>
      <c r="L24" s="8" t="s">
        <v>1007</v>
      </c>
      <c r="M24" s="8" t="s">
        <v>2933</v>
      </c>
      <c r="N24" s="8" t="s">
        <v>2937</v>
      </c>
      <c r="O24" s="1" t="s">
        <v>2934</v>
      </c>
      <c r="P24">
        <v>30</v>
      </c>
      <c r="Q24">
        <v>30</v>
      </c>
      <c r="R24">
        <v>0</v>
      </c>
      <c r="S24">
        <f t="shared" si="8"/>
        <v>30</v>
      </c>
      <c r="T24" s="1" t="s">
        <v>2935</v>
      </c>
      <c r="U24" s="1" t="s">
        <v>2932</v>
      </c>
      <c r="V24" s="3">
        <f t="shared" si="9"/>
        <v>40000</v>
      </c>
      <c r="W24" s="3">
        <f t="shared" si="10"/>
        <v>16000</v>
      </c>
      <c r="X24" s="3">
        <f t="shared" si="1"/>
        <v>1250</v>
      </c>
      <c r="Y24" s="3">
        <f t="shared" si="2"/>
        <v>1600</v>
      </c>
      <c r="Z24" s="3">
        <f t="shared" si="3"/>
        <v>1800</v>
      </c>
      <c r="AA24" s="3">
        <v>0</v>
      </c>
      <c r="AB24" s="3">
        <f>ROUND(U24 - (V24+W24+X24+Y24) - (U24/Q24 * 2),0)</f>
        <v>34483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f>SUM(V24+W24+X24+Y24+AB24)</f>
        <v>93333</v>
      </c>
      <c r="AK24" s="3">
        <f>SUM(AJ24-AA24)</f>
        <v>93333</v>
      </c>
      <c r="AL24" s="3">
        <f>IF(V24&lt;=15000,V24*12%,1800)</f>
        <v>1800</v>
      </c>
      <c r="AM24" s="3">
        <v>0</v>
      </c>
      <c r="AN24" s="3">
        <f t="shared" si="4"/>
        <v>1800</v>
      </c>
      <c r="AO24" s="12">
        <v>200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3">
        <f t="shared" si="7"/>
        <v>200</v>
      </c>
      <c r="AV24" s="3">
        <f>SUM(AJ24 - AN24 - AU24)</f>
        <v>91333</v>
      </c>
      <c r="AW24" s="11">
        <v>0</v>
      </c>
      <c r="AX24" s="11">
        <v>0</v>
      </c>
      <c r="AY24" s="11">
        <v>0</v>
      </c>
      <c r="AZ24" s="11">
        <v>0</v>
      </c>
      <c r="BA24" s="3">
        <f t="shared" si="6"/>
        <v>91333</v>
      </c>
    </row>
    <row r="25" spans="1:53" x14ac:dyDescent="0.25">
      <c r="A25" s="1" t="s">
        <v>23</v>
      </c>
      <c r="B25" s="9" t="s">
        <v>1074</v>
      </c>
      <c r="C25" s="9" t="s">
        <v>1075</v>
      </c>
      <c r="D25" s="9" t="s">
        <v>1076</v>
      </c>
      <c r="E25" s="9" t="s">
        <v>1012</v>
      </c>
      <c r="F25" s="10">
        <v>44993</v>
      </c>
      <c r="G25" s="9" t="s">
        <v>1013</v>
      </c>
      <c r="I25" s="9" t="s">
        <v>1014</v>
      </c>
      <c r="J25" s="9" t="s">
        <v>1015</v>
      </c>
      <c r="K25" s="8" t="s">
        <v>1006</v>
      </c>
      <c r="L25" s="8" t="s">
        <v>1007</v>
      </c>
      <c r="M25" s="8" t="s">
        <v>2933</v>
      </c>
      <c r="N25" s="8" t="s">
        <v>2937</v>
      </c>
      <c r="O25" s="1" t="s">
        <v>2934</v>
      </c>
      <c r="P25">
        <v>30</v>
      </c>
      <c r="Q25">
        <v>30</v>
      </c>
      <c r="R25">
        <v>0</v>
      </c>
      <c r="S25">
        <f t="shared" si="8"/>
        <v>30</v>
      </c>
      <c r="T25" s="1" t="s">
        <v>2935</v>
      </c>
      <c r="U25" s="1" t="s">
        <v>2932</v>
      </c>
      <c r="V25" s="3">
        <f t="shared" si="9"/>
        <v>40000</v>
      </c>
      <c r="W25" s="3">
        <f t="shared" si="10"/>
        <v>16000</v>
      </c>
      <c r="X25" s="3">
        <f t="shared" si="1"/>
        <v>1250</v>
      </c>
      <c r="Y25" s="3">
        <f t="shared" si="2"/>
        <v>1600</v>
      </c>
      <c r="Z25" s="3">
        <f t="shared" si="3"/>
        <v>1800</v>
      </c>
      <c r="AA25" s="3">
        <v>0</v>
      </c>
      <c r="AB25" s="3">
        <f>ROUND(U25 - (V25+W25+X25+Y25) - (U25/Q25 * 2),0)</f>
        <v>34483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f>SUM(V25+W25+X25+Y25+AB25)</f>
        <v>93333</v>
      </c>
      <c r="AK25" s="3">
        <f>SUM(AJ25-AA25)</f>
        <v>93333</v>
      </c>
      <c r="AL25" s="3">
        <f>IF(V25&lt;=15000,V25*12%,1800)</f>
        <v>1800</v>
      </c>
      <c r="AM25" s="3">
        <v>0</v>
      </c>
      <c r="AN25" s="3">
        <f t="shared" si="4"/>
        <v>1800</v>
      </c>
      <c r="AO25" s="12">
        <v>200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3">
        <f t="shared" si="7"/>
        <v>200</v>
      </c>
      <c r="AV25" s="3">
        <f>SUM(AJ25 - AN25 - AU25)</f>
        <v>91333</v>
      </c>
      <c r="AW25" s="11">
        <v>0</v>
      </c>
      <c r="AX25" s="11">
        <v>0</v>
      </c>
      <c r="AY25" s="11">
        <v>0</v>
      </c>
      <c r="AZ25" s="11">
        <v>0</v>
      </c>
      <c r="BA25" s="3">
        <f t="shared" si="6"/>
        <v>91333</v>
      </c>
    </row>
    <row r="26" spans="1:53" x14ac:dyDescent="0.25">
      <c r="A26" s="1" t="s">
        <v>24</v>
      </c>
      <c r="B26" s="9" t="s">
        <v>1071</v>
      </c>
      <c r="C26" s="9" t="s">
        <v>1072</v>
      </c>
      <c r="D26" s="9" t="s">
        <v>1073</v>
      </c>
      <c r="E26" s="9" t="s">
        <v>1008</v>
      </c>
      <c r="F26" s="10">
        <v>42006</v>
      </c>
      <c r="G26" s="9" t="s">
        <v>1019</v>
      </c>
      <c r="I26" s="9" t="s">
        <v>1042</v>
      </c>
      <c r="J26" s="9" t="s">
        <v>1048</v>
      </c>
      <c r="K26" s="8" t="s">
        <v>1006</v>
      </c>
      <c r="L26" s="8" t="s">
        <v>1007</v>
      </c>
      <c r="M26" s="8" t="s">
        <v>2933</v>
      </c>
      <c r="N26" s="8" t="s">
        <v>2937</v>
      </c>
      <c r="O26" s="1" t="s">
        <v>2934</v>
      </c>
      <c r="P26">
        <v>30</v>
      </c>
      <c r="Q26">
        <v>30</v>
      </c>
      <c r="R26">
        <v>0</v>
      </c>
      <c r="S26">
        <f t="shared" si="8"/>
        <v>30</v>
      </c>
      <c r="T26" s="1" t="s">
        <v>2935</v>
      </c>
      <c r="U26" s="1" t="s">
        <v>2932</v>
      </c>
      <c r="V26" s="3">
        <f t="shared" si="9"/>
        <v>40000</v>
      </c>
      <c r="W26" s="3">
        <f t="shared" si="10"/>
        <v>16000</v>
      </c>
      <c r="X26" s="3">
        <f t="shared" si="1"/>
        <v>1250</v>
      </c>
      <c r="Y26" s="3">
        <f t="shared" si="2"/>
        <v>1600</v>
      </c>
      <c r="Z26" s="3">
        <f t="shared" si="3"/>
        <v>1800</v>
      </c>
      <c r="AA26" s="3">
        <v>0</v>
      </c>
      <c r="AB26" s="3">
        <f>ROUND(U26 - (V26+W26+X26+Y26) - (U26/Q26 * 2),0)</f>
        <v>34483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f>SUM(V26+W26+X26+Y26+AB26)</f>
        <v>93333</v>
      </c>
      <c r="AK26" s="3">
        <f>SUM(AJ26-AA26)</f>
        <v>93333</v>
      </c>
      <c r="AL26" s="3">
        <f>IF(V26&lt;=15000,V26*12%,1800)</f>
        <v>1800</v>
      </c>
      <c r="AM26" s="3">
        <v>0</v>
      </c>
      <c r="AN26" s="3">
        <f t="shared" si="4"/>
        <v>1800</v>
      </c>
      <c r="AO26" s="12">
        <v>200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3">
        <f t="shared" si="7"/>
        <v>200</v>
      </c>
      <c r="AV26" s="3">
        <f>SUM(AJ26 - AN26 - AU26)</f>
        <v>91333</v>
      </c>
      <c r="AW26" s="11">
        <v>0</v>
      </c>
      <c r="AX26" s="11">
        <v>0</v>
      </c>
      <c r="AY26" s="11">
        <v>0</v>
      </c>
      <c r="AZ26" s="11">
        <v>0</v>
      </c>
      <c r="BA26" s="3">
        <f t="shared" si="6"/>
        <v>91333</v>
      </c>
    </row>
    <row r="27" spans="1:53" x14ac:dyDescent="0.25">
      <c r="A27" s="1" t="s">
        <v>25</v>
      </c>
      <c r="B27" s="9" t="s">
        <v>1069</v>
      </c>
      <c r="C27" s="9" t="s">
        <v>1023</v>
      </c>
      <c r="D27" s="9" t="s">
        <v>1070</v>
      </c>
      <c r="E27" s="9" t="s">
        <v>1012</v>
      </c>
      <c r="F27" s="10">
        <v>44998</v>
      </c>
      <c r="G27" s="9" t="s">
        <v>1019</v>
      </c>
      <c r="I27" s="9" t="s">
        <v>1014</v>
      </c>
      <c r="J27" s="9" t="s">
        <v>1021</v>
      </c>
      <c r="K27" s="8" t="s">
        <v>1006</v>
      </c>
      <c r="L27" s="8" t="s">
        <v>1007</v>
      </c>
      <c r="M27" s="8" t="s">
        <v>2933</v>
      </c>
      <c r="N27" s="8" t="s">
        <v>2937</v>
      </c>
      <c r="O27" s="1" t="s">
        <v>2934</v>
      </c>
      <c r="P27">
        <v>30</v>
      </c>
      <c r="Q27">
        <v>30</v>
      </c>
      <c r="R27">
        <v>0</v>
      </c>
      <c r="S27">
        <f t="shared" si="8"/>
        <v>30</v>
      </c>
      <c r="T27" s="1" t="s">
        <v>2935</v>
      </c>
      <c r="U27" s="1" t="s">
        <v>2932</v>
      </c>
      <c r="V27" s="3">
        <f t="shared" si="9"/>
        <v>40000</v>
      </c>
      <c r="W27" s="3">
        <f t="shared" si="10"/>
        <v>16000</v>
      </c>
      <c r="X27" s="3">
        <f t="shared" si="1"/>
        <v>1250</v>
      </c>
      <c r="Y27" s="3">
        <f t="shared" si="2"/>
        <v>1600</v>
      </c>
      <c r="Z27" s="3">
        <f t="shared" si="3"/>
        <v>1800</v>
      </c>
      <c r="AA27" s="3">
        <v>0</v>
      </c>
      <c r="AB27" s="3">
        <f>ROUND(U27 - (V27+W27+X27+Y27) - (U27/Q27 * 2),0)</f>
        <v>34483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f>SUM(V27+W27+X27+Y27+AB27)</f>
        <v>93333</v>
      </c>
      <c r="AK27" s="3">
        <f>SUM(AJ27-AA27)</f>
        <v>93333</v>
      </c>
      <c r="AL27" s="3">
        <f>IF(V27&lt;=15000,V27*12%,1800)</f>
        <v>1800</v>
      </c>
      <c r="AM27" s="3">
        <v>0</v>
      </c>
      <c r="AN27" s="3">
        <f t="shared" si="4"/>
        <v>1800</v>
      </c>
      <c r="AO27" s="12">
        <v>200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3">
        <f t="shared" si="7"/>
        <v>200</v>
      </c>
      <c r="AV27" s="3">
        <f>SUM(AJ27 - AN27 - AU27)</f>
        <v>91333</v>
      </c>
      <c r="AW27" s="11">
        <v>0</v>
      </c>
      <c r="AX27" s="11">
        <v>0</v>
      </c>
      <c r="AY27" s="11">
        <v>0</v>
      </c>
      <c r="AZ27" s="11">
        <v>0</v>
      </c>
      <c r="BA27" s="3">
        <f t="shared" si="6"/>
        <v>91333</v>
      </c>
    </row>
    <row r="28" spans="1:53" x14ac:dyDescent="0.25">
      <c r="A28" s="1" t="s">
        <v>26</v>
      </c>
      <c r="B28" s="9" t="s">
        <v>1066</v>
      </c>
      <c r="C28" s="9" t="s">
        <v>1067</v>
      </c>
      <c r="D28" s="9" t="s">
        <v>1068</v>
      </c>
      <c r="E28" s="9" t="s">
        <v>1012</v>
      </c>
      <c r="F28" s="10">
        <v>45005</v>
      </c>
      <c r="G28" s="9" t="s">
        <v>1019</v>
      </c>
      <c r="I28" s="9" t="s">
        <v>1035</v>
      </c>
      <c r="J28" s="9" t="s">
        <v>1048</v>
      </c>
      <c r="K28" s="8" t="s">
        <v>1006</v>
      </c>
      <c r="L28" s="8" t="s">
        <v>1007</v>
      </c>
      <c r="M28" s="8" t="s">
        <v>2933</v>
      </c>
      <c r="N28" s="8" t="s">
        <v>2937</v>
      </c>
      <c r="O28" s="1" t="s">
        <v>2934</v>
      </c>
      <c r="P28">
        <v>30</v>
      </c>
      <c r="Q28">
        <v>30</v>
      </c>
      <c r="R28">
        <v>0</v>
      </c>
      <c r="S28">
        <f t="shared" si="8"/>
        <v>30</v>
      </c>
      <c r="T28" s="1" t="s">
        <v>2935</v>
      </c>
      <c r="U28" s="1" t="s">
        <v>2932</v>
      </c>
      <c r="V28" s="3">
        <f t="shared" si="9"/>
        <v>40000</v>
      </c>
      <c r="W28" s="3">
        <f t="shared" si="10"/>
        <v>16000</v>
      </c>
      <c r="X28" s="3">
        <f t="shared" si="1"/>
        <v>1250</v>
      </c>
      <c r="Y28" s="3">
        <f t="shared" si="2"/>
        <v>1600</v>
      </c>
      <c r="Z28" s="3">
        <f t="shared" si="3"/>
        <v>1800</v>
      </c>
      <c r="AA28" s="3">
        <v>0</v>
      </c>
      <c r="AB28" s="3">
        <f>ROUND(U28 - (V28+W28+X28+Y28) - (U28/Q28 * 2),0)</f>
        <v>34483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f>SUM(V28+W28+X28+Y28+AB28)</f>
        <v>93333</v>
      </c>
      <c r="AK28" s="3">
        <f>SUM(AJ28-AA28)</f>
        <v>93333</v>
      </c>
      <c r="AL28" s="3">
        <f>IF(V28&lt;=15000,V28*12%,1800)</f>
        <v>1800</v>
      </c>
      <c r="AM28" s="3">
        <v>0</v>
      </c>
      <c r="AN28" s="3">
        <f t="shared" si="4"/>
        <v>1800</v>
      </c>
      <c r="AO28" s="12">
        <v>200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3">
        <f t="shared" si="7"/>
        <v>200</v>
      </c>
      <c r="AV28" s="3">
        <f>SUM(AJ28 - AN28 - AU28)</f>
        <v>91333</v>
      </c>
      <c r="AW28" s="11">
        <v>0</v>
      </c>
      <c r="AX28" s="11">
        <v>0</v>
      </c>
      <c r="AY28" s="11">
        <v>0</v>
      </c>
      <c r="AZ28" s="11">
        <v>0</v>
      </c>
      <c r="BA28" s="3">
        <f t="shared" si="6"/>
        <v>91333</v>
      </c>
    </row>
    <row r="29" spans="1:53" x14ac:dyDescent="0.25">
      <c r="A29" s="1" t="s">
        <v>27</v>
      </c>
      <c r="B29" s="9" t="s">
        <v>1062</v>
      </c>
      <c r="C29" s="9" t="s">
        <v>1063</v>
      </c>
      <c r="D29" s="9" t="s">
        <v>1064</v>
      </c>
      <c r="E29" s="9" t="s">
        <v>1012</v>
      </c>
      <c r="F29" s="10">
        <v>45000</v>
      </c>
      <c r="G29" s="9" t="s">
        <v>1019</v>
      </c>
      <c r="I29" s="9" t="s">
        <v>1065</v>
      </c>
      <c r="J29" s="9" t="s">
        <v>1015</v>
      </c>
      <c r="K29" s="8" t="s">
        <v>1006</v>
      </c>
      <c r="L29" s="8" t="s">
        <v>1007</v>
      </c>
      <c r="M29" s="8" t="s">
        <v>2933</v>
      </c>
      <c r="N29" s="8" t="s">
        <v>2937</v>
      </c>
      <c r="O29" s="1" t="s">
        <v>2934</v>
      </c>
      <c r="P29">
        <v>30</v>
      </c>
      <c r="Q29">
        <v>30</v>
      </c>
      <c r="R29">
        <v>0</v>
      </c>
      <c r="S29">
        <f t="shared" si="8"/>
        <v>30</v>
      </c>
      <c r="T29" s="1" t="s">
        <v>2935</v>
      </c>
      <c r="U29" s="1" t="s">
        <v>2932</v>
      </c>
      <c r="V29" s="3">
        <f t="shared" si="9"/>
        <v>40000</v>
      </c>
      <c r="W29" s="3">
        <f t="shared" si="10"/>
        <v>16000</v>
      </c>
      <c r="X29" s="3">
        <f t="shared" si="1"/>
        <v>1250</v>
      </c>
      <c r="Y29" s="3">
        <f t="shared" si="2"/>
        <v>1600</v>
      </c>
      <c r="Z29" s="3">
        <f t="shared" si="3"/>
        <v>1800</v>
      </c>
      <c r="AA29" s="3">
        <v>0</v>
      </c>
      <c r="AB29" s="3">
        <f>ROUND(U29 - (V29+W29+X29+Y29) - (U29/Q29 * 2),0)</f>
        <v>34483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f>SUM(V29+W29+X29+Y29+AB29)</f>
        <v>93333</v>
      </c>
      <c r="AK29" s="3">
        <f>SUM(AJ29-AA29)</f>
        <v>93333</v>
      </c>
      <c r="AL29" s="3">
        <f>IF(V29&lt;=15000,V29*12%,1800)</f>
        <v>1800</v>
      </c>
      <c r="AM29" s="3">
        <v>0</v>
      </c>
      <c r="AN29" s="3">
        <f t="shared" si="4"/>
        <v>1800</v>
      </c>
      <c r="AO29" s="12">
        <v>200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3">
        <f t="shared" si="7"/>
        <v>200</v>
      </c>
      <c r="AV29" s="3">
        <f>SUM(AJ29 - AN29 - AU29)</f>
        <v>91333</v>
      </c>
      <c r="AW29" s="11">
        <v>0</v>
      </c>
      <c r="AX29" s="11">
        <v>0</v>
      </c>
      <c r="AY29" s="11">
        <v>0</v>
      </c>
      <c r="AZ29" s="11">
        <v>0</v>
      </c>
      <c r="BA29" s="3">
        <f t="shared" si="6"/>
        <v>91333</v>
      </c>
    </row>
    <row r="30" spans="1:53" x14ac:dyDescent="0.25">
      <c r="A30" s="1" t="s">
        <v>28</v>
      </c>
      <c r="B30" s="9" t="s">
        <v>1060</v>
      </c>
      <c r="C30" s="9" t="s">
        <v>1026</v>
      </c>
      <c r="D30" s="9" t="s">
        <v>1061</v>
      </c>
      <c r="E30" s="9" t="s">
        <v>1008</v>
      </c>
      <c r="F30" s="10">
        <v>45000</v>
      </c>
      <c r="G30" s="9" t="s">
        <v>1019</v>
      </c>
      <c r="I30" s="9" t="s">
        <v>1014</v>
      </c>
      <c r="J30" s="9" t="s">
        <v>1015</v>
      </c>
      <c r="K30" s="8" t="s">
        <v>1006</v>
      </c>
      <c r="L30" s="8" t="s">
        <v>1007</v>
      </c>
      <c r="M30" s="8" t="s">
        <v>2933</v>
      </c>
      <c r="N30" s="8" t="s">
        <v>2937</v>
      </c>
      <c r="O30" s="1" t="s">
        <v>2934</v>
      </c>
      <c r="P30">
        <v>30</v>
      </c>
      <c r="Q30">
        <v>30</v>
      </c>
      <c r="R30">
        <v>0</v>
      </c>
      <c r="S30">
        <f t="shared" si="8"/>
        <v>30</v>
      </c>
      <c r="T30" s="1" t="s">
        <v>2935</v>
      </c>
      <c r="U30" s="1" t="s">
        <v>2932</v>
      </c>
      <c r="V30" s="3">
        <f t="shared" si="9"/>
        <v>40000</v>
      </c>
      <c r="W30" s="3">
        <f t="shared" si="10"/>
        <v>16000</v>
      </c>
      <c r="X30" s="3">
        <f t="shared" si="1"/>
        <v>1250</v>
      </c>
      <c r="Y30" s="3">
        <f t="shared" si="2"/>
        <v>1600</v>
      </c>
      <c r="Z30" s="3">
        <f t="shared" si="3"/>
        <v>1800</v>
      </c>
      <c r="AA30" s="3">
        <v>0</v>
      </c>
      <c r="AB30" s="3">
        <f>ROUND(U30 - (V30+W30+X30+Y30) - (U30/Q30 * 2),0)</f>
        <v>34483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f>SUM(V30+W30+X30+Y30+AB30)</f>
        <v>93333</v>
      </c>
      <c r="AK30" s="3">
        <f>SUM(AJ30-AA30)</f>
        <v>93333</v>
      </c>
      <c r="AL30" s="3">
        <f>IF(V30&lt;=15000,V30*12%,1800)</f>
        <v>1800</v>
      </c>
      <c r="AM30" s="3">
        <v>0</v>
      </c>
      <c r="AN30" s="3">
        <f t="shared" si="4"/>
        <v>1800</v>
      </c>
      <c r="AO30" s="12">
        <v>200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3">
        <f t="shared" si="7"/>
        <v>200</v>
      </c>
      <c r="AV30" s="3">
        <f>SUM(AJ30 - AN30 - AU30)</f>
        <v>91333</v>
      </c>
      <c r="AW30" s="11">
        <v>0</v>
      </c>
      <c r="AX30" s="11">
        <v>0</v>
      </c>
      <c r="AY30" s="11">
        <v>0</v>
      </c>
      <c r="AZ30" s="11">
        <v>0</v>
      </c>
      <c r="BA30" s="3">
        <f t="shared" si="6"/>
        <v>91333</v>
      </c>
    </row>
    <row r="31" spans="1:53" x14ac:dyDescent="0.25">
      <c r="A31" s="1" t="s">
        <v>29</v>
      </c>
      <c r="B31" s="9" t="s">
        <v>1132</v>
      </c>
      <c r="C31" s="9" t="s">
        <v>1026</v>
      </c>
      <c r="D31" s="9" t="s">
        <v>1133</v>
      </c>
      <c r="E31" s="9" t="s">
        <v>1008</v>
      </c>
      <c r="F31" s="10">
        <v>45000</v>
      </c>
      <c r="G31" s="9" t="s">
        <v>1019</v>
      </c>
      <c r="I31" s="9" t="s">
        <v>1014</v>
      </c>
      <c r="J31" s="9" t="s">
        <v>1015</v>
      </c>
      <c r="K31" s="8" t="s">
        <v>1006</v>
      </c>
      <c r="L31" s="8" t="s">
        <v>1007</v>
      </c>
      <c r="M31" s="8" t="s">
        <v>2933</v>
      </c>
      <c r="N31" s="8" t="s">
        <v>2937</v>
      </c>
      <c r="O31" s="1" t="s">
        <v>2934</v>
      </c>
      <c r="P31">
        <v>30</v>
      </c>
      <c r="Q31">
        <v>30</v>
      </c>
      <c r="R31">
        <v>0</v>
      </c>
      <c r="S31">
        <f t="shared" si="8"/>
        <v>30</v>
      </c>
      <c r="T31" s="1" t="s">
        <v>2935</v>
      </c>
      <c r="U31" s="1" t="s">
        <v>2932</v>
      </c>
      <c r="V31" s="3">
        <f t="shared" si="9"/>
        <v>40000</v>
      </c>
      <c r="W31" s="3">
        <f t="shared" si="10"/>
        <v>16000</v>
      </c>
      <c r="X31" s="3">
        <f t="shared" si="1"/>
        <v>1250</v>
      </c>
      <c r="Y31" s="3">
        <f t="shared" si="2"/>
        <v>1600</v>
      </c>
      <c r="Z31" s="3">
        <f t="shared" si="3"/>
        <v>1800</v>
      </c>
      <c r="AA31" s="3">
        <v>0</v>
      </c>
      <c r="AB31" s="3">
        <f>ROUND(U31 - (V31+W31+X31+Y31) - (U31/Q31 * 2),0)</f>
        <v>34483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f>SUM(V31+W31+X31+Y31+AB31)</f>
        <v>93333</v>
      </c>
      <c r="AK31" s="3">
        <f>SUM(AJ31-AA31)</f>
        <v>93333</v>
      </c>
      <c r="AL31" s="3">
        <f>IF(V31&lt;=15000,V31*12%,1800)</f>
        <v>1800</v>
      </c>
      <c r="AM31" s="3">
        <v>0</v>
      </c>
      <c r="AN31" s="3">
        <f t="shared" si="4"/>
        <v>1800</v>
      </c>
      <c r="AO31" s="12">
        <v>200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3">
        <f t="shared" si="7"/>
        <v>200</v>
      </c>
      <c r="AV31" s="3">
        <f>SUM(AJ31 - AN31 - AU31)</f>
        <v>91333</v>
      </c>
      <c r="AW31" s="11">
        <v>0</v>
      </c>
      <c r="AX31" s="11">
        <v>0</v>
      </c>
      <c r="AY31" s="11">
        <v>0</v>
      </c>
      <c r="AZ31" s="11">
        <v>0</v>
      </c>
      <c r="BA31" s="3">
        <f t="shared" si="6"/>
        <v>91333</v>
      </c>
    </row>
    <row r="32" spans="1:53" x14ac:dyDescent="0.25">
      <c r="A32" s="1" t="s">
        <v>30</v>
      </c>
      <c r="B32" s="9" t="s">
        <v>1130</v>
      </c>
      <c r="C32" s="9" t="s">
        <v>1026</v>
      </c>
      <c r="D32" s="9" t="s">
        <v>1131</v>
      </c>
      <c r="E32" s="9" t="s">
        <v>1012</v>
      </c>
      <c r="F32" s="10">
        <v>45007</v>
      </c>
      <c r="G32" s="9" t="s">
        <v>1019</v>
      </c>
      <c r="I32" s="9" t="s">
        <v>1014</v>
      </c>
      <c r="J32" s="9" t="s">
        <v>1015</v>
      </c>
      <c r="K32" s="8" t="s">
        <v>1006</v>
      </c>
      <c r="L32" s="8" t="s">
        <v>1007</v>
      </c>
      <c r="M32" s="8" t="s">
        <v>2933</v>
      </c>
      <c r="N32" s="8" t="s">
        <v>2937</v>
      </c>
      <c r="O32" s="1" t="s">
        <v>2934</v>
      </c>
      <c r="P32">
        <v>30</v>
      </c>
      <c r="Q32">
        <v>30</v>
      </c>
      <c r="R32">
        <v>0</v>
      </c>
      <c r="S32">
        <f t="shared" si="8"/>
        <v>30</v>
      </c>
      <c r="T32" s="1" t="s">
        <v>2935</v>
      </c>
      <c r="U32" s="1" t="s">
        <v>2932</v>
      </c>
      <c r="V32" s="3">
        <f t="shared" si="9"/>
        <v>40000</v>
      </c>
      <c r="W32" s="3">
        <f t="shared" si="10"/>
        <v>16000</v>
      </c>
      <c r="X32" s="3">
        <f t="shared" si="1"/>
        <v>1250</v>
      </c>
      <c r="Y32" s="3">
        <f t="shared" si="2"/>
        <v>1600</v>
      </c>
      <c r="Z32" s="3">
        <f t="shared" si="3"/>
        <v>1800</v>
      </c>
      <c r="AA32" s="3">
        <v>0</v>
      </c>
      <c r="AB32" s="3">
        <f>ROUND(U32 - (V32+W32+X32+Y32) - (U32/Q32 * 2),0)</f>
        <v>34483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f>SUM(V32+W32+X32+Y32+AB32)</f>
        <v>93333</v>
      </c>
      <c r="AK32" s="3">
        <f>SUM(AJ32-AA32)</f>
        <v>93333</v>
      </c>
      <c r="AL32" s="3">
        <f>IF(V32&lt;=15000,V32*12%,1800)</f>
        <v>1800</v>
      </c>
      <c r="AM32" s="3">
        <v>0</v>
      </c>
      <c r="AN32" s="3">
        <f t="shared" si="4"/>
        <v>1800</v>
      </c>
      <c r="AO32" s="12">
        <v>200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3">
        <f t="shared" si="7"/>
        <v>200</v>
      </c>
      <c r="AV32" s="3">
        <f>SUM(AJ32 - AN32 - AU32)</f>
        <v>91333</v>
      </c>
      <c r="AW32" s="11">
        <v>0</v>
      </c>
      <c r="AX32" s="11">
        <v>0</v>
      </c>
      <c r="AY32" s="11">
        <v>0</v>
      </c>
      <c r="AZ32" s="11">
        <v>0</v>
      </c>
      <c r="BA32" s="3">
        <f t="shared" si="6"/>
        <v>91333</v>
      </c>
    </row>
    <row r="33" spans="1:53" x14ac:dyDescent="0.25">
      <c r="A33" s="1" t="s">
        <v>31</v>
      </c>
      <c r="B33" s="9" t="s">
        <v>1127</v>
      </c>
      <c r="C33" s="9" t="s">
        <v>1128</v>
      </c>
      <c r="D33" s="9" t="s">
        <v>1129</v>
      </c>
      <c r="E33" s="9" t="s">
        <v>1008</v>
      </c>
      <c r="F33" s="10">
        <v>45026</v>
      </c>
      <c r="G33" s="9" t="s">
        <v>1013</v>
      </c>
      <c r="I33" s="9" t="s">
        <v>1035</v>
      </c>
      <c r="J33" s="9" t="s">
        <v>1048</v>
      </c>
      <c r="K33" s="8" t="s">
        <v>1006</v>
      </c>
      <c r="L33" s="8" t="s">
        <v>1007</v>
      </c>
      <c r="M33" s="8" t="s">
        <v>2933</v>
      </c>
      <c r="N33" s="8" t="s">
        <v>2937</v>
      </c>
      <c r="O33" s="1" t="s">
        <v>2934</v>
      </c>
      <c r="P33">
        <v>30</v>
      </c>
      <c r="Q33">
        <v>30</v>
      </c>
      <c r="R33">
        <v>0</v>
      </c>
      <c r="S33">
        <f t="shared" si="8"/>
        <v>30</v>
      </c>
      <c r="T33" s="1" t="s">
        <v>2935</v>
      </c>
      <c r="U33" s="1" t="s">
        <v>2932</v>
      </c>
      <c r="V33" s="3">
        <f t="shared" si="9"/>
        <v>40000</v>
      </c>
      <c r="W33" s="3">
        <f t="shared" si="10"/>
        <v>16000</v>
      </c>
      <c r="X33" s="3">
        <f t="shared" si="1"/>
        <v>1250</v>
      </c>
      <c r="Y33" s="3">
        <f t="shared" si="2"/>
        <v>1600</v>
      </c>
      <c r="Z33" s="3">
        <f t="shared" si="3"/>
        <v>1800</v>
      </c>
      <c r="AA33" s="3">
        <v>0</v>
      </c>
      <c r="AB33" s="3">
        <f>ROUND(U33 - (V33+W33+X33+Y33) - (U33/Q33 * 2),0)</f>
        <v>34483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f>SUM(V33+W33+X33+Y33+AB33)</f>
        <v>93333</v>
      </c>
      <c r="AK33" s="3">
        <f>SUM(AJ33-AA33)</f>
        <v>93333</v>
      </c>
      <c r="AL33" s="3">
        <f>IF(V33&lt;=15000,V33*12%,1800)</f>
        <v>1800</v>
      </c>
      <c r="AM33" s="3">
        <v>0</v>
      </c>
      <c r="AN33" s="3">
        <f t="shared" si="4"/>
        <v>1800</v>
      </c>
      <c r="AO33" s="12">
        <v>200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3">
        <f t="shared" si="7"/>
        <v>200</v>
      </c>
      <c r="AV33" s="3">
        <f>SUM(AJ33 - AN33 - AU33)</f>
        <v>91333</v>
      </c>
      <c r="AW33" s="11">
        <v>0</v>
      </c>
      <c r="AX33" s="11">
        <v>0</v>
      </c>
      <c r="AY33" s="11">
        <v>0</v>
      </c>
      <c r="AZ33" s="11">
        <v>0</v>
      </c>
      <c r="BA33" s="3">
        <f t="shared" si="6"/>
        <v>91333</v>
      </c>
    </row>
    <row r="34" spans="1:53" x14ac:dyDescent="0.25">
      <c r="A34" s="1" t="s">
        <v>32</v>
      </c>
      <c r="B34" s="9" t="s">
        <v>1125</v>
      </c>
      <c r="C34" s="9" t="s">
        <v>1115</v>
      </c>
      <c r="D34" s="9" t="s">
        <v>1126</v>
      </c>
      <c r="E34" s="9" t="s">
        <v>1012</v>
      </c>
      <c r="F34" s="10">
        <v>45026</v>
      </c>
      <c r="G34" s="9" t="s">
        <v>1019</v>
      </c>
      <c r="I34" s="9" t="s">
        <v>1042</v>
      </c>
      <c r="J34" s="9" t="s">
        <v>1048</v>
      </c>
      <c r="K34" s="8" t="s">
        <v>1006</v>
      </c>
      <c r="L34" s="8" t="s">
        <v>1007</v>
      </c>
      <c r="M34" s="8" t="s">
        <v>2933</v>
      </c>
      <c r="N34" s="8" t="s">
        <v>2937</v>
      </c>
      <c r="O34" s="1" t="s">
        <v>2934</v>
      </c>
      <c r="P34">
        <v>30</v>
      </c>
      <c r="Q34">
        <v>30</v>
      </c>
      <c r="R34">
        <v>0</v>
      </c>
      <c r="S34">
        <f t="shared" si="8"/>
        <v>30</v>
      </c>
      <c r="T34" s="1" t="s">
        <v>2935</v>
      </c>
      <c r="U34" s="1" t="s">
        <v>2932</v>
      </c>
      <c r="V34" s="3">
        <f t="shared" si="9"/>
        <v>40000</v>
      </c>
      <c r="W34" s="3">
        <f t="shared" si="10"/>
        <v>16000</v>
      </c>
      <c r="X34" s="3">
        <f t="shared" si="1"/>
        <v>1250</v>
      </c>
      <c r="Y34" s="3">
        <f t="shared" si="2"/>
        <v>1600</v>
      </c>
      <c r="Z34" s="3">
        <f t="shared" si="3"/>
        <v>1800</v>
      </c>
      <c r="AA34" s="3">
        <v>0</v>
      </c>
      <c r="AB34" s="3">
        <f>ROUND(U34 - (V34+W34+X34+Y34) - (U34/Q34 * 2),0)</f>
        <v>34483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f>SUM(V34+W34+X34+Y34+AB34)</f>
        <v>93333</v>
      </c>
      <c r="AK34" s="3">
        <f>SUM(AJ34-AA34)</f>
        <v>93333</v>
      </c>
      <c r="AL34" s="3">
        <f>IF(V34&lt;=15000,V34*12%,1800)</f>
        <v>1800</v>
      </c>
      <c r="AM34" s="3">
        <v>0</v>
      </c>
      <c r="AN34" s="3">
        <f t="shared" si="4"/>
        <v>1800</v>
      </c>
      <c r="AO34" s="12">
        <v>200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3">
        <f t="shared" si="7"/>
        <v>200</v>
      </c>
      <c r="AV34" s="3">
        <f>SUM(AJ34 - AN34 - AU34)</f>
        <v>91333</v>
      </c>
      <c r="AW34" s="11">
        <v>0</v>
      </c>
      <c r="AX34" s="11">
        <v>0</v>
      </c>
      <c r="AY34" s="11">
        <v>0</v>
      </c>
      <c r="AZ34" s="11">
        <v>0</v>
      </c>
      <c r="BA34" s="3">
        <f t="shared" si="6"/>
        <v>91333</v>
      </c>
    </row>
    <row r="35" spans="1:53" x14ac:dyDescent="0.25">
      <c r="A35" s="1" t="s">
        <v>33</v>
      </c>
      <c r="B35" s="9" t="s">
        <v>1123</v>
      </c>
      <c r="C35" s="9" t="s">
        <v>1115</v>
      </c>
      <c r="D35" s="9" t="s">
        <v>1124</v>
      </c>
      <c r="E35" s="9" t="s">
        <v>1008</v>
      </c>
      <c r="F35" s="10">
        <v>45026</v>
      </c>
      <c r="G35" s="9" t="s">
        <v>1019</v>
      </c>
      <c r="I35" s="9" t="s">
        <v>1042</v>
      </c>
      <c r="J35" s="9" t="s">
        <v>1048</v>
      </c>
      <c r="K35" s="8" t="s">
        <v>1006</v>
      </c>
      <c r="L35" s="8" t="s">
        <v>1007</v>
      </c>
      <c r="M35" s="8" t="s">
        <v>2933</v>
      </c>
      <c r="N35" s="8" t="s">
        <v>2937</v>
      </c>
      <c r="O35" s="1" t="s">
        <v>2934</v>
      </c>
      <c r="P35">
        <v>30</v>
      </c>
      <c r="Q35">
        <v>30</v>
      </c>
      <c r="R35">
        <v>0</v>
      </c>
      <c r="S35">
        <f t="shared" si="8"/>
        <v>30</v>
      </c>
      <c r="T35" s="1" t="s">
        <v>2935</v>
      </c>
      <c r="U35" s="1" t="s">
        <v>2932</v>
      </c>
      <c r="V35" s="3">
        <f t="shared" si="9"/>
        <v>40000</v>
      </c>
      <c r="W35" s="3">
        <f t="shared" si="10"/>
        <v>16000</v>
      </c>
      <c r="X35" s="3">
        <f t="shared" si="1"/>
        <v>1250</v>
      </c>
      <c r="Y35" s="3">
        <f t="shared" si="2"/>
        <v>1600</v>
      </c>
      <c r="Z35" s="3">
        <f t="shared" si="3"/>
        <v>1800</v>
      </c>
      <c r="AA35" s="3">
        <v>0</v>
      </c>
      <c r="AB35" s="3">
        <f>ROUND(U35 - (V35+W35+X35+Y35) - (U35/Q35 * 2),0)</f>
        <v>34483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f>SUM(V35+W35+X35+Y35+AB35)</f>
        <v>93333</v>
      </c>
      <c r="AK35" s="3">
        <f>SUM(AJ35-AA35)</f>
        <v>93333</v>
      </c>
      <c r="AL35" s="3">
        <f>IF(V35&lt;=15000,V35*12%,1800)</f>
        <v>1800</v>
      </c>
      <c r="AM35" s="3">
        <v>0</v>
      </c>
      <c r="AN35" s="3">
        <f t="shared" si="4"/>
        <v>1800</v>
      </c>
      <c r="AO35" s="12">
        <v>200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3">
        <f t="shared" si="7"/>
        <v>200</v>
      </c>
      <c r="AV35" s="3">
        <f>SUM(AJ35 - AN35 - AU35)</f>
        <v>91333</v>
      </c>
      <c r="AW35" s="11">
        <v>0</v>
      </c>
      <c r="AX35" s="11">
        <v>0</v>
      </c>
      <c r="AY35" s="11">
        <v>0</v>
      </c>
      <c r="AZ35" s="11">
        <v>0</v>
      </c>
      <c r="BA35" s="3">
        <f t="shared" si="6"/>
        <v>91333</v>
      </c>
    </row>
    <row r="36" spans="1:53" x14ac:dyDescent="0.25">
      <c r="A36" s="1" t="s">
        <v>34</v>
      </c>
      <c r="B36" s="9" t="s">
        <v>1121</v>
      </c>
      <c r="C36" s="9" t="s">
        <v>1026</v>
      </c>
      <c r="D36" s="9" t="s">
        <v>1122</v>
      </c>
      <c r="E36" s="9" t="s">
        <v>1012</v>
      </c>
      <c r="F36" s="10">
        <v>45019</v>
      </c>
      <c r="G36" s="9" t="s">
        <v>1019</v>
      </c>
      <c r="I36" s="9" t="s">
        <v>1014</v>
      </c>
      <c r="J36" s="9" t="s">
        <v>1015</v>
      </c>
      <c r="K36" s="8" t="s">
        <v>1006</v>
      </c>
      <c r="L36" s="8" t="s">
        <v>1007</v>
      </c>
      <c r="M36" s="8" t="s">
        <v>2933</v>
      </c>
      <c r="N36" s="8" t="s">
        <v>2937</v>
      </c>
      <c r="O36" s="1" t="s">
        <v>2934</v>
      </c>
      <c r="P36">
        <v>30</v>
      </c>
      <c r="Q36">
        <v>30</v>
      </c>
      <c r="R36">
        <v>0</v>
      </c>
      <c r="S36">
        <f t="shared" si="8"/>
        <v>30</v>
      </c>
      <c r="T36" s="1" t="s">
        <v>2935</v>
      </c>
      <c r="U36" s="1" t="s">
        <v>2932</v>
      </c>
      <c r="V36" s="3">
        <f t="shared" si="9"/>
        <v>40000</v>
      </c>
      <c r="W36" s="3">
        <f t="shared" si="10"/>
        <v>16000</v>
      </c>
      <c r="X36" s="3">
        <f t="shared" si="1"/>
        <v>1250</v>
      </c>
      <c r="Y36" s="3">
        <f t="shared" si="2"/>
        <v>1600</v>
      </c>
      <c r="Z36" s="3">
        <f t="shared" si="3"/>
        <v>1800</v>
      </c>
      <c r="AA36" s="3">
        <v>0</v>
      </c>
      <c r="AB36" s="3">
        <f>ROUND(U36 - (V36+W36+X36+Y36) - (U36/Q36 * 2),0)</f>
        <v>34483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f>SUM(V36+W36+X36+Y36+AB36)</f>
        <v>93333</v>
      </c>
      <c r="AK36" s="3">
        <f>SUM(AJ36-AA36)</f>
        <v>93333</v>
      </c>
      <c r="AL36" s="3">
        <f>IF(V36&lt;=15000,V36*12%,1800)</f>
        <v>1800</v>
      </c>
      <c r="AM36" s="3">
        <v>0</v>
      </c>
      <c r="AN36" s="3">
        <f t="shared" si="4"/>
        <v>1800</v>
      </c>
      <c r="AO36" s="12">
        <v>200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3">
        <f t="shared" si="7"/>
        <v>200</v>
      </c>
      <c r="AV36" s="3">
        <f>SUM(AJ36 - AN36 - AU36)</f>
        <v>91333</v>
      </c>
      <c r="AW36" s="11">
        <v>0</v>
      </c>
      <c r="AX36" s="11">
        <v>0</v>
      </c>
      <c r="AY36" s="11">
        <v>0</v>
      </c>
      <c r="AZ36" s="11">
        <v>0</v>
      </c>
      <c r="BA36" s="3">
        <f t="shared" si="6"/>
        <v>91333</v>
      </c>
    </row>
    <row r="37" spans="1:53" x14ac:dyDescent="0.25">
      <c r="A37" s="1" t="s">
        <v>35</v>
      </c>
      <c r="B37" s="9" t="s">
        <v>1119</v>
      </c>
      <c r="C37" s="9" t="s">
        <v>1010</v>
      </c>
      <c r="D37" s="9" t="s">
        <v>1120</v>
      </c>
      <c r="E37" s="9" t="s">
        <v>1008</v>
      </c>
      <c r="F37" s="10">
        <v>45026</v>
      </c>
      <c r="G37" s="9" t="s">
        <v>1013</v>
      </c>
      <c r="I37" s="9" t="s">
        <v>1014</v>
      </c>
      <c r="J37" s="9" t="s">
        <v>1015</v>
      </c>
      <c r="K37" s="8" t="s">
        <v>1006</v>
      </c>
      <c r="L37" s="8" t="s">
        <v>1007</v>
      </c>
      <c r="M37" s="8" t="s">
        <v>2933</v>
      </c>
      <c r="N37" s="8" t="s">
        <v>2937</v>
      </c>
      <c r="O37" s="1" t="s">
        <v>2934</v>
      </c>
      <c r="P37">
        <v>30</v>
      </c>
      <c r="Q37">
        <v>30</v>
      </c>
      <c r="R37">
        <v>0</v>
      </c>
      <c r="S37">
        <f t="shared" si="8"/>
        <v>30</v>
      </c>
      <c r="T37" s="1" t="s">
        <v>2935</v>
      </c>
      <c r="U37" s="1" t="s">
        <v>2932</v>
      </c>
      <c r="V37" s="3">
        <f t="shared" si="9"/>
        <v>40000</v>
      </c>
      <c r="W37" s="3">
        <f t="shared" si="10"/>
        <v>16000</v>
      </c>
      <c r="X37" s="3">
        <f t="shared" si="1"/>
        <v>1250</v>
      </c>
      <c r="Y37" s="3">
        <f t="shared" si="2"/>
        <v>1600</v>
      </c>
      <c r="Z37" s="3">
        <f t="shared" si="3"/>
        <v>1800</v>
      </c>
      <c r="AA37" s="3">
        <v>0</v>
      </c>
      <c r="AB37" s="3">
        <f>ROUND(U37 - (V37+W37+X37+Y37) - (U37/Q37 * 2),0)</f>
        <v>34483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f>SUM(V37+W37+X37+Y37+AB37)</f>
        <v>93333</v>
      </c>
      <c r="AK37" s="3">
        <f>SUM(AJ37-AA37)</f>
        <v>93333</v>
      </c>
      <c r="AL37" s="3">
        <f>IF(V37&lt;=15000,V37*12%,1800)</f>
        <v>1800</v>
      </c>
      <c r="AM37" s="3">
        <v>0</v>
      </c>
      <c r="AN37" s="3">
        <f t="shared" si="4"/>
        <v>1800</v>
      </c>
      <c r="AO37" s="12">
        <v>200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3">
        <f t="shared" si="7"/>
        <v>200</v>
      </c>
      <c r="AV37" s="3">
        <f>SUM(AJ37 - AN37 - AU37)</f>
        <v>91333</v>
      </c>
      <c r="AW37" s="11">
        <v>0</v>
      </c>
      <c r="AX37" s="11">
        <v>0</v>
      </c>
      <c r="AY37" s="11">
        <v>0</v>
      </c>
      <c r="AZ37" s="11">
        <v>0</v>
      </c>
      <c r="BA37" s="3">
        <f t="shared" si="6"/>
        <v>91333</v>
      </c>
    </row>
    <row r="38" spans="1:53" x14ac:dyDescent="0.25">
      <c r="A38" s="1" t="s">
        <v>36</v>
      </c>
      <c r="B38" s="9" t="s">
        <v>1117</v>
      </c>
      <c r="C38" s="9" t="s">
        <v>1118</v>
      </c>
      <c r="D38" s="9">
        <v>0</v>
      </c>
      <c r="E38" s="9" t="s">
        <v>1012</v>
      </c>
      <c r="F38" s="10">
        <v>45033</v>
      </c>
      <c r="G38" s="9" t="s">
        <v>1019</v>
      </c>
      <c r="I38" s="9" t="s">
        <v>1035</v>
      </c>
      <c r="J38" s="9" t="s">
        <v>1031</v>
      </c>
      <c r="K38" s="8" t="s">
        <v>1006</v>
      </c>
      <c r="L38" s="8" t="s">
        <v>1007</v>
      </c>
      <c r="M38" s="8" t="s">
        <v>2933</v>
      </c>
      <c r="N38" s="8" t="s">
        <v>2937</v>
      </c>
      <c r="O38" s="1" t="s">
        <v>2934</v>
      </c>
      <c r="P38">
        <v>30</v>
      </c>
      <c r="Q38">
        <v>30</v>
      </c>
      <c r="R38">
        <v>0</v>
      </c>
      <c r="S38">
        <f t="shared" si="8"/>
        <v>30</v>
      </c>
      <c r="T38" s="1" t="s">
        <v>2935</v>
      </c>
      <c r="U38" s="1" t="s">
        <v>2932</v>
      </c>
      <c r="V38" s="3">
        <f t="shared" si="9"/>
        <v>40000</v>
      </c>
      <c r="W38" s="3">
        <f t="shared" si="10"/>
        <v>16000</v>
      </c>
      <c r="X38" s="3">
        <f t="shared" si="1"/>
        <v>1250</v>
      </c>
      <c r="Y38" s="3">
        <f t="shared" si="2"/>
        <v>1600</v>
      </c>
      <c r="Z38" s="3">
        <f t="shared" si="3"/>
        <v>1800</v>
      </c>
      <c r="AA38" s="3">
        <v>0</v>
      </c>
      <c r="AB38" s="3">
        <f>ROUND(U38 - (V38+W38+X38+Y38) - (U38/Q38 * 2),0)</f>
        <v>34483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f>SUM(V38+W38+X38+Y38+AB38)</f>
        <v>93333</v>
      </c>
      <c r="AK38" s="3">
        <f>SUM(AJ38-AA38)</f>
        <v>93333</v>
      </c>
      <c r="AL38" s="3">
        <f>IF(V38&lt;=15000,V38*12%,1800)</f>
        <v>1800</v>
      </c>
      <c r="AM38" s="3">
        <v>0</v>
      </c>
      <c r="AN38" s="3">
        <f t="shared" si="4"/>
        <v>1800</v>
      </c>
      <c r="AO38" s="12">
        <v>200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3">
        <f t="shared" si="7"/>
        <v>200</v>
      </c>
      <c r="AV38" s="3">
        <f>SUM(AJ38 - AN38 - AU38)</f>
        <v>91333</v>
      </c>
      <c r="AW38" s="11">
        <v>0</v>
      </c>
      <c r="AX38" s="11">
        <v>0</v>
      </c>
      <c r="AY38" s="11">
        <v>0</v>
      </c>
      <c r="AZ38" s="11">
        <v>0</v>
      </c>
      <c r="BA38" s="3">
        <f t="shared" si="6"/>
        <v>91333</v>
      </c>
    </row>
    <row r="39" spans="1:53" x14ac:dyDescent="0.25">
      <c r="A39" s="1" t="s">
        <v>37</v>
      </c>
      <c r="B39" s="9" t="s">
        <v>1114</v>
      </c>
      <c r="C39" s="9" t="s">
        <v>1115</v>
      </c>
      <c r="D39" s="9" t="s">
        <v>1116</v>
      </c>
      <c r="E39" s="9" t="s">
        <v>1012</v>
      </c>
      <c r="F39" s="10">
        <v>45040</v>
      </c>
      <c r="G39" s="9" t="s">
        <v>1019</v>
      </c>
      <c r="I39" s="9" t="s">
        <v>1035</v>
      </c>
      <c r="J39" s="9" t="s">
        <v>1048</v>
      </c>
      <c r="K39" s="8" t="s">
        <v>1006</v>
      </c>
      <c r="L39" s="8" t="s">
        <v>1007</v>
      </c>
      <c r="M39" s="8" t="s">
        <v>2933</v>
      </c>
      <c r="N39" s="8" t="s">
        <v>2937</v>
      </c>
      <c r="O39" s="1" t="s">
        <v>2934</v>
      </c>
      <c r="P39">
        <v>30</v>
      </c>
      <c r="Q39">
        <v>30</v>
      </c>
      <c r="R39">
        <v>0</v>
      </c>
      <c r="S39">
        <f t="shared" si="8"/>
        <v>30</v>
      </c>
      <c r="T39" s="1" t="s">
        <v>2935</v>
      </c>
      <c r="U39" s="1" t="s">
        <v>2932</v>
      </c>
      <c r="V39" s="3">
        <f t="shared" si="9"/>
        <v>40000</v>
      </c>
      <c r="W39" s="3">
        <f t="shared" si="10"/>
        <v>16000</v>
      </c>
      <c r="X39" s="3">
        <f t="shared" si="1"/>
        <v>1250</v>
      </c>
      <c r="Y39" s="3">
        <f t="shared" si="2"/>
        <v>1600</v>
      </c>
      <c r="Z39" s="3">
        <f t="shared" si="3"/>
        <v>1800</v>
      </c>
      <c r="AA39" s="3">
        <v>0</v>
      </c>
      <c r="AB39" s="3">
        <f>ROUND(U39 - (V39+W39+X39+Y39) - (U39/Q39 * 2),0)</f>
        <v>34483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f>SUM(V39+W39+X39+Y39+AB39)</f>
        <v>93333</v>
      </c>
      <c r="AK39" s="3">
        <f>SUM(AJ39-AA39)</f>
        <v>93333</v>
      </c>
      <c r="AL39" s="3">
        <f>IF(V39&lt;=15000,V39*12%,1800)</f>
        <v>1800</v>
      </c>
      <c r="AM39" s="3">
        <v>0</v>
      </c>
      <c r="AN39" s="3">
        <f t="shared" si="4"/>
        <v>1800</v>
      </c>
      <c r="AO39" s="12">
        <v>200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3">
        <f t="shared" si="7"/>
        <v>200</v>
      </c>
      <c r="AV39" s="3">
        <f>SUM(AJ39 - AN39 - AU39)</f>
        <v>91333</v>
      </c>
      <c r="AW39" s="11">
        <v>0</v>
      </c>
      <c r="AX39" s="11">
        <v>0</v>
      </c>
      <c r="AY39" s="11">
        <v>0</v>
      </c>
      <c r="AZ39" s="11">
        <v>0</v>
      </c>
      <c r="BA39" s="3">
        <f t="shared" si="6"/>
        <v>91333</v>
      </c>
    </row>
    <row r="40" spans="1:53" x14ac:dyDescent="0.25">
      <c r="A40" s="1" t="s">
        <v>38</v>
      </c>
      <c r="B40" s="9" t="s">
        <v>1112</v>
      </c>
      <c r="C40" s="9" t="s">
        <v>1029</v>
      </c>
      <c r="D40" s="9" t="s">
        <v>1113</v>
      </c>
      <c r="E40" s="9" t="s">
        <v>1012</v>
      </c>
      <c r="F40" s="10">
        <v>45033</v>
      </c>
      <c r="G40" s="9" t="s">
        <v>1013</v>
      </c>
      <c r="I40" s="9" t="s">
        <v>1014</v>
      </c>
      <c r="J40" s="9" t="s">
        <v>1031</v>
      </c>
      <c r="K40" s="8" t="s">
        <v>1006</v>
      </c>
      <c r="L40" s="8" t="s">
        <v>1007</v>
      </c>
      <c r="M40" s="8" t="s">
        <v>2933</v>
      </c>
      <c r="N40" s="8" t="s">
        <v>2937</v>
      </c>
      <c r="O40" s="1" t="s">
        <v>2934</v>
      </c>
      <c r="P40">
        <v>30</v>
      </c>
      <c r="Q40">
        <v>30</v>
      </c>
      <c r="R40">
        <v>0</v>
      </c>
      <c r="S40">
        <f t="shared" si="8"/>
        <v>30</v>
      </c>
      <c r="T40" s="1" t="s">
        <v>2935</v>
      </c>
      <c r="U40" s="1" t="s">
        <v>2932</v>
      </c>
      <c r="V40" s="3">
        <f t="shared" si="9"/>
        <v>40000</v>
      </c>
      <c r="W40" s="3">
        <f t="shared" si="10"/>
        <v>16000</v>
      </c>
      <c r="X40" s="3">
        <f t="shared" si="1"/>
        <v>1250</v>
      </c>
      <c r="Y40" s="3">
        <f t="shared" si="2"/>
        <v>1600</v>
      </c>
      <c r="Z40" s="3">
        <f t="shared" si="3"/>
        <v>1800</v>
      </c>
      <c r="AA40" s="3">
        <v>0</v>
      </c>
      <c r="AB40" s="3">
        <f>ROUND(U40 - (V40+W40+X40+Y40) - (U40/Q40 * 2),0)</f>
        <v>34483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f>SUM(V40+W40+X40+Y40+AB40)</f>
        <v>93333</v>
      </c>
      <c r="AK40" s="3">
        <f>SUM(AJ40-AA40)</f>
        <v>93333</v>
      </c>
      <c r="AL40" s="3">
        <f>IF(V40&lt;=15000,V40*12%,1800)</f>
        <v>1800</v>
      </c>
      <c r="AM40" s="3">
        <v>0</v>
      </c>
      <c r="AN40" s="3">
        <f t="shared" si="4"/>
        <v>1800</v>
      </c>
      <c r="AO40" s="12">
        <v>200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3">
        <f t="shared" si="7"/>
        <v>200</v>
      </c>
      <c r="AV40" s="3">
        <f>SUM(AJ40 - AN40 - AU40)</f>
        <v>91333</v>
      </c>
      <c r="AW40" s="11">
        <v>0</v>
      </c>
      <c r="AX40" s="11">
        <v>0</v>
      </c>
      <c r="AY40" s="11">
        <v>0</v>
      </c>
      <c r="AZ40" s="11">
        <v>0</v>
      </c>
      <c r="BA40" s="3">
        <f t="shared" si="6"/>
        <v>91333</v>
      </c>
    </row>
    <row r="41" spans="1:53" x14ac:dyDescent="0.25">
      <c r="A41" s="1" t="s">
        <v>39</v>
      </c>
      <c r="B41" s="9" t="s">
        <v>1110</v>
      </c>
      <c r="C41" s="9" t="s">
        <v>1029</v>
      </c>
      <c r="D41" s="9" t="s">
        <v>1111</v>
      </c>
      <c r="E41" s="9" t="s">
        <v>1012</v>
      </c>
      <c r="F41" s="10">
        <v>45033</v>
      </c>
      <c r="G41" s="9" t="s">
        <v>1019</v>
      </c>
      <c r="I41" s="9" t="s">
        <v>1014</v>
      </c>
      <c r="J41" s="9" t="s">
        <v>1031</v>
      </c>
      <c r="K41" s="8" t="s">
        <v>1006</v>
      </c>
      <c r="L41" s="8" t="s">
        <v>1007</v>
      </c>
      <c r="M41" s="8" t="s">
        <v>2933</v>
      </c>
      <c r="N41" s="8" t="s">
        <v>2937</v>
      </c>
      <c r="O41" s="1" t="s">
        <v>2934</v>
      </c>
      <c r="P41">
        <v>30</v>
      </c>
      <c r="Q41">
        <v>30</v>
      </c>
      <c r="R41">
        <v>0</v>
      </c>
      <c r="S41">
        <f t="shared" si="8"/>
        <v>30</v>
      </c>
      <c r="T41" s="1" t="s">
        <v>2935</v>
      </c>
      <c r="U41" s="1" t="s">
        <v>2932</v>
      </c>
      <c r="V41" s="3">
        <f t="shared" si="9"/>
        <v>40000</v>
      </c>
      <c r="W41" s="3">
        <f t="shared" si="10"/>
        <v>16000</v>
      </c>
      <c r="X41" s="3">
        <f t="shared" si="1"/>
        <v>1250</v>
      </c>
      <c r="Y41" s="3">
        <f t="shared" si="2"/>
        <v>1600</v>
      </c>
      <c r="Z41" s="3">
        <f t="shared" si="3"/>
        <v>1800</v>
      </c>
      <c r="AA41" s="3">
        <v>0</v>
      </c>
      <c r="AB41" s="3">
        <f>ROUND(U41 - (V41+W41+X41+Y41) - (U41/Q41 * 2),0)</f>
        <v>34483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f>SUM(V41+W41+X41+Y41+AB41)</f>
        <v>93333</v>
      </c>
      <c r="AK41" s="3">
        <f>SUM(AJ41-AA41)</f>
        <v>93333</v>
      </c>
      <c r="AL41" s="3">
        <f>IF(V41&lt;=15000,V41*12%,1800)</f>
        <v>1800</v>
      </c>
      <c r="AM41" s="3">
        <v>0</v>
      </c>
      <c r="AN41" s="3">
        <f t="shared" si="4"/>
        <v>1800</v>
      </c>
      <c r="AO41" s="12">
        <v>200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3">
        <f t="shared" si="7"/>
        <v>200</v>
      </c>
      <c r="AV41" s="3">
        <f>SUM(AJ41 - AN41 - AU41)</f>
        <v>91333</v>
      </c>
      <c r="AW41" s="11">
        <v>0</v>
      </c>
      <c r="AX41" s="11">
        <v>0</v>
      </c>
      <c r="AY41" s="11">
        <v>0</v>
      </c>
      <c r="AZ41" s="11">
        <v>0</v>
      </c>
      <c r="BA41" s="3">
        <f t="shared" si="6"/>
        <v>91333</v>
      </c>
    </row>
    <row r="42" spans="1:53" x14ac:dyDescent="0.25">
      <c r="A42" s="1" t="s">
        <v>40</v>
      </c>
      <c r="B42" s="9" t="s">
        <v>1108</v>
      </c>
      <c r="C42" s="9" t="s">
        <v>1029</v>
      </c>
      <c r="D42" s="9" t="s">
        <v>1109</v>
      </c>
      <c r="E42" s="9" t="s">
        <v>1012</v>
      </c>
      <c r="F42" s="10">
        <v>45040</v>
      </c>
      <c r="G42" s="9" t="s">
        <v>1019</v>
      </c>
      <c r="I42" s="9" t="s">
        <v>1014</v>
      </c>
      <c r="J42" s="9" t="s">
        <v>1031</v>
      </c>
      <c r="K42" s="8" t="s">
        <v>1006</v>
      </c>
      <c r="L42" s="8" t="s">
        <v>1007</v>
      </c>
      <c r="M42" s="8" t="s">
        <v>2933</v>
      </c>
      <c r="N42" s="8" t="s">
        <v>2937</v>
      </c>
      <c r="O42" s="1" t="s">
        <v>2934</v>
      </c>
      <c r="P42">
        <v>30</v>
      </c>
      <c r="Q42">
        <v>30</v>
      </c>
      <c r="R42">
        <v>0</v>
      </c>
      <c r="S42">
        <f t="shared" si="8"/>
        <v>30</v>
      </c>
      <c r="T42" s="1" t="s">
        <v>2935</v>
      </c>
      <c r="U42" s="1" t="s">
        <v>2932</v>
      </c>
      <c r="V42" s="3">
        <f t="shared" si="9"/>
        <v>40000</v>
      </c>
      <c r="W42" s="3">
        <f t="shared" si="10"/>
        <v>16000</v>
      </c>
      <c r="X42" s="3">
        <f t="shared" si="1"/>
        <v>1250</v>
      </c>
      <c r="Y42" s="3">
        <f t="shared" si="2"/>
        <v>1600</v>
      </c>
      <c r="Z42" s="3">
        <f t="shared" si="3"/>
        <v>1800</v>
      </c>
      <c r="AA42" s="3">
        <v>0</v>
      </c>
      <c r="AB42" s="3">
        <f>ROUND(U42 - (V42+W42+X42+Y42) - (U42/Q42 * 2),0)</f>
        <v>34483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f>SUM(V42+W42+X42+Y42+AB42)</f>
        <v>93333</v>
      </c>
      <c r="AK42" s="3">
        <f>SUM(AJ42-AA42)</f>
        <v>93333</v>
      </c>
      <c r="AL42" s="3">
        <f>IF(V42&lt;=15000,V42*12%,1800)</f>
        <v>1800</v>
      </c>
      <c r="AM42" s="3">
        <v>0</v>
      </c>
      <c r="AN42" s="3">
        <f t="shared" si="4"/>
        <v>1800</v>
      </c>
      <c r="AO42" s="12">
        <v>200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3">
        <f t="shared" si="7"/>
        <v>200</v>
      </c>
      <c r="AV42" s="3">
        <f>SUM(AJ42 - AN42 - AU42)</f>
        <v>91333</v>
      </c>
      <c r="AW42" s="11">
        <v>0</v>
      </c>
      <c r="AX42" s="11">
        <v>0</v>
      </c>
      <c r="AY42" s="11">
        <v>0</v>
      </c>
      <c r="AZ42" s="11">
        <v>0</v>
      </c>
      <c r="BA42" s="3">
        <f t="shared" si="6"/>
        <v>91333</v>
      </c>
    </row>
    <row r="43" spans="1:53" x14ac:dyDescent="0.25">
      <c r="A43" s="1" t="s">
        <v>41</v>
      </c>
      <c r="B43" s="9" t="s">
        <v>1105</v>
      </c>
      <c r="C43" s="9" t="s">
        <v>1106</v>
      </c>
      <c r="D43" s="9" t="s">
        <v>1107</v>
      </c>
      <c r="E43" s="9" t="s">
        <v>1012</v>
      </c>
      <c r="F43" s="10">
        <v>45049</v>
      </c>
      <c r="G43" s="9" t="s">
        <v>1019</v>
      </c>
      <c r="I43" s="9" t="s">
        <v>1035</v>
      </c>
      <c r="J43" s="9" t="s">
        <v>1048</v>
      </c>
      <c r="K43" s="8" t="s">
        <v>1006</v>
      </c>
      <c r="L43" s="8" t="s">
        <v>1007</v>
      </c>
      <c r="M43" s="8" t="s">
        <v>2933</v>
      </c>
      <c r="N43" s="8" t="s">
        <v>2937</v>
      </c>
      <c r="O43" s="1" t="s">
        <v>2934</v>
      </c>
      <c r="P43">
        <v>30</v>
      </c>
      <c r="Q43">
        <v>30</v>
      </c>
      <c r="R43">
        <v>0</v>
      </c>
      <c r="S43">
        <f t="shared" si="8"/>
        <v>30</v>
      </c>
      <c r="T43" s="1" t="s">
        <v>2935</v>
      </c>
      <c r="U43" s="1" t="s">
        <v>2932</v>
      </c>
      <c r="V43" s="3">
        <f t="shared" si="9"/>
        <v>40000</v>
      </c>
      <c r="W43" s="3">
        <f t="shared" si="10"/>
        <v>16000</v>
      </c>
      <c r="X43" s="3">
        <f t="shared" si="1"/>
        <v>1250</v>
      </c>
      <c r="Y43" s="3">
        <f t="shared" si="2"/>
        <v>1600</v>
      </c>
      <c r="Z43" s="3">
        <f t="shared" si="3"/>
        <v>1800</v>
      </c>
      <c r="AA43" s="3">
        <v>0</v>
      </c>
      <c r="AB43" s="3">
        <f>ROUND(U43 - (V43+W43+X43+Y43) - (U43/Q43 * 2),0)</f>
        <v>34483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f>SUM(V43+W43+X43+Y43+AB43)</f>
        <v>93333</v>
      </c>
      <c r="AK43" s="3">
        <f>SUM(AJ43-AA43)</f>
        <v>93333</v>
      </c>
      <c r="AL43" s="3">
        <f>IF(V43&lt;=15000,V43*12%,1800)</f>
        <v>1800</v>
      </c>
      <c r="AM43" s="3">
        <v>0</v>
      </c>
      <c r="AN43" s="3">
        <f t="shared" si="4"/>
        <v>1800</v>
      </c>
      <c r="AO43" s="12">
        <v>200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3">
        <f t="shared" si="7"/>
        <v>200</v>
      </c>
      <c r="AV43" s="3">
        <f>SUM(AJ43 - AN43 - AU43)</f>
        <v>91333</v>
      </c>
      <c r="AW43" s="11">
        <v>0</v>
      </c>
      <c r="AX43" s="11">
        <v>0</v>
      </c>
      <c r="AY43" s="11">
        <v>0</v>
      </c>
      <c r="AZ43" s="11">
        <v>0</v>
      </c>
      <c r="BA43" s="3">
        <f t="shared" si="6"/>
        <v>91333</v>
      </c>
    </row>
    <row r="44" spans="1:53" x14ac:dyDescent="0.25">
      <c r="A44" s="1" t="s">
        <v>42</v>
      </c>
      <c r="B44" s="9" t="s">
        <v>1103</v>
      </c>
      <c r="C44" s="9" t="s">
        <v>1063</v>
      </c>
      <c r="D44" s="9" t="s">
        <v>1104</v>
      </c>
      <c r="E44" s="9" t="s">
        <v>1012</v>
      </c>
      <c r="F44" s="10">
        <v>45308</v>
      </c>
      <c r="G44" s="9" t="s">
        <v>1013</v>
      </c>
      <c r="I44" s="9" t="s">
        <v>1020</v>
      </c>
      <c r="J44" s="9" t="s">
        <v>1015</v>
      </c>
      <c r="K44" s="8" t="s">
        <v>1006</v>
      </c>
      <c r="L44" s="8" t="s">
        <v>1007</v>
      </c>
      <c r="M44" s="8" t="s">
        <v>2933</v>
      </c>
      <c r="N44" s="8" t="s">
        <v>2937</v>
      </c>
      <c r="O44" s="1" t="s">
        <v>2934</v>
      </c>
      <c r="P44">
        <v>30</v>
      </c>
      <c r="Q44">
        <v>30</v>
      </c>
      <c r="R44">
        <v>0</v>
      </c>
      <c r="S44">
        <f t="shared" si="8"/>
        <v>30</v>
      </c>
      <c r="T44" s="1" t="s">
        <v>2935</v>
      </c>
      <c r="U44" s="1" t="s">
        <v>2932</v>
      </c>
      <c r="V44" s="3">
        <f t="shared" si="9"/>
        <v>40000</v>
      </c>
      <c r="W44" s="3">
        <f t="shared" si="10"/>
        <v>16000</v>
      </c>
      <c r="X44" s="3">
        <f t="shared" si="1"/>
        <v>1250</v>
      </c>
      <c r="Y44" s="3">
        <f t="shared" si="2"/>
        <v>1600</v>
      </c>
      <c r="Z44" s="3">
        <f t="shared" si="3"/>
        <v>1800</v>
      </c>
      <c r="AA44" s="3">
        <v>0</v>
      </c>
      <c r="AB44" s="3">
        <f>ROUND(U44 - (V44+W44+X44+Y44) - (U44/Q44 * 2),0)</f>
        <v>34483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f>SUM(V44+W44+X44+Y44+AB44)</f>
        <v>93333</v>
      </c>
      <c r="AK44" s="3">
        <f>SUM(AJ44-AA44)</f>
        <v>93333</v>
      </c>
      <c r="AL44" s="3">
        <f>IF(V44&lt;=15000,V44*12%,1800)</f>
        <v>1800</v>
      </c>
      <c r="AM44" s="3">
        <v>0</v>
      </c>
      <c r="AN44" s="3">
        <f t="shared" si="4"/>
        <v>1800</v>
      </c>
      <c r="AO44" s="12">
        <v>200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3">
        <f t="shared" si="7"/>
        <v>200</v>
      </c>
      <c r="AV44" s="3">
        <f>SUM(AJ44 - AN44 - AU44)</f>
        <v>91333</v>
      </c>
      <c r="AW44" s="11">
        <v>0</v>
      </c>
      <c r="AX44" s="11">
        <v>0</v>
      </c>
      <c r="AY44" s="11">
        <v>0</v>
      </c>
      <c r="AZ44" s="11">
        <v>0</v>
      </c>
      <c r="BA44" s="3">
        <f t="shared" si="6"/>
        <v>91333</v>
      </c>
    </row>
    <row r="45" spans="1:53" x14ac:dyDescent="0.25">
      <c r="A45" s="1" t="s">
        <v>43</v>
      </c>
      <c r="B45" s="9" t="s">
        <v>1101</v>
      </c>
      <c r="C45" s="9" t="s">
        <v>1063</v>
      </c>
      <c r="D45" s="9" t="s">
        <v>1102</v>
      </c>
      <c r="E45" s="9" t="s">
        <v>1012</v>
      </c>
      <c r="F45" s="10">
        <v>45308</v>
      </c>
      <c r="G45" s="9" t="s">
        <v>1013</v>
      </c>
      <c r="I45" s="9" t="s">
        <v>1020</v>
      </c>
      <c r="J45" s="9" t="s">
        <v>1015</v>
      </c>
      <c r="K45" s="8" t="s">
        <v>1006</v>
      </c>
      <c r="L45" s="8" t="s">
        <v>1007</v>
      </c>
      <c r="M45" s="8" t="s">
        <v>2933</v>
      </c>
      <c r="N45" s="8" t="s">
        <v>2937</v>
      </c>
      <c r="O45" s="1" t="s">
        <v>2934</v>
      </c>
      <c r="P45">
        <v>30</v>
      </c>
      <c r="Q45">
        <v>30</v>
      </c>
      <c r="R45">
        <v>0</v>
      </c>
      <c r="S45">
        <f t="shared" si="8"/>
        <v>30</v>
      </c>
      <c r="T45" s="1" t="s">
        <v>2935</v>
      </c>
      <c r="U45" s="1" t="s">
        <v>2932</v>
      </c>
      <c r="V45" s="3">
        <f t="shared" si="9"/>
        <v>40000</v>
      </c>
      <c r="W45" s="3">
        <f t="shared" si="10"/>
        <v>16000</v>
      </c>
      <c r="X45" s="3">
        <f t="shared" si="1"/>
        <v>1250</v>
      </c>
      <c r="Y45" s="3">
        <f t="shared" si="2"/>
        <v>1600</v>
      </c>
      <c r="Z45" s="3">
        <f t="shared" si="3"/>
        <v>1800</v>
      </c>
      <c r="AA45" s="3">
        <v>0</v>
      </c>
      <c r="AB45" s="3">
        <f>ROUND(U45 - (V45+W45+X45+Y45) - (U45/Q45 * 2),0)</f>
        <v>34483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f>SUM(V45+W45+X45+Y45+AB45)</f>
        <v>93333</v>
      </c>
      <c r="AK45" s="3">
        <f>SUM(AJ45-AA45)</f>
        <v>93333</v>
      </c>
      <c r="AL45" s="3">
        <f>IF(V45&lt;=15000,V45*12%,1800)</f>
        <v>1800</v>
      </c>
      <c r="AM45" s="3">
        <v>0</v>
      </c>
      <c r="AN45" s="3">
        <f t="shared" si="4"/>
        <v>1800</v>
      </c>
      <c r="AO45" s="12">
        <v>200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3">
        <f t="shared" si="7"/>
        <v>200</v>
      </c>
      <c r="AV45" s="3">
        <f>SUM(AJ45 - AN45 - AU45)</f>
        <v>91333</v>
      </c>
      <c r="AW45" s="11">
        <v>0</v>
      </c>
      <c r="AX45" s="11">
        <v>0</v>
      </c>
      <c r="AY45" s="11">
        <v>0</v>
      </c>
      <c r="AZ45" s="11">
        <v>0</v>
      </c>
      <c r="BA45" s="3">
        <f t="shared" si="6"/>
        <v>91333</v>
      </c>
    </row>
    <row r="46" spans="1:53" x14ac:dyDescent="0.25">
      <c r="A46" s="1" t="s">
        <v>44</v>
      </c>
      <c r="B46" s="9" t="s">
        <v>1099</v>
      </c>
      <c r="C46" s="9" t="s">
        <v>1063</v>
      </c>
      <c r="D46" s="9" t="s">
        <v>1100</v>
      </c>
      <c r="E46" s="9" t="s">
        <v>1008</v>
      </c>
      <c r="F46" s="10">
        <v>45308</v>
      </c>
      <c r="G46" s="9" t="s">
        <v>1013</v>
      </c>
      <c r="I46" s="9" t="s">
        <v>1020</v>
      </c>
      <c r="J46" s="9" t="s">
        <v>1015</v>
      </c>
      <c r="K46" s="8" t="s">
        <v>1006</v>
      </c>
      <c r="L46" s="8" t="s">
        <v>1007</v>
      </c>
      <c r="M46" s="8" t="s">
        <v>2933</v>
      </c>
      <c r="N46" s="8" t="s">
        <v>2937</v>
      </c>
      <c r="O46" s="1" t="s">
        <v>2934</v>
      </c>
      <c r="P46">
        <v>30</v>
      </c>
      <c r="Q46">
        <v>30</v>
      </c>
      <c r="R46">
        <v>0</v>
      </c>
      <c r="S46">
        <f t="shared" si="8"/>
        <v>30</v>
      </c>
      <c r="T46" s="1" t="s">
        <v>2935</v>
      </c>
      <c r="U46" s="1" t="s">
        <v>2932</v>
      </c>
      <c r="V46" s="3">
        <f t="shared" si="9"/>
        <v>40000</v>
      </c>
      <c r="W46" s="3">
        <f t="shared" si="10"/>
        <v>16000</v>
      </c>
      <c r="X46" s="3">
        <f t="shared" si="1"/>
        <v>1250</v>
      </c>
      <c r="Y46" s="3">
        <f t="shared" si="2"/>
        <v>1600</v>
      </c>
      <c r="Z46" s="3">
        <f t="shared" si="3"/>
        <v>1800</v>
      </c>
      <c r="AA46" s="3">
        <v>0</v>
      </c>
      <c r="AB46" s="3">
        <f>ROUND(U46 - (V46+W46+X46+Y46) - (U46/Q46 * 2),0)</f>
        <v>34483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f>SUM(V46+W46+X46+Y46+AB46)</f>
        <v>93333</v>
      </c>
      <c r="AK46" s="3">
        <f>SUM(AJ46-AA46)</f>
        <v>93333</v>
      </c>
      <c r="AL46" s="3">
        <f>IF(V46&lt;=15000,V46*12%,1800)</f>
        <v>1800</v>
      </c>
      <c r="AM46" s="3">
        <v>0</v>
      </c>
      <c r="AN46" s="3">
        <f t="shared" si="4"/>
        <v>1800</v>
      </c>
      <c r="AO46" s="12">
        <v>200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3">
        <f t="shared" si="7"/>
        <v>200</v>
      </c>
      <c r="AV46" s="3">
        <f>SUM(AJ46 - AN46 - AU46)</f>
        <v>91333</v>
      </c>
      <c r="AW46" s="11">
        <v>0</v>
      </c>
      <c r="AX46" s="11">
        <v>0</v>
      </c>
      <c r="AY46" s="11">
        <v>0</v>
      </c>
      <c r="AZ46" s="11">
        <v>0</v>
      </c>
      <c r="BA46" s="3">
        <f t="shared" si="6"/>
        <v>91333</v>
      </c>
    </row>
    <row r="47" spans="1:53" x14ac:dyDescent="0.25">
      <c r="A47" s="1" t="s">
        <v>45</v>
      </c>
      <c r="B47" s="9" t="s">
        <v>1164</v>
      </c>
      <c r="C47" s="9" t="s">
        <v>1029</v>
      </c>
      <c r="D47" s="9" t="s">
        <v>1165</v>
      </c>
      <c r="E47" s="9" t="s">
        <v>1012</v>
      </c>
      <c r="F47" s="10">
        <v>45313</v>
      </c>
      <c r="G47" s="9" t="s">
        <v>1019</v>
      </c>
      <c r="I47" s="9" t="s">
        <v>1020</v>
      </c>
      <c r="J47" s="9" t="s">
        <v>1015</v>
      </c>
      <c r="K47" s="8" t="s">
        <v>1006</v>
      </c>
      <c r="L47" s="8" t="s">
        <v>1007</v>
      </c>
      <c r="M47" s="8" t="s">
        <v>2933</v>
      </c>
      <c r="N47" s="8" t="s">
        <v>2937</v>
      </c>
      <c r="O47" s="1" t="s">
        <v>2934</v>
      </c>
      <c r="P47">
        <v>30</v>
      </c>
      <c r="Q47">
        <v>30</v>
      </c>
      <c r="R47">
        <v>0</v>
      </c>
      <c r="S47">
        <f t="shared" si="8"/>
        <v>30</v>
      </c>
      <c r="T47" s="1" t="s">
        <v>2935</v>
      </c>
      <c r="U47" s="1" t="s">
        <v>2932</v>
      </c>
      <c r="V47" s="3">
        <f t="shared" si="9"/>
        <v>40000</v>
      </c>
      <c r="W47" s="3">
        <f t="shared" si="10"/>
        <v>16000</v>
      </c>
      <c r="X47" s="3">
        <f t="shared" si="1"/>
        <v>1250</v>
      </c>
      <c r="Y47" s="3">
        <f t="shared" si="2"/>
        <v>1600</v>
      </c>
      <c r="Z47" s="3">
        <f t="shared" si="3"/>
        <v>1800</v>
      </c>
      <c r="AA47" s="3">
        <v>0</v>
      </c>
      <c r="AB47" s="3">
        <f>ROUND(U47 - (V47+W47+X47+Y47) - (U47/Q47 * 2),0)</f>
        <v>34483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f>SUM(V47+W47+X47+Y47+AB47)</f>
        <v>93333</v>
      </c>
      <c r="AK47" s="3">
        <f>SUM(AJ47-AA47)</f>
        <v>93333</v>
      </c>
      <c r="AL47" s="3">
        <f>IF(V47&lt;=15000,V47*12%,1800)</f>
        <v>1800</v>
      </c>
      <c r="AM47" s="3">
        <v>0</v>
      </c>
      <c r="AN47" s="3">
        <f t="shared" si="4"/>
        <v>1800</v>
      </c>
      <c r="AO47" s="12">
        <v>200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3">
        <f t="shared" si="7"/>
        <v>200</v>
      </c>
      <c r="AV47" s="3">
        <f>SUM(AJ47 - AN47 - AU47)</f>
        <v>91333</v>
      </c>
      <c r="AW47" s="11">
        <v>0</v>
      </c>
      <c r="AX47" s="11">
        <v>0</v>
      </c>
      <c r="AY47" s="11">
        <v>0</v>
      </c>
      <c r="AZ47" s="11">
        <v>0</v>
      </c>
      <c r="BA47" s="3">
        <f t="shared" si="6"/>
        <v>91333</v>
      </c>
    </row>
    <row r="48" spans="1:53" x14ac:dyDescent="0.25">
      <c r="A48" s="1" t="s">
        <v>46</v>
      </c>
      <c r="B48" s="9" t="s">
        <v>1162</v>
      </c>
      <c r="C48" s="9" t="s">
        <v>1063</v>
      </c>
      <c r="D48" s="9" t="s">
        <v>1163</v>
      </c>
      <c r="E48" s="9" t="s">
        <v>1008</v>
      </c>
      <c r="F48" s="10">
        <v>45316</v>
      </c>
      <c r="G48" s="9" t="s">
        <v>1019</v>
      </c>
      <c r="I48" s="9" t="s">
        <v>1020</v>
      </c>
      <c r="J48" s="9" t="s">
        <v>1015</v>
      </c>
      <c r="K48" s="8" t="s">
        <v>1006</v>
      </c>
      <c r="L48" s="8" t="s">
        <v>1007</v>
      </c>
      <c r="M48" s="8" t="s">
        <v>2933</v>
      </c>
      <c r="N48" s="8" t="s">
        <v>2937</v>
      </c>
      <c r="O48" s="1" t="s">
        <v>2934</v>
      </c>
      <c r="P48">
        <v>30</v>
      </c>
      <c r="Q48">
        <v>30</v>
      </c>
      <c r="R48">
        <v>0</v>
      </c>
      <c r="S48">
        <f t="shared" si="8"/>
        <v>30</v>
      </c>
      <c r="T48" s="1" t="s">
        <v>2935</v>
      </c>
      <c r="U48" s="1" t="s">
        <v>2932</v>
      </c>
      <c r="V48" s="3">
        <f t="shared" si="9"/>
        <v>40000</v>
      </c>
      <c r="W48" s="3">
        <f t="shared" si="10"/>
        <v>16000</v>
      </c>
      <c r="X48" s="3">
        <f t="shared" si="1"/>
        <v>1250</v>
      </c>
      <c r="Y48" s="3">
        <f t="shared" si="2"/>
        <v>1600</v>
      </c>
      <c r="Z48" s="3">
        <f t="shared" si="3"/>
        <v>1800</v>
      </c>
      <c r="AA48" s="3">
        <v>0</v>
      </c>
      <c r="AB48" s="3">
        <f>ROUND(U48 - (V48+W48+X48+Y48) - (U48/Q48 * 2),0)</f>
        <v>34483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f>SUM(V48+W48+X48+Y48+AB48)</f>
        <v>93333</v>
      </c>
      <c r="AK48" s="3">
        <f>SUM(AJ48-AA48)</f>
        <v>93333</v>
      </c>
      <c r="AL48" s="3">
        <f>IF(V48&lt;=15000,V48*12%,1800)</f>
        <v>1800</v>
      </c>
      <c r="AM48" s="3">
        <v>0</v>
      </c>
      <c r="AN48" s="3">
        <f t="shared" si="4"/>
        <v>1800</v>
      </c>
      <c r="AO48" s="12">
        <v>200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3">
        <f t="shared" si="7"/>
        <v>200</v>
      </c>
      <c r="AV48" s="3">
        <f>SUM(AJ48 - AN48 - AU48)</f>
        <v>91333</v>
      </c>
      <c r="AW48" s="11">
        <v>0</v>
      </c>
      <c r="AX48" s="11">
        <v>0</v>
      </c>
      <c r="AY48" s="11">
        <v>0</v>
      </c>
      <c r="AZ48" s="11">
        <v>0</v>
      </c>
      <c r="BA48" s="3">
        <f t="shared" si="6"/>
        <v>91333</v>
      </c>
    </row>
    <row r="49" spans="1:53" x14ac:dyDescent="0.25">
      <c r="A49" s="1" t="s">
        <v>47</v>
      </c>
      <c r="B49" s="9" t="s">
        <v>1160</v>
      </c>
      <c r="C49" s="9" t="s">
        <v>1063</v>
      </c>
      <c r="D49" s="9" t="s">
        <v>1161</v>
      </c>
      <c r="E49" s="9" t="s">
        <v>1008</v>
      </c>
      <c r="F49" s="10">
        <v>45323</v>
      </c>
      <c r="G49" s="9" t="s">
        <v>1019</v>
      </c>
      <c r="I49" s="9" t="s">
        <v>1020</v>
      </c>
      <c r="J49" s="9" t="s">
        <v>1015</v>
      </c>
      <c r="K49" s="8" t="s">
        <v>1006</v>
      </c>
      <c r="L49" s="8" t="s">
        <v>1007</v>
      </c>
      <c r="M49" s="8" t="s">
        <v>2933</v>
      </c>
      <c r="N49" s="8" t="s">
        <v>2937</v>
      </c>
      <c r="O49" s="1" t="s">
        <v>2934</v>
      </c>
      <c r="P49">
        <v>30</v>
      </c>
      <c r="Q49">
        <v>30</v>
      </c>
      <c r="R49">
        <v>0</v>
      </c>
      <c r="S49">
        <f t="shared" si="8"/>
        <v>30</v>
      </c>
      <c r="T49" s="1" t="s">
        <v>2935</v>
      </c>
      <c r="U49" s="1" t="s">
        <v>2932</v>
      </c>
      <c r="V49" s="3">
        <f t="shared" si="9"/>
        <v>40000</v>
      </c>
      <c r="W49" s="3">
        <f t="shared" si="10"/>
        <v>16000</v>
      </c>
      <c r="X49" s="3">
        <f t="shared" si="1"/>
        <v>1250</v>
      </c>
      <c r="Y49" s="3">
        <f t="shared" si="2"/>
        <v>1600</v>
      </c>
      <c r="Z49" s="3">
        <f t="shared" si="3"/>
        <v>1800</v>
      </c>
      <c r="AA49" s="3">
        <v>0</v>
      </c>
      <c r="AB49" s="3">
        <f>ROUND(U49 - (V49+W49+X49+Y49) - (U49/Q49 * 2),0)</f>
        <v>34483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f>SUM(V49+W49+X49+Y49+AB49)</f>
        <v>93333</v>
      </c>
      <c r="AK49" s="3">
        <f>SUM(AJ49-AA49)</f>
        <v>93333</v>
      </c>
      <c r="AL49" s="3">
        <f>IF(V49&lt;=15000,V49*12%,1800)</f>
        <v>1800</v>
      </c>
      <c r="AM49" s="3">
        <v>0</v>
      </c>
      <c r="AN49" s="3">
        <f t="shared" si="4"/>
        <v>1800</v>
      </c>
      <c r="AO49" s="12">
        <v>200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3">
        <f t="shared" si="7"/>
        <v>200</v>
      </c>
      <c r="AV49" s="3">
        <f>SUM(AJ49 - AN49 - AU49)</f>
        <v>91333</v>
      </c>
      <c r="AW49" s="11">
        <v>0</v>
      </c>
      <c r="AX49" s="11">
        <v>0</v>
      </c>
      <c r="AY49" s="11">
        <v>0</v>
      </c>
      <c r="AZ49" s="11">
        <v>0</v>
      </c>
      <c r="BA49" s="3">
        <f t="shared" si="6"/>
        <v>91333</v>
      </c>
    </row>
    <row r="50" spans="1:53" x14ac:dyDescent="0.25">
      <c r="A50" s="1" t="s">
        <v>48</v>
      </c>
      <c r="B50" s="9" t="s">
        <v>1158</v>
      </c>
      <c r="C50" s="9" t="s">
        <v>1063</v>
      </c>
      <c r="D50" s="9" t="s">
        <v>1159</v>
      </c>
      <c r="E50" s="9" t="s">
        <v>1012</v>
      </c>
      <c r="F50" s="10">
        <v>45323</v>
      </c>
      <c r="G50" s="9" t="s">
        <v>1019</v>
      </c>
      <c r="I50" s="9" t="s">
        <v>1014</v>
      </c>
      <c r="J50" s="9" t="s">
        <v>1015</v>
      </c>
      <c r="K50" s="8" t="s">
        <v>1006</v>
      </c>
      <c r="L50" s="8" t="s">
        <v>1007</v>
      </c>
      <c r="M50" s="8" t="s">
        <v>2933</v>
      </c>
      <c r="N50" s="8" t="s">
        <v>2937</v>
      </c>
      <c r="O50" s="1" t="s">
        <v>2934</v>
      </c>
      <c r="P50">
        <v>30</v>
      </c>
      <c r="Q50">
        <v>30</v>
      </c>
      <c r="R50">
        <v>0</v>
      </c>
      <c r="S50">
        <f t="shared" si="8"/>
        <v>30</v>
      </c>
      <c r="T50" s="1" t="s">
        <v>2935</v>
      </c>
      <c r="U50" s="1" t="s">
        <v>2932</v>
      </c>
      <c r="V50" s="3">
        <f t="shared" si="9"/>
        <v>40000</v>
      </c>
      <c r="W50" s="3">
        <f t="shared" si="10"/>
        <v>16000</v>
      </c>
      <c r="X50" s="3">
        <f t="shared" si="1"/>
        <v>1250</v>
      </c>
      <c r="Y50" s="3">
        <f t="shared" si="2"/>
        <v>1600</v>
      </c>
      <c r="Z50" s="3">
        <f t="shared" si="3"/>
        <v>1800</v>
      </c>
      <c r="AA50" s="3">
        <v>0</v>
      </c>
      <c r="AB50" s="3">
        <f>ROUND(U50 - (V50+W50+X50+Y50) - (U50/Q50 * 2),0)</f>
        <v>34483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f>SUM(V50+W50+X50+Y50+AB50)</f>
        <v>93333</v>
      </c>
      <c r="AK50" s="3">
        <f>SUM(AJ50-AA50)</f>
        <v>93333</v>
      </c>
      <c r="AL50" s="3">
        <f>IF(V50&lt;=15000,V50*12%,1800)</f>
        <v>1800</v>
      </c>
      <c r="AM50" s="3">
        <v>0</v>
      </c>
      <c r="AN50" s="3">
        <f t="shared" si="4"/>
        <v>1800</v>
      </c>
      <c r="AO50" s="12">
        <v>200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3">
        <f t="shared" si="7"/>
        <v>200</v>
      </c>
      <c r="AV50" s="3">
        <f>SUM(AJ50 - AN50 - AU50)</f>
        <v>91333</v>
      </c>
      <c r="AW50" s="11">
        <v>0</v>
      </c>
      <c r="AX50" s="11">
        <v>0</v>
      </c>
      <c r="AY50" s="11">
        <v>0</v>
      </c>
      <c r="AZ50" s="11">
        <v>0</v>
      </c>
      <c r="BA50" s="3">
        <f t="shared" si="6"/>
        <v>91333</v>
      </c>
    </row>
    <row r="51" spans="1:53" x14ac:dyDescent="0.25">
      <c r="A51" s="1" t="s">
        <v>49</v>
      </c>
      <c r="B51" s="9" t="s">
        <v>1156</v>
      </c>
      <c r="C51" s="9" t="s">
        <v>1063</v>
      </c>
      <c r="D51" s="9" t="s">
        <v>1157</v>
      </c>
      <c r="E51" s="9" t="s">
        <v>1012</v>
      </c>
      <c r="F51" s="10">
        <v>45327</v>
      </c>
      <c r="G51" s="9" t="s">
        <v>1019</v>
      </c>
      <c r="I51" s="9" t="s">
        <v>1014</v>
      </c>
      <c r="J51" s="9" t="s">
        <v>1015</v>
      </c>
      <c r="K51" s="8" t="s">
        <v>1006</v>
      </c>
      <c r="L51" s="8" t="s">
        <v>1007</v>
      </c>
      <c r="M51" s="8" t="s">
        <v>2933</v>
      </c>
      <c r="N51" s="8" t="s">
        <v>2937</v>
      </c>
      <c r="O51" s="1" t="s">
        <v>2934</v>
      </c>
      <c r="P51">
        <v>30</v>
      </c>
      <c r="Q51">
        <v>30</v>
      </c>
      <c r="R51">
        <v>0</v>
      </c>
      <c r="S51">
        <f t="shared" si="8"/>
        <v>30</v>
      </c>
      <c r="T51" s="1" t="s">
        <v>2935</v>
      </c>
      <c r="U51" s="1" t="s">
        <v>2932</v>
      </c>
      <c r="V51" s="3">
        <f t="shared" si="9"/>
        <v>40000</v>
      </c>
      <c r="W51" s="3">
        <f t="shared" si="10"/>
        <v>16000</v>
      </c>
      <c r="X51" s="3">
        <f t="shared" si="1"/>
        <v>1250</v>
      </c>
      <c r="Y51" s="3">
        <f t="shared" si="2"/>
        <v>1600</v>
      </c>
      <c r="Z51" s="3">
        <f t="shared" si="3"/>
        <v>1800</v>
      </c>
      <c r="AA51" s="3">
        <v>0</v>
      </c>
      <c r="AB51" s="3">
        <f>ROUND(U51 - (V51+W51+X51+Y51) - (U51/Q51 * 2),0)</f>
        <v>34483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f>SUM(V51+W51+X51+Y51+AB51)</f>
        <v>93333</v>
      </c>
      <c r="AK51" s="3">
        <f>SUM(AJ51-AA51)</f>
        <v>93333</v>
      </c>
      <c r="AL51" s="3">
        <f>IF(V51&lt;=15000,V51*12%,1800)</f>
        <v>1800</v>
      </c>
      <c r="AM51" s="3">
        <v>0</v>
      </c>
      <c r="AN51" s="3">
        <f t="shared" si="4"/>
        <v>1800</v>
      </c>
      <c r="AO51" s="12">
        <v>200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3">
        <f t="shared" si="7"/>
        <v>200</v>
      </c>
      <c r="AV51" s="3">
        <f>SUM(AJ51 - AN51 - AU51)</f>
        <v>91333</v>
      </c>
      <c r="AW51" s="11">
        <v>0</v>
      </c>
      <c r="AX51" s="11">
        <v>0</v>
      </c>
      <c r="AY51" s="11">
        <v>0</v>
      </c>
      <c r="AZ51" s="11">
        <v>0</v>
      </c>
      <c r="BA51" s="3">
        <f t="shared" si="6"/>
        <v>91333</v>
      </c>
    </row>
    <row r="52" spans="1:53" x14ac:dyDescent="0.25">
      <c r="A52" s="1" t="s">
        <v>50</v>
      </c>
      <c r="B52" s="9" t="s">
        <v>1154</v>
      </c>
      <c r="C52" s="9" t="s">
        <v>1063</v>
      </c>
      <c r="D52" s="9" t="s">
        <v>1155</v>
      </c>
      <c r="E52" s="9" t="s">
        <v>1008</v>
      </c>
      <c r="F52" s="10">
        <v>45327</v>
      </c>
      <c r="G52" s="9" t="s">
        <v>1019</v>
      </c>
      <c r="I52" s="9" t="s">
        <v>1014</v>
      </c>
      <c r="J52" s="9" t="s">
        <v>1015</v>
      </c>
      <c r="K52" s="8" t="s">
        <v>1006</v>
      </c>
      <c r="L52" s="8" t="s">
        <v>1007</v>
      </c>
      <c r="M52" s="8" t="s">
        <v>2933</v>
      </c>
      <c r="N52" s="8" t="s">
        <v>2937</v>
      </c>
      <c r="O52" s="1" t="s">
        <v>2934</v>
      </c>
      <c r="P52">
        <v>30</v>
      </c>
      <c r="Q52">
        <v>30</v>
      </c>
      <c r="R52">
        <v>0</v>
      </c>
      <c r="S52">
        <f t="shared" si="8"/>
        <v>30</v>
      </c>
      <c r="T52" s="1" t="s">
        <v>2935</v>
      </c>
      <c r="U52" s="1" t="s">
        <v>2932</v>
      </c>
      <c r="V52" s="3">
        <f t="shared" si="9"/>
        <v>40000</v>
      </c>
      <c r="W52" s="3">
        <f t="shared" si="10"/>
        <v>16000</v>
      </c>
      <c r="X52" s="3">
        <f t="shared" si="1"/>
        <v>1250</v>
      </c>
      <c r="Y52" s="3">
        <f t="shared" si="2"/>
        <v>1600</v>
      </c>
      <c r="Z52" s="3">
        <f t="shared" si="3"/>
        <v>1800</v>
      </c>
      <c r="AA52" s="3">
        <v>0</v>
      </c>
      <c r="AB52" s="3">
        <f>ROUND(U52 - (V52+W52+X52+Y52) - (U52/Q52 * 2),0)</f>
        <v>34483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f>SUM(V52+W52+X52+Y52+AB52)</f>
        <v>93333</v>
      </c>
      <c r="AK52" s="3">
        <f>SUM(AJ52-AA52)</f>
        <v>93333</v>
      </c>
      <c r="AL52" s="3">
        <f>IF(V52&lt;=15000,V52*12%,1800)</f>
        <v>1800</v>
      </c>
      <c r="AM52" s="3">
        <v>0</v>
      </c>
      <c r="AN52" s="3">
        <f t="shared" si="4"/>
        <v>1800</v>
      </c>
      <c r="AO52" s="12">
        <v>200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3">
        <f t="shared" si="7"/>
        <v>200</v>
      </c>
      <c r="AV52" s="3">
        <f>SUM(AJ52 - AN52 - AU52)</f>
        <v>91333</v>
      </c>
      <c r="AW52" s="11">
        <v>0</v>
      </c>
      <c r="AX52" s="11">
        <v>0</v>
      </c>
      <c r="AY52" s="11">
        <v>0</v>
      </c>
      <c r="AZ52" s="11">
        <v>0</v>
      </c>
      <c r="BA52" s="3">
        <f t="shared" si="6"/>
        <v>91333</v>
      </c>
    </row>
    <row r="53" spans="1:53" x14ac:dyDescent="0.25">
      <c r="A53" s="1" t="s">
        <v>51</v>
      </c>
      <c r="B53" s="9" t="s">
        <v>1152</v>
      </c>
      <c r="C53" s="9" t="s">
        <v>1026</v>
      </c>
      <c r="D53" s="9" t="s">
        <v>1153</v>
      </c>
      <c r="E53" s="9" t="s">
        <v>1012</v>
      </c>
      <c r="F53" s="10">
        <v>45327</v>
      </c>
      <c r="G53" s="9" t="s">
        <v>1019</v>
      </c>
      <c r="I53" s="9" t="s">
        <v>1014</v>
      </c>
      <c r="J53" s="9" t="s">
        <v>1015</v>
      </c>
      <c r="K53" s="8" t="s">
        <v>1006</v>
      </c>
      <c r="L53" s="8" t="s">
        <v>1007</v>
      </c>
      <c r="M53" s="8" t="s">
        <v>2933</v>
      </c>
      <c r="N53" s="8" t="s">
        <v>2937</v>
      </c>
      <c r="O53" s="1" t="s">
        <v>2934</v>
      </c>
      <c r="P53">
        <v>30</v>
      </c>
      <c r="Q53">
        <v>30</v>
      </c>
      <c r="R53">
        <v>0</v>
      </c>
      <c r="S53">
        <f t="shared" si="8"/>
        <v>30</v>
      </c>
      <c r="T53" s="1" t="s">
        <v>2935</v>
      </c>
      <c r="U53" s="1" t="s">
        <v>2932</v>
      </c>
      <c r="V53" s="3">
        <f t="shared" si="9"/>
        <v>40000</v>
      </c>
      <c r="W53" s="3">
        <f t="shared" si="10"/>
        <v>16000</v>
      </c>
      <c r="X53" s="3">
        <f t="shared" si="1"/>
        <v>1250</v>
      </c>
      <c r="Y53" s="3">
        <f t="shared" si="2"/>
        <v>1600</v>
      </c>
      <c r="Z53" s="3">
        <f t="shared" si="3"/>
        <v>1800</v>
      </c>
      <c r="AA53" s="3">
        <v>0</v>
      </c>
      <c r="AB53" s="3">
        <f>ROUND(U53 - (V53+W53+X53+Y53) - (U53/Q53 * 2),0)</f>
        <v>34483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f>SUM(V53+W53+X53+Y53+AB53)</f>
        <v>93333</v>
      </c>
      <c r="AK53" s="3">
        <f>SUM(AJ53-AA53)</f>
        <v>93333</v>
      </c>
      <c r="AL53" s="3">
        <f>IF(V53&lt;=15000,V53*12%,1800)</f>
        <v>1800</v>
      </c>
      <c r="AM53" s="3">
        <v>0</v>
      </c>
      <c r="AN53" s="3">
        <f t="shared" si="4"/>
        <v>1800</v>
      </c>
      <c r="AO53" s="12">
        <v>200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3">
        <f t="shared" si="7"/>
        <v>200</v>
      </c>
      <c r="AV53" s="3">
        <f>SUM(AJ53 - AN53 - AU53)</f>
        <v>91333</v>
      </c>
      <c r="AW53" s="11">
        <v>0</v>
      </c>
      <c r="AX53" s="11">
        <v>0</v>
      </c>
      <c r="AY53" s="11">
        <v>0</v>
      </c>
      <c r="AZ53" s="11">
        <v>0</v>
      </c>
      <c r="BA53" s="3">
        <f t="shared" si="6"/>
        <v>91333</v>
      </c>
    </row>
    <row r="54" spans="1:53" x14ac:dyDescent="0.25">
      <c r="A54" s="1" t="s">
        <v>52</v>
      </c>
      <c r="B54" s="9" t="s">
        <v>1150</v>
      </c>
      <c r="C54" s="9" t="s">
        <v>1063</v>
      </c>
      <c r="D54" s="9" t="s">
        <v>1151</v>
      </c>
      <c r="E54" s="9" t="s">
        <v>1012</v>
      </c>
      <c r="F54" s="10">
        <v>45327</v>
      </c>
      <c r="G54" s="9" t="s">
        <v>1019</v>
      </c>
      <c r="I54" s="9" t="s">
        <v>1020</v>
      </c>
      <c r="J54" s="9" t="s">
        <v>1015</v>
      </c>
      <c r="K54" s="8" t="s">
        <v>1006</v>
      </c>
      <c r="L54" s="8" t="s">
        <v>1007</v>
      </c>
      <c r="M54" s="8" t="s">
        <v>2933</v>
      </c>
      <c r="N54" s="8" t="s">
        <v>2937</v>
      </c>
      <c r="O54" s="1" t="s">
        <v>2934</v>
      </c>
      <c r="P54">
        <v>30</v>
      </c>
      <c r="Q54">
        <v>30</v>
      </c>
      <c r="R54">
        <v>0</v>
      </c>
      <c r="S54">
        <f t="shared" si="8"/>
        <v>30</v>
      </c>
      <c r="T54" s="1" t="s">
        <v>2935</v>
      </c>
      <c r="U54" s="1" t="s">
        <v>2932</v>
      </c>
      <c r="V54" s="3">
        <f t="shared" si="9"/>
        <v>40000</v>
      </c>
      <c r="W54" s="3">
        <f t="shared" si="10"/>
        <v>16000</v>
      </c>
      <c r="X54" s="3">
        <f t="shared" si="1"/>
        <v>1250</v>
      </c>
      <c r="Y54" s="3">
        <f t="shared" si="2"/>
        <v>1600</v>
      </c>
      <c r="Z54" s="3">
        <f t="shared" si="3"/>
        <v>1800</v>
      </c>
      <c r="AA54" s="3">
        <v>0</v>
      </c>
      <c r="AB54" s="3">
        <f>ROUND(U54 - (V54+W54+X54+Y54) - (U54/Q54 * 2),0)</f>
        <v>34483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f>SUM(V54+W54+X54+Y54+AB54)</f>
        <v>93333</v>
      </c>
      <c r="AK54" s="3">
        <f>SUM(AJ54-AA54)</f>
        <v>93333</v>
      </c>
      <c r="AL54" s="3">
        <f>IF(V54&lt;=15000,V54*12%,1800)</f>
        <v>1800</v>
      </c>
      <c r="AM54" s="3">
        <v>0</v>
      </c>
      <c r="AN54" s="3">
        <f t="shared" si="4"/>
        <v>1800</v>
      </c>
      <c r="AO54" s="12">
        <v>200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3">
        <f t="shared" si="7"/>
        <v>200</v>
      </c>
      <c r="AV54" s="3">
        <f>SUM(AJ54 - AN54 - AU54)</f>
        <v>91333</v>
      </c>
      <c r="AW54" s="11">
        <v>0</v>
      </c>
      <c r="AX54" s="11">
        <v>0</v>
      </c>
      <c r="AY54" s="11">
        <v>0</v>
      </c>
      <c r="AZ54" s="11">
        <v>0</v>
      </c>
      <c r="BA54" s="3">
        <f t="shared" si="6"/>
        <v>91333</v>
      </c>
    </row>
    <row r="55" spans="1:53" x14ac:dyDescent="0.25">
      <c r="A55" s="1" t="s">
        <v>53</v>
      </c>
      <c r="B55" s="9" t="s">
        <v>1148</v>
      </c>
      <c r="C55" s="9" t="s">
        <v>1063</v>
      </c>
      <c r="D55" s="9" t="s">
        <v>1149</v>
      </c>
      <c r="E55" s="9" t="s">
        <v>1012</v>
      </c>
      <c r="F55" s="10">
        <v>45327</v>
      </c>
      <c r="G55" s="9" t="s">
        <v>1013</v>
      </c>
      <c r="I55" s="9" t="s">
        <v>1014</v>
      </c>
      <c r="J55" s="9" t="s">
        <v>1015</v>
      </c>
      <c r="K55" s="8" t="s">
        <v>1006</v>
      </c>
      <c r="L55" s="8" t="s">
        <v>1007</v>
      </c>
      <c r="M55" s="8" t="s">
        <v>2933</v>
      </c>
      <c r="N55" s="8" t="s">
        <v>2937</v>
      </c>
      <c r="O55" s="1" t="s">
        <v>2934</v>
      </c>
      <c r="P55">
        <v>30</v>
      </c>
      <c r="Q55">
        <v>30</v>
      </c>
      <c r="R55">
        <v>0</v>
      </c>
      <c r="S55">
        <f t="shared" si="8"/>
        <v>30</v>
      </c>
      <c r="T55" s="1" t="s">
        <v>2935</v>
      </c>
      <c r="U55" s="1" t="s">
        <v>2932</v>
      </c>
      <c r="V55" s="3">
        <f t="shared" si="9"/>
        <v>40000</v>
      </c>
      <c r="W55" s="3">
        <f t="shared" si="10"/>
        <v>16000</v>
      </c>
      <c r="X55" s="3">
        <f t="shared" si="1"/>
        <v>1250</v>
      </c>
      <c r="Y55" s="3">
        <f t="shared" si="2"/>
        <v>1600</v>
      </c>
      <c r="Z55" s="3">
        <f t="shared" si="3"/>
        <v>1800</v>
      </c>
      <c r="AA55" s="3">
        <v>0</v>
      </c>
      <c r="AB55" s="3">
        <f>ROUND(U55 - (V55+W55+X55+Y55) - (U55/Q55 * 2),0)</f>
        <v>34483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f>SUM(V55+W55+X55+Y55+AB55)</f>
        <v>93333</v>
      </c>
      <c r="AK55" s="3">
        <f>SUM(AJ55-AA55)</f>
        <v>93333</v>
      </c>
      <c r="AL55" s="3">
        <f>IF(V55&lt;=15000,V55*12%,1800)</f>
        <v>1800</v>
      </c>
      <c r="AM55" s="3">
        <v>0</v>
      </c>
      <c r="AN55" s="3">
        <f t="shared" si="4"/>
        <v>1800</v>
      </c>
      <c r="AO55" s="12">
        <v>200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3">
        <f t="shared" si="7"/>
        <v>200</v>
      </c>
      <c r="AV55" s="3">
        <f>SUM(AJ55 - AN55 - AU55)</f>
        <v>91333</v>
      </c>
      <c r="AW55" s="11">
        <v>0</v>
      </c>
      <c r="AX55" s="11">
        <v>0</v>
      </c>
      <c r="AY55" s="11">
        <v>0</v>
      </c>
      <c r="AZ55" s="11">
        <v>0</v>
      </c>
      <c r="BA55" s="3">
        <f t="shared" si="6"/>
        <v>91333</v>
      </c>
    </row>
    <row r="56" spans="1:53" x14ac:dyDescent="0.25">
      <c r="A56" s="1" t="s">
        <v>54</v>
      </c>
      <c r="B56" s="9" t="s">
        <v>1146</v>
      </c>
      <c r="C56" s="9" t="s">
        <v>1063</v>
      </c>
      <c r="D56" s="9" t="s">
        <v>1147</v>
      </c>
      <c r="E56" s="9" t="s">
        <v>1012</v>
      </c>
      <c r="F56" s="10">
        <v>45327</v>
      </c>
      <c r="G56" s="9" t="s">
        <v>1019</v>
      </c>
      <c r="I56" s="9" t="s">
        <v>1014</v>
      </c>
      <c r="J56" s="9" t="s">
        <v>1015</v>
      </c>
      <c r="K56" s="8" t="s">
        <v>1006</v>
      </c>
      <c r="L56" s="8" t="s">
        <v>1007</v>
      </c>
      <c r="M56" s="8" t="s">
        <v>2933</v>
      </c>
      <c r="N56" s="8" t="s">
        <v>2937</v>
      </c>
      <c r="O56" s="1" t="s">
        <v>2934</v>
      </c>
      <c r="P56">
        <v>30</v>
      </c>
      <c r="Q56">
        <v>30</v>
      </c>
      <c r="R56">
        <v>0</v>
      </c>
      <c r="S56">
        <f t="shared" si="8"/>
        <v>30</v>
      </c>
      <c r="T56" s="1" t="s">
        <v>2935</v>
      </c>
      <c r="U56" s="1" t="s">
        <v>2932</v>
      </c>
      <c r="V56" s="3">
        <f t="shared" si="9"/>
        <v>40000</v>
      </c>
      <c r="W56" s="3">
        <f t="shared" si="10"/>
        <v>16000</v>
      </c>
      <c r="X56" s="3">
        <f t="shared" si="1"/>
        <v>1250</v>
      </c>
      <c r="Y56" s="3">
        <f t="shared" si="2"/>
        <v>1600</v>
      </c>
      <c r="Z56" s="3">
        <f t="shared" si="3"/>
        <v>1800</v>
      </c>
      <c r="AA56" s="3">
        <v>0</v>
      </c>
      <c r="AB56" s="3">
        <f>ROUND(U56 - (V56+W56+X56+Y56) - (U56/Q56 * 2),0)</f>
        <v>34483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f>SUM(V56+W56+X56+Y56+AB56)</f>
        <v>93333</v>
      </c>
      <c r="AK56" s="3">
        <f>SUM(AJ56-AA56)</f>
        <v>93333</v>
      </c>
      <c r="AL56" s="3">
        <f>IF(V56&lt;=15000,V56*12%,1800)</f>
        <v>1800</v>
      </c>
      <c r="AM56" s="3">
        <v>0</v>
      </c>
      <c r="AN56" s="3">
        <f t="shared" si="4"/>
        <v>1800</v>
      </c>
      <c r="AO56" s="12">
        <v>200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3">
        <f t="shared" si="7"/>
        <v>200</v>
      </c>
      <c r="AV56" s="3">
        <f>SUM(AJ56 - AN56 - AU56)</f>
        <v>91333</v>
      </c>
      <c r="AW56" s="11">
        <v>0</v>
      </c>
      <c r="AX56" s="11">
        <v>0</v>
      </c>
      <c r="AY56" s="11">
        <v>0</v>
      </c>
      <c r="AZ56" s="11">
        <v>0</v>
      </c>
      <c r="BA56" s="3">
        <f t="shared" si="6"/>
        <v>91333</v>
      </c>
    </row>
    <row r="57" spans="1:53" x14ac:dyDescent="0.25">
      <c r="A57" s="1" t="s">
        <v>55</v>
      </c>
      <c r="B57" s="9" t="s">
        <v>1144</v>
      </c>
      <c r="C57" s="9" t="s">
        <v>1063</v>
      </c>
      <c r="D57" s="9" t="s">
        <v>1145</v>
      </c>
      <c r="E57" s="9" t="s">
        <v>1012</v>
      </c>
      <c r="F57" s="10">
        <v>45329</v>
      </c>
      <c r="G57" s="9" t="s">
        <v>1019</v>
      </c>
      <c r="I57" s="9" t="s">
        <v>1014</v>
      </c>
      <c r="J57" s="9" t="s">
        <v>1015</v>
      </c>
      <c r="K57" s="8" t="s">
        <v>1006</v>
      </c>
      <c r="L57" s="8" t="s">
        <v>1007</v>
      </c>
      <c r="M57" s="8" t="s">
        <v>2933</v>
      </c>
      <c r="N57" s="8" t="s">
        <v>2937</v>
      </c>
      <c r="O57" s="1" t="s">
        <v>2934</v>
      </c>
      <c r="P57">
        <v>30</v>
      </c>
      <c r="Q57">
        <v>30</v>
      </c>
      <c r="R57">
        <v>0</v>
      </c>
      <c r="S57">
        <f t="shared" si="8"/>
        <v>30</v>
      </c>
      <c r="T57" s="1" t="s">
        <v>2935</v>
      </c>
      <c r="U57" s="1" t="s">
        <v>2932</v>
      </c>
      <c r="V57" s="3">
        <f t="shared" si="9"/>
        <v>40000</v>
      </c>
      <c r="W57" s="3">
        <f t="shared" si="10"/>
        <v>16000</v>
      </c>
      <c r="X57" s="3">
        <f t="shared" si="1"/>
        <v>1250</v>
      </c>
      <c r="Y57" s="3">
        <f t="shared" si="2"/>
        <v>1600</v>
      </c>
      <c r="Z57" s="3">
        <f t="shared" si="3"/>
        <v>1800</v>
      </c>
      <c r="AA57" s="3">
        <v>0</v>
      </c>
      <c r="AB57" s="3">
        <f>ROUND(U57 - (V57+W57+X57+Y57) - (U57/Q57 * 2),0)</f>
        <v>34483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f>SUM(V57+W57+X57+Y57+AB57)</f>
        <v>93333</v>
      </c>
      <c r="AK57" s="3">
        <f>SUM(AJ57-AA57)</f>
        <v>93333</v>
      </c>
      <c r="AL57" s="3">
        <f>IF(V57&lt;=15000,V57*12%,1800)</f>
        <v>1800</v>
      </c>
      <c r="AM57" s="3">
        <v>0</v>
      </c>
      <c r="AN57" s="3">
        <f t="shared" si="4"/>
        <v>1800</v>
      </c>
      <c r="AO57" s="12">
        <v>200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3">
        <f t="shared" si="7"/>
        <v>200</v>
      </c>
      <c r="AV57" s="3">
        <f>SUM(AJ57 - AN57 - AU57)</f>
        <v>91333</v>
      </c>
      <c r="AW57" s="11">
        <v>0</v>
      </c>
      <c r="AX57" s="11">
        <v>0</v>
      </c>
      <c r="AY57" s="11">
        <v>0</v>
      </c>
      <c r="AZ57" s="11">
        <v>0</v>
      </c>
      <c r="BA57" s="3">
        <f t="shared" si="6"/>
        <v>91333</v>
      </c>
    </row>
    <row r="58" spans="1:53" x14ac:dyDescent="0.25">
      <c r="A58" s="1" t="s">
        <v>56</v>
      </c>
      <c r="B58" s="9" t="s">
        <v>1142</v>
      </c>
      <c r="C58" s="9" t="s">
        <v>1063</v>
      </c>
      <c r="D58" s="9" t="s">
        <v>1143</v>
      </c>
      <c r="E58" s="9" t="s">
        <v>1008</v>
      </c>
      <c r="F58" s="10">
        <v>45330</v>
      </c>
      <c r="G58" s="9" t="s">
        <v>1019</v>
      </c>
      <c r="I58" s="9" t="s">
        <v>1020</v>
      </c>
      <c r="J58" s="9" t="s">
        <v>1015</v>
      </c>
      <c r="K58" s="8" t="s">
        <v>1006</v>
      </c>
      <c r="L58" s="8" t="s">
        <v>1007</v>
      </c>
      <c r="M58" s="8" t="s">
        <v>2933</v>
      </c>
      <c r="N58" s="8" t="s">
        <v>2937</v>
      </c>
      <c r="O58" s="1" t="s">
        <v>2934</v>
      </c>
      <c r="P58">
        <v>30</v>
      </c>
      <c r="Q58">
        <v>30</v>
      </c>
      <c r="R58">
        <v>0</v>
      </c>
      <c r="S58">
        <f t="shared" si="8"/>
        <v>30</v>
      </c>
      <c r="T58" s="1" t="s">
        <v>2935</v>
      </c>
      <c r="U58" s="1" t="s">
        <v>2932</v>
      </c>
      <c r="V58" s="3">
        <f t="shared" si="9"/>
        <v>40000</v>
      </c>
      <c r="W58" s="3">
        <f t="shared" si="10"/>
        <v>16000</v>
      </c>
      <c r="X58" s="3">
        <f t="shared" si="1"/>
        <v>1250</v>
      </c>
      <c r="Y58" s="3">
        <f t="shared" si="2"/>
        <v>1600</v>
      </c>
      <c r="Z58" s="3">
        <f t="shared" si="3"/>
        <v>1800</v>
      </c>
      <c r="AA58" s="3">
        <v>0</v>
      </c>
      <c r="AB58" s="3">
        <f>ROUND(U58 - (V58+W58+X58+Y58) - (U58/Q58 * 2),0)</f>
        <v>34483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f>SUM(V58+W58+X58+Y58+AB58)</f>
        <v>93333</v>
      </c>
      <c r="AK58" s="3">
        <f>SUM(AJ58-AA58)</f>
        <v>93333</v>
      </c>
      <c r="AL58" s="3">
        <f>IF(V58&lt;=15000,V58*12%,1800)</f>
        <v>1800</v>
      </c>
      <c r="AM58" s="3">
        <v>0</v>
      </c>
      <c r="AN58" s="3">
        <f t="shared" si="4"/>
        <v>1800</v>
      </c>
      <c r="AO58" s="12">
        <v>200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3">
        <f t="shared" si="7"/>
        <v>200</v>
      </c>
      <c r="AV58" s="3">
        <f>SUM(AJ58 - AN58 - AU58)</f>
        <v>91333</v>
      </c>
      <c r="AW58" s="11">
        <v>0</v>
      </c>
      <c r="AX58" s="11">
        <v>0</v>
      </c>
      <c r="AY58" s="11">
        <v>0</v>
      </c>
      <c r="AZ58" s="11">
        <v>0</v>
      </c>
      <c r="BA58" s="3">
        <f t="shared" si="6"/>
        <v>91333</v>
      </c>
    </row>
    <row r="59" spans="1:53" x14ac:dyDescent="0.25">
      <c r="A59" s="1" t="s">
        <v>57</v>
      </c>
      <c r="B59" s="9" t="s">
        <v>1140</v>
      </c>
      <c r="C59" s="9" t="s">
        <v>1063</v>
      </c>
      <c r="D59" s="9" t="s">
        <v>1141</v>
      </c>
      <c r="E59" s="9" t="s">
        <v>1012</v>
      </c>
      <c r="F59" s="10">
        <v>45330</v>
      </c>
      <c r="G59" s="9" t="s">
        <v>1013</v>
      </c>
      <c r="I59" s="9" t="s">
        <v>1014</v>
      </c>
      <c r="J59" s="9" t="s">
        <v>1015</v>
      </c>
      <c r="K59" s="8" t="s">
        <v>1006</v>
      </c>
      <c r="L59" s="8" t="s">
        <v>1007</v>
      </c>
      <c r="M59" s="8" t="s">
        <v>2933</v>
      </c>
      <c r="N59" s="8" t="s">
        <v>2937</v>
      </c>
      <c r="O59" s="1" t="s">
        <v>2934</v>
      </c>
      <c r="P59">
        <v>30</v>
      </c>
      <c r="Q59">
        <v>30</v>
      </c>
      <c r="R59">
        <v>0</v>
      </c>
      <c r="S59">
        <f t="shared" si="8"/>
        <v>30</v>
      </c>
      <c r="T59" s="1" t="s">
        <v>2935</v>
      </c>
      <c r="U59" s="1" t="s">
        <v>2932</v>
      </c>
      <c r="V59" s="3">
        <f t="shared" si="9"/>
        <v>40000</v>
      </c>
      <c r="W59" s="3">
        <f t="shared" si="10"/>
        <v>16000</v>
      </c>
      <c r="X59" s="3">
        <f t="shared" si="1"/>
        <v>1250</v>
      </c>
      <c r="Y59" s="3">
        <f t="shared" si="2"/>
        <v>1600</v>
      </c>
      <c r="Z59" s="3">
        <f t="shared" si="3"/>
        <v>1800</v>
      </c>
      <c r="AA59" s="3">
        <v>0</v>
      </c>
      <c r="AB59" s="3">
        <f>ROUND(U59 - (V59+W59+X59+Y59) - (U59/Q59 * 2),0)</f>
        <v>34483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f>SUM(V59+W59+X59+Y59+AB59)</f>
        <v>93333</v>
      </c>
      <c r="AK59" s="3">
        <f>SUM(AJ59-AA59)</f>
        <v>93333</v>
      </c>
      <c r="AL59" s="3">
        <f>IF(V59&lt;=15000,V59*12%,1800)</f>
        <v>1800</v>
      </c>
      <c r="AM59" s="3">
        <v>0</v>
      </c>
      <c r="AN59" s="3">
        <f t="shared" si="4"/>
        <v>1800</v>
      </c>
      <c r="AO59" s="12">
        <v>200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3">
        <f t="shared" si="7"/>
        <v>200</v>
      </c>
      <c r="AV59" s="3">
        <f>SUM(AJ59 - AN59 - AU59)</f>
        <v>91333</v>
      </c>
      <c r="AW59" s="11">
        <v>0</v>
      </c>
      <c r="AX59" s="11">
        <v>0</v>
      </c>
      <c r="AY59" s="11">
        <v>0</v>
      </c>
      <c r="AZ59" s="11">
        <v>0</v>
      </c>
      <c r="BA59" s="3">
        <f t="shared" si="6"/>
        <v>91333</v>
      </c>
    </row>
    <row r="60" spans="1:53" x14ac:dyDescent="0.25">
      <c r="A60" s="1" t="s">
        <v>58</v>
      </c>
      <c r="B60" s="9" t="s">
        <v>1138</v>
      </c>
      <c r="C60" s="9" t="s">
        <v>1063</v>
      </c>
      <c r="D60" s="9" t="s">
        <v>1139</v>
      </c>
      <c r="E60" s="9" t="s">
        <v>1012</v>
      </c>
      <c r="F60" s="10">
        <v>45334</v>
      </c>
      <c r="G60" s="9" t="s">
        <v>1019</v>
      </c>
      <c r="I60" s="9" t="s">
        <v>1014</v>
      </c>
      <c r="J60" s="9" t="s">
        <v>1015</v>
      </c>
      <c r="K60" s="8" t="s">
        <v>1006</v>
      </c>
      <c r="L60" s="8" t="s">
        <v>1007</v>
      </c>
      <c r="M60" s="8" t="s">
        <v>2933</v>
      </c>
      <c r="N60" s="8" t="s">
        <v>2937</v>
      </c>
      <c r="O60" s="1" t="s">
        <v>2934</v>
      </c>
      <c r="P60">
        <v>30</v>
      </c>
      <c r="Q60">
        <v>30</v>
      </c>
      <c r="R60">
        <v>0</v>
      </c>
      <c r="S60">
        <f t="shared" si="8"/>
        <v>30</v>
      </c>
      <c r="T60" s="1" t="s">
        <v>2935</v>
      </c>
      <c r="U60" s="1" t="s">
        <v>2932</v>
      </c>
      <c r="V60" s="3">
        <f t="shared" si="9"/>
        <v>40000</v>
      </c>
      <c r="W60" s="3">
        <f t="shared" si="10"/>
        <v>16000</v>
      </c>
      <c r="X60" s="3">
        <f t="shared" si="1"/>
        <v>1250</v>
      </c>
      <c r="Y60" s="3">
        <f t="shared" si="2"/>
        <v>1600</v>
      </c>
      <c r="Z60" s="3">
        <f t="shared" si="3"/>
        <v>1800</v>
      </c>
      <c r="AA60" s="3">
        <v>0</v>
      </c>
      <c r="AB60" s="3">
        <f>ROUND(U60 - (V60+W60+X60+Y60) - (U60/Q60 * 2),0)</f>
        <v>34483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f>SUM(V60+W60+X60+Y60+AB60)</f>
        <v>93333</v>
      </c>
      <c r="AK60" s="3">
        <f>SUM(AJ60-AA60)</f>
        <v>93333</v>
      </c>
      <c r="AL60" s="3">
        <f>IF(V60&lt;=15000,V60*12%,1800)</f>
        <v>1800</v>
      </c>
      <c r="AM60" s="3">
        <v>0</v>
      </c>
      <c r="AN60" s="3">
        <f t="shared" si="4"/>
        <v>1800</v>
      </c>
      <c r="AO60" s="12">
        <v>200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3">
        <f t="shared" si="7"/>
        <v>200</v>
      </c>
      <c r="AV60" s="3">
        <f>SUM(AJ60 - AN60 - AU60)</f>
        <v>91333</v>
      </c>
      <c r="AW60" s="11">
        <v>0</v>
      </c>
      <c r="AX60" s="11">
        <v>0</v>
      </c>
      <c r="AY60" s="11">
        <v>0</v>
      </c>
      <c r="AZ60" s="11">
        <v>0</v>
      </c>
      <c r="BA60" s="3">
        <f t="shared" si="6"/>
        <v>91333</v>
      </c>
    </row>
    <row r="61" spans="1:53" x14ac:dyDescent="0.25">
      <c r="A61" s="1" t="s">
        <v>59</v>
      </c>
      <c r="B61" s="9" t="s">
        <v>1136</v>
      </c>
      <c r="C61" s="9" t="s">
        <v>1063</v>
      </c>
      <c r="D61" s="9" t="s">
        <v>1137</v>
      </c>
      <c r="E61" s="9" t="s">
        <v>1008</v>
      </c>
      <c r="F61" s="10">
        <v>45334</v>
      </c>
      <c r="G61" s="9" t="s">
        <v>1019</v>
      </c>
      <c r="I61" s="9" t="s">
        <v>1014</v>
      </c>
      <c r="J61" s="9" t="s">
        <v>1015</v>
      </c>
      <c r="K61" s="8" t="s">
        <v>1006</v>
      </c>
      <c r="L61" s="8" t="s">
        <v>1007</v>
      </c>
      <c r="M61" s="8" t="s">
        <v>2933</v>
      </c>
      <c r="N61" s="8" t="s">
        <v>2937</v>
      </c>
      <c r="O61" s="1" t="s">
        <v>2934</v>
      </c>
      <c r="P61">
        <v>30</v>
      </c>
      <c r="Q61">
        <v>30</v>
      </c>
      <c r="R61">
        <v>0</v>
      </c>
      <c r="S61">
        <f t="shared" si="8"/>
        <v>30</v>
      </c>
      <c r="T61" s="1" t="s">
        <v>2935</v>
      </c>
      <c r="U61" s="1" t="s">
        <v>2932</v>
      </c>
      <c r="V61" s="3">
        <f t="shared" si="9"/>
        <v>40000</v>
      </c>
      <c r="W61" s="3">
        <f t="shared" si="10"/>
        <v>16000</v>
      </c>
      <c r="X61" s="3">
        <f t="shared" si="1"/>
        <v>1250</v>
      </c>
      <c r="Y61" s="3">
        <f t="shared" si="2"/>
        <v>1600</v>
      </c>
      <c r="Z61" s="3">
        <f t="shared" si="3"/>
        <v>1800</v>
      </c>
      <c r="AA61" s="3">
        <v>0</v>
      </c>
      <c r="AB61" s="3">
        <f>ROUND(U61 - (V61+W61+X61+Y61) - (U61/Q61 * 2),0)</f>
        <v>34483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f>SUM(V61+W61+X61+Y61+AB61)</f>
        <v>93333</v>
      </c>
      <c r="AK61" s="3">
        <f>SUM(AJ61-AA61)</f>
        <v>93333</v>
      </c>
      <c r="AL61" s="3">
        <f>IF(V61&lt;=15000,V61*12%,1800)</f>
        <v>1800</v>
      </c>
      <c r="AM61" s="3">
        <v>0</v>
      </c>
      <c r="AN61" s="3">
        <f t="shared" si="4"/>
        <v>1800</v>
      </c>
      <c r="AO61" s="12">
        <v>200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3">
        <f t="shared" si="7"/>
        <v>200</v>
      </c>
      <c r="AV61" s="3">
        <f>SUM(AJ61 - AN61 - AU61)</f>
        <v>91333</v>
      </c>
      <c r="AW61" s="11">
        <v>0</v>
      </c>
      <c r="AX61" s="11">
        <v>0</v>
      </c>
      <c r="AY61" s="11">
        <v>0</v>
      </c>
      <c r="AZ61" s="11">
        <v>0</v>
      </c>
      <c r="BA61" s="3">
        <f t="shared" si="6"/>
        <v>91333</v>
      </c>
    </row>
    <row r="62" spans="1:53" x14ac:dyDescent="0.25">
      <c r="A62" s="1" t="s">
        <v>60</v>
      </c>
      <c r="B62" s="9" t="s">
        <v>1134</v>
      </c>
      <c r="C62" s="9" t="s">
        <v>1063</v>
      </c>
      <c r="D62" s="9" t="s">
        <v>1135</v>
      </c>
      <c r="E62" s="9" t="s">
        <v>1008</v>
      </c>
      <c r="F62" s="10">
        <v>45334</v>
      </c>
      <c r="G62" s="9" t="s">
        <v>1019</v>
      </c>
      <c r="I62" s="9" t="s">
        <v>1014</v>
      </c>
      <c r="J62" s="9" t="s">
        <v>1015</v>
      </c>
      <c r="K62" s="8" t="s">
        <v>1006</v>
      </c>
      <c r="L62" s="8" t="s">
        <v>1007</v>
      </c>
      <c r="M62" s="8" t="s">
        <v>2933</v>
      </c>
      <c r="N62" s="8" t="s">
        <v>2937</v>
      </c>
      <c r="O62" s="1" t="s">
        <v>2934</v>
      </c>
      <c r="P62">
        <v>30</v>
      </c>
      <c r="Q62">
        <v>30</v>
      </c>
      <c r="R62">
        <v>0</v>
      </c>
      <c r="S62">
        <f t="shared" si="8"/>
        <v>30</v>
      </c>
      <c r="T62" s="1" t="s">
        <v>2935</v>
      </c>
      <c r="U62" s="1" t="s">
        <v>2932</v>
      </c>
      <c r="V62" s="3">
        <f t="shared" si="9"/>
        <v>40000</v>
      </c>
      <c r="W62" s="3">
        <f t="shared" si="10"/>
        <v>16000</v>
      </c>
      <c r="X62" s="3">
        <f t="shared" si="1"/>
        <v>1250</v>
      </c>
      <c r="Y62" s="3">
        <f t="shared" si="2"/>
        <v>1600</v>
      </c>
      <c r="Z62" s="3">
        <f t="shared" si="3"/>
        <v>1800</v>
      </c>
      <c r="AA62" s="3">
        <v>0</v>
      </c>
      <c r="AB62" s="3">
        <f>ROUND(U62 - (V62+W62+X62+Y62) - (U62/Q62 * 2),0)</f>
        <v>34483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f>SUM(V62+W62+X62+Y62+AB62)</f>
        <v>93333</v>
      </c>
      <c r="AK62" s="3">
        <f>SUM(AJ62-AA62)</f>
        <v>93333</v>
      </c>
      <c r="AL62" s="3">
        <f>IF(V62&lt;=15000,V62*12%,1800)</f>
        <v>1800</v>
      </c>
      <c r="AM62" s="3">
        <v>0</v>
      </c>
      <c r="AN62" s="3">
        <f t="shared" si="4"/>
        <v>1800</v>
      </c>
      <c r="AO62" s="12">
        <v>200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3">
        <f t="shared" si="7"/>
        <v>200</v>
      </c>
      <c r="AV62" s="3">
        <f>SUM(AJ62 - AN62 - AU62)</f>
        <v>91333</v>
      </c>
      <c r="AW62" s="11">
        <v>0</v>
      </c>
      <c r="AX62" s="11">
        <v>0</v>
      </c>
      <c r="AY62" s="11">
        <v>0</v>
      </c>
      <c r="AZ62" s="11">
        <v>0</v>
      </c>
      <c r="BA62" s="3">
        <f t="shared" si="6"/>
        <v>91333</v>
      </c>
    </row>
    <row r="63" spans="1:53" x14ac:dyDescent="0.25">
      <c r="A63" s="1" t="s">
        <v>61</v>
      </c>
      <c r="B63" s="9" t="s">
        <v>1199</v>
      </c>
      <c r="C63" s="9" t="s">
        <v>1010</v>
      </c>
      <c r="D63" s="9" t="s">
        <v>1200</v>
      </c>
      <c r="E63" s="9" t="s">
        <v>1008</v>
      </c>
      <c r="F63" s="10">
        <v>45334</v>
      </c>
      <c r="G63" s="9" t="s">
        <v>1019</v>
      </c>
      <c r="I63" s="9" t="s">
        <v>1020</v>
      </c>
      <c r="J63" s="9" t="s">
        <v>1015</v>
      </c>
      <c r="K63" s="8" t="s">
        <v>1006</v>
      </c>
      <c r="L63" s="8" t="s">
        <v>1007</v>
      </c>
      <c r="M63" s="8" t="s">
        <v>2933</v>
      </c>
      <c r="N63" s="8" t="s">
        <v>2937</v>
      </c>
      <c r="O63" s="1" t="s">
        <v>2934</v>
      </c>
      <c r="P63">
        <v>30</v>
      </c>
      <c r="Q63">
        <v>30</v>
      </c>
      <c r="R63">
        <v>0</v>
      </c>
      <c r="S63">
        <f t="shared" si="8"/>
        <v>30</v>
      </c>
      <c r="T63" s="1" t="s">
        <v>2935</v>
      </c>
      <c r="U63" s="1" t="s">
        <v>2932</v>
      </c>
      <c r="V63" s="3">
        <f t="shared" si="9"/>
        <v>40000</v>
      </c>
      <c r="W63" s="3">
        <f t="shared" si="10"/>
        <v>16000</v>
      </c>
      <c r="X63" s="3">
        <f t="shared" si="1"/>
        <v>1250</v>
      </c>
      <c r="Y63" s="3">
        <f t="shared" si="2"/>
        <v>1600</v>
      </c>
      <c r="Z63" s="3">
        <f t="shared" si="3"/>
        <v>1800</v>
      </c>
      <c r="AA63" s="3">
        <v>0</v>
      </c>
      <c r="AB63" s="3">
        <f>ROUND(U63 - (V63+W63+X63+Y63) - (U63/Q63 * 2),0)</f>
        <v>34483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f>SUM(V63+W63+X63+Y63+AB63)</f>
        <v>93333</v>
      </c>
      <c r="AK63" s="3">
        <f>SUM(AJ63-AA63)</f>
        <v>93333</v>
      </c>
      <c r="AL63" s="3">
        <f>IF(V63&lt;=15000,V63*12%,1800)</f>
        <v>1800</v>
      </c>
      <c r="AM63" s="3">
        <v>0</v>
      </c>
      <c r="AN63" s="3">
        <f t="shared" si="4"/>
        <v>1800</v>
      </c>
      <c r="AO63" s="12">
        <v>200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3">
        <f t="shared" si="7"/>
        <v>200</v>
      </c>
      <c r="AV63" s="3">
        <f>SUM(AJ63 - AN63 - AU63)</f>
        <v>91333</v>
      </c>
      <c r="AW63" s="11">
        <v>0</v>
      </c>
      <c r="AX63" s="11">
        <v>0</v>
      </c>
      <c r="AY63" s="11">
        <v>0</v>
      </c>
      <c r="AZ63" s="11">
        <v>0</v>
      </c>
      <c r="BA63" s="3">
        <f t="shared" si="6"/>
        <v>91333</v>
      </c>
    </row>
    <row r="64" spans="1:53" x14ac:dyDescent="0.25">
      <c r="A64" s="1" t="s">
        <v>62</v>
      </c>
      <c r="B64" s="9" t="s">
        <v>1197</v>
      </c>
      <c r="C64" s="9" t="s">
        <v>1169</v>
      </c>
      <c r="D64" s="9" t="s">
        <v>1198</v>
      </c>
      <c r="E64" s="9" t="s">
        <v>1008</v>
      </c>
      <c r="F64" s="10">
        <v>45323</v>
      </c>
      <c r="G64" s="9" t="s">
        <v>1013</v>
      </c>
      <c r="I64" s="9" t="s">
        <v>1042</v>
      </c>
      <c r="J64" s="9" t="s">
        <v>1171</v>
      </c>
      <c r="K64" s="8" t="s">
        <v>1006</v>
      </c>
      <c r="L64" s="8" t="s">
        <v>1007</v>
      </c>
      <c r="M64" s="8" t="s">
        <v>2933</v>
      </c>
      <c r="N64" s="8" t="s">
        <v>2937</v>
      </c>
      <c r="O64" s="1" t="s">
        <v>2934</v>
      </c>
      <c r="P64">
        <v>30</v>
      </c>
      <c r="Q64">
        <v>30</v>
      </c>
      <c r="R64">
        <v>0</v>
      </c>
      <c r="S64">
        <f t="shared" si="8"/>
        <v>30</v>
      </c>
      <c r="T64" s="1" t="s">
        <v>2935</v>
      </c>
      <c r="U64" s="1" t="s">
        <v>2932</v>
      </c>
      <c r="V64" s="3">
        <f t="shared" si="9"/>
        <v>40000</v>
      </c>
      <c r="W64" s="3">
        <f t="shared" si="10"/>
        <v>16000</v>
      </c>
      <c r="X64" s="3">
        <f t="shared" si="1"/>
        <v>1250</v>
      </c>
      <c r="Y64" s="3">
        <f t="shared" si="2"/>
        <v>1600</v>
      </c>
      <c r="Z64" s="3">
        <f t="shared" si="3"/>
        <v>1800</v>
      </c>
      <c r="AA64" s="3">
        <v>0</v>
      </c>
      <c r="AB64" s="3">
        <f>ROUND(U64 - (V64+W64+X64+Y64) - (U64/Q64 * 2),0)</f>
        <v>34483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f>SUM(V64+W64+X64+Y64+AB64)</f>
        <v>93333</v>
      </c>
      <c r="AK64" s="3">
        <f>SUM(AJ64-AA64)</f>
        <v>93333</v>
      </c>
      <c r="AL64" s="3">
        <f>IF(V64&lt;=15000,V64*12%,1800)</f>
        <v>1800</v>
      </c>
      <c r="AM64" s="3">
        <v>0</v>
      </c>
      <c r="AN64" s="3">
        <f t="shared" si="4"/>
        <v>1800</v>
      </c>
      <c r="AO64" s="12">
        <v>200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3">
        <f t="shared" si="7"/>
        <v>200</v>
      </c>
      <c r="AV64" s="3">
        <f>SUM(AJ64 - AN64 - AU64)</f>
        <v>91333</v>
      </c>
      <c r="AW64" s="11">
        <v>0</v>
      </c>
      <c r="AX64" s="11">
        <v>0</v>
      </c>
      <c r="AY64" s="11">
        <v>0</v>
      </c>
      <c r="AZ64" s="11">
        <v>0</v>
      </c>
      <c r="BA64" s="3">
        <f t="shared" si="6"/>
        <v>91333</v>
      </c>
    </row>
    <row r="65" spans="1:53" x14ac:dyDescent="0.25">
      <c r="A65" s="1" t="s">
        <v>63</v>
      </c>
      <c r="B65" s="9" t="s">
        <v>1195</v>
      </c>
      <c r="C65" s="9" t="s">
        <v>1169</v>
      </c>
      <c r="D65" s="9" t="s">
        <v>1196</v>
      </c>
      <c r="E65" s="9" t="s">
        <v>1012</v>
      </c>
      <c r="F65" s="10">
        <v>45323</v>
      </c>
      <c r="G65" s="9" t="s">
        <v>1013</v>
      </c>
      <c r="I65" s="9" t="s">
        <v>1042</v>
      </c>
      <c r="J65" s="9" t="s">
        <v>1171</v>
      </c>
      <c r="K65" s="8" t="s">
        <v>1006</v>
      </c>
      <c r="L65" s="8" t="s">
        <v>1007</v>
      </c>
      <c r="M65" s="8" t="s">
        <v>2933</v>
      </c>
      <c r="N65" s="8" t="s">
        <v>2937</v>
      </c>
      <c r="O65" s="1" t="s">
        <v>2934</v>
      </c>
      <c r="P65">
        <v>30</v>
      </c>
      <c r="Q65">
        <v>30</v>
      </c>
      <c r="R65">
        <v>0</v>
      </c>
      <c r="S65">
        <f t="shared" si="8"/>
        <v>30</v>
      </c>
      <c r="T65" s="1" t="s">
        <v>2935</v>
      </c>
      <c r="U65" s="1" t="s">
        <v>2932</v>
      </c>
      <c r="V65" s="3">
        <f t="shared" si="9"/>
        <v>40000</v>
      </c>
      <c r="W65" s="3">
        <f t="shared" si="10"/>
        <v>16000</v>
      </c>
      <c r="X65" s="3">
        <f t="shared" si="1"/>
        <v>1250</v>
      </c>
      <c r="Y65" s="3">
        <f t="shared" si="2"/>
        <v>1600</v>
      </c>
      <c r="Z65" s="3">
        <f t="shared" si="3"/>
        <v>1800</v>
      </c>
      <c r="AA65" s="3">
        <v>0</v>
      </c>
      <c r="AB65" s="3">
        <f>ROUND(U65 - (V65+W65+X65+Y65) - (U65/Q65 * 2),0)</f>
        <v>34483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f>SUM(V65+W65+X65+Y65+AB65)</f>
        <v>93333</v>
      </c>
      <c r="AK65" s="3">
        <f>SUM(AJ65-AA65)</f>
        <v>93333</v>
      </c>
      <c r="AL65" s="3">
        <f>IF(V65&lt;=15000,V65*12%,1800)</f>
        <v>1800</v>
      </c>
      <c r="AM65" s="3">
        <v>0</v>
      </c>
      <c r="AN65" s="3">
        <f t="shared" si="4"/>
        <v>1800</v>
      </c>
      <c r="AO65" s="12">
        <v>200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3">
        <f t="shared" si="7"/>
        <v>200</v>
      </c>
      <c r="AV65" s="3">
        <f>SUM(AJ65 - AN65 - AU65)</f>
        <v>91333</v>
      </c>
      <c r="AW65" s="11">
        <v>0</v>
      </c>
      <c r="AX65" s="11">
        <v>0</v>
      </c>
      <c r="AY65" s="11">
        <v>0</v>
      </c>
      <c r="AZ65" s="11">
        <v>0</v>
      </c>
      <c r="BA65" s="3">
        <f t="shared" si="6"/>
        <v>91333</v>
      </c>
    </row>
    <row r="66" spans="1:53" x14ac:dyDescent="0.25">
      <c r="A66" s="1" t="s">
        <v>64</v>
      </c>
      <c r="B66" s="9" t="s">
        <v>1193</v>
      </c>
      <c r="C66" s="9" t="s">
        <v>1063</v>
      </c>
      <c r="D66" s="9" t="s">
        <v>1194</v>
      </c>
      <c r="E66" s="9" t="s">
        <v>1012</v>
      </c>
      <c r="F66" s="10">
        <v>45334</v>
      </c>
      <c r="G66" s="9" t="s">
        <v>1019</v>
      </c>
      <c r="I66" s="9" t="s">
        <v>1014</v>
      </c>
      <c r="J66" s="9" t="s">
        <v>1015</v>
      </c>
      <c r="K66" s="8" t="s">
        <v>1006</v>
      </c>
      <c r="L66" s="8" t="s">
        <v>1007</v>
      </c>
      <c r="M66" s="8" t="s">
        <v>2933</v>
      </c>
      <c r="N66" s="8" t="s">
        <v>2937</v>
      </c>
      <c r="O66" s="1" t="s">
        <v>2934</v>
      </c>
      <c r="P66">
        <v>30</v>
      </c>
      <c r="Q66">
        <v>30</v>
      </c>
      <c r="R66">
        <v>0</v>
      </c>
      <c r="S66">
        <f t="shared" si="8"/>
        <v>30</v>
      </c>
      <c r="T66" s="1" t="s">
        <v>2935</v>
      </c>
      <c r="U66" s="1" t="s">
        <v>2932</v>
      </c>
      <c r="V66" s="3">
        <f t="shared" si="9"/>
        <v>40000</v>
      </c>
      <c r="W66" s="3">
        <f t="shared" si="10"/>
        <v>16000</v>
      </c>
      <c r="X66" s="3">
        <f t="shared" si="1"/>
        <v>1250</v>
      </c>
      <c r="Y66" s="3">
        <f t="shared" si="2"/>
        <v>1600</v>
      </c>
      <c r="Z66" s="3">
        <f t="shared" si="3"/>
        <v>1800</v>
      </c>
      <c r="AA66" s="3">
        <v>0</v>
      </c>
      <c r="AB66" s="3">
        <f>ROUND(U66 - (V66+W66+X66+Y66) - (U66/Q66 * 2),0)</f>
        <v>34483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f>SUM(V66+W66+X66+Y66+AB66)</f>
        <v>93333</v>
      </c>
      <c r="AK66" s="3">
        <f>SUM(AJ66-AA66)</f>
        <v>93333</v>
      </c>
      <c r="AL66" s="3">
        <f>IF(V66&lt;=15000,V66*12%,1800)</f>
        <v>1800</v>
      </c>
      <c r="AM66" s="3">
        <v>0</v>
      </c>
      <c r="AN66" s="3">
        <f t="shared" si="4"/>
        <v>1800</v>
      </c>
      <c r="AO66" s="12">
        <v>200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3">
        <f t="shared" si="7"/>
        <v>200</v>
      </c>
      <c r="AV66" s="3">
        <f>SUM(AJ66 - AN66 - AU66)</f>
        <v>91333</v>
      </c>
      <c r="AW66" s="11">
        <v>0</v>
      </c>
      <c r="AX66" s="11">
        <v>0</v>
      </c>
      <c r="AY66" s="11">
        <v>0</v>
      </c>
      <c r="AZ66" s="11">
        <v>0</v>
      </c>
      <c r="BA66" s="3">
        <f t="shared" si="6"/>
        <v>91333</v>
      </c>
    </row>
    <row r="67" spans="1:53" x14ac:dyDescent="0.25">
      <c r="A67" s="1" t="s">
        <v>65</v>
      </c>
      <c r="B67" s="9" t="s">
        <v>1191</v>
      </c>
      <c r="C67" s="9" t="s">
        <v>1063</v>
      </c>
      <c r="D67" s="9" t="s">
        <v>1192</v>
      </c>
      <c r="E67" s="9" t="s">
        <v>1012</v>
      </c>
      <c r="F67" s="10">
        <v>45334</v>
      </c>
      <c r="G67" s="9" t="s">
        <v>1013</v>
      </c>
      <c r="I67" s="9" t="s">
        <v>1014</v>
      </c>
      <c r="J67" s="9" t="s">
        <v>1015</v>
      </c>
      <c r="K67" s="8" t="s">
        <v>1006</v>
      </c>
      <c r="L67" s="8" t="s">
        <v>1007</v>
      </c>
      <c r="M67" s="8" t="s">
        <v>2933</v>
      </c>
      <c r="N67" s="8" t="s">
        <v>2937</v>
      </c>
      <c r="O67" s="1" t="s">
        <v>2934</v>
      </c>
      <c r="P67">
        <v>30</v>
      </c>
      <c r="Q67">
        <v>30</v>
      </c>
      <c r="R67">
        <v>0</v>
      </c>
      <c r="S67">
        <f t="shared" si="8"/>
        <v>30</v>
      </c>
      <c r="T67" s="1" t="s">
        <v>2935</v>
      </c>
      <c r="U67" s="1" t="s">
        <v>2932</v>
      </c>
      <c r="V67" s="3">
        <f t="shared" si="9"/>
        <v>40000</v>
      </c>
      <c r="W67" s="3">
        <f t="shared" si="10"/>
        <v>16000</v>
      </c>
      <c r="X67" s="3">
        <f t="shared" ref="X67:X130" si="11">ROUND(1250 - ((1250/Q67)*R67),0)</f>
        <v>1250</v>
      </c>
      <c r="Y67" s="3">
        <f t="shared" ref="Y67:Y130" si="12">ROUND(1600 - (1600/Q67) *R67,0)</f>
        <v>1600</v>
      </c>
      <c r="Z67" s="3">
        <f t="shared" ref="Z67:Z130" si="13">IF(V67&lt;=15000,V67*12%,1800)</f>
        <v>1800</v>
      </c>
      <c r="AA67" s="3">
        <v>0</v>
      </c>
      <c r="AB67" s="3">
        <f>ROUND(U67 - (V67+W67+X67+Y67) - (U67/Q67 * 2),0)</f>
        <v>34483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f>SUM(V67+W67+X67+Y67+AB67)</f>
        <v>93333</v>
      </c>
      <c r="AK67" s="3">
        <f>SUM(AJ67-AA67)</f>
        <v>93333</v>
      </c>
      <c r="AL67" s="3">
        <f>IF(V67&lt;=15000,V67*12%,1800)</f>
        <v>1800</v>
      </c>
      <c r="AM67" s="3">
        <v>0</v>
      </c>
      <c r="AN67" s="3">
        <f t="shared" ref="AN67:AN130" si="14">SUM(AL67+AM67)</f>
        <v>1800</v>
      </c>
      <c r="AO67" s="12">
        <v>200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3">
        <f t="shared" si="7"/>
        <v>200</v>
      </c>
      <c r="AV67" s="3">
        <f>SUM(AJ67 - AN67 - AU67)</f>
        <v>91333</v>
      </c>
      <c r="AW67" s="11">
        <v>0</v>
      </c>
      <c r="AX67" s="11">
        <v>0</v>
      </c>
      <c r="AY67" s="11">
        <v>0</v>
      </c>
      <c r="AZ67" s="11">
        <v>0</v>
      </c>
      <c r="BA67" s="3">
        <f t="shared" ref="BA67:BA130" si="15">AV67+AW67+AX67+AZ67</f>
        <v>91333</v>
      </c>
    </row>
    <row r="68" spans="1:53" x14ac:dyDescent="0.25">
      <c r="A68" s="1" t="s">
        <v>66</v>
      </c>
      <c r="B68" s="9" t="s">
        <v>1189</v>
      </c>
      <c r="C68" s="9" t="s">
        <v>1169</v>
      </c>
      <c r="D68" s="9" t="s">
        <v>1190</v>
      </c>
      <c r="E68" s="9" t="s">
        <v>1012</v>
      </c>
      <c r="F68" s="10">
        <v>45323</v>
      </c>
      <c r="G68" s="9" t="s">
        <v>1013</v>
      </c>
      <c r="I68" s="9" t="s">
        <v>1042</v>
      </c>
      <c r="J68" s="9" t="s">
        <v>1171</v>
      </c>
      <c r="K68" s="8" t="s">
        <v>1006</v>
      </c>
      <c r="L68" s="8" t="s">
        <v>1007</v>
      </c>
      <c r="M68" s="8" t="s">
        <v>2933</v>
      </c>
      <c r="N68" s="8" t="s">
        <v>2937</v>
      </c>
      <c r="O68" s="1" t="s">
        <v>2934</v>
      </c>
      <c r="P68">
        <v>30</v>
      </c>
      <c r="Q68">
        <v>30</v>
      </c>
      <c r="R68">
        <v>0</v>
      </c>
      <c r="S68">
        <f t="shared" si="8"/>
        <v>30</v>
      </c>
      <c r="T68" s="1" t="s">
        <v>2935</v>
      </c>
      <c r="U68" s="1" t="s">
        <v>2932</v>
      </c>
      <c r="V68" s="3">
        <f t="shared" si="9"/>
        <v>40000</v>
      </c>
      <c r="W68" s="3">
        <f t="shared" si="10"/>
        <v>16000</v>
      </c>
      <c r="X68" s="3">
        <f t="shared" si="11"/>
        <v>1250</v>
      </c>
      <c r="Y68" s="3">
        <f t="shared" si="12"/>
        <v>1600</v>
      </c>
      <c r="Z68" s="3">
        <f t="shared" si="13"/>
        <v>1800</v>
      </c>
      <c r="AA68" s="3">
        <v>0</v>
      </c>
      <c r="AB68" s="3">
        <f>ROUND(U68 - (V68+W68+X68+Y68) - (U68/Q68 * 2),0)</f>
        <v>34483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f>SUM(V68+W68+X68+Y68+AB68)</f>
        <v>93333</v>
      </c>
      <c r="AK68" s="3">
        <f>SUM(AJ68-AA68)</f>
        <v>93333</v>
      </c>
      <c r="AL68" s="3">
        <f>IF(V68&lt;=15000,V68*12%,1800)</f>
        <v>1800</v>
      </c>
      <c r="AM68" s="3">
        <v>0</v>
      </c>
      <c r="AN68" s="3">
        <f t="shared" si="14"/>
        <v>1800</v>
      </c>
      <c r="AO68" s="12">
        <v>200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3">
        <f t="shared" ref="AU68:AU131" si="16">SUM(AO68:AT68)</f>
        <v>200</v>
      </c>
      <c r="AV68" s="3">
        <f>SUM(AJ68 - AN68 - AU68)</f>
        <v>91333</v>
      </c>
      <c r="AW68" s="11">
        <v>0</v>
      </c>
      <c r="AX68" s="11">
        <v>0</v>
      </c>
      <c r="AY68" s="11">
        <v>0</v>
      </c>
      <c r="AZ68" s="11">
        <v>0</v>
      </c>
      <c r="BA68" s="3">
        <f t="shared" si="15"/>
        <v>91333</v>
      </c>
    </row>
    <row r="69" spans="1:53" x14ac:dyDescent="0.25">
      <c r="A69" s="1" t="s">
        <v>67</v>
      </c>
      <c r="B69" s="9" t="s">
        <v>1187</v>
      </c>
      <c r="C69" s="9" t="s">
        <v>1169</v>
      </c>
      <c r="D69" s="9" t="s">
        <v>1188</v>
      </c>
      <c r="E69" s="9" t="s">
        <v>1008</v>
      </c>
      <c r="F69" s="10">
        <v>45323</v>
      </c>
      <c r="G69" s="9" t="s">
        <v>1019</v>
      </c>
      <c r="I69" s="9" t="s">
        <v>1042</v>
      </c>
      <c r="J69" s="9" t="s">
        <v>1171</v>
      </c>
      <c r="K69" s="8" t="s">
        <v>1006</v>
      </c>
      <c r="L69" s="8" t="s">
        <v>1007</v>
      </c>
      <c r="M69" s="8" t="s">
        <v>2933</v>
      </c>
      <c r="N69" s="8" t="s">
        <v>2937</v>
      </c>
      <c r="O69" s="1" t="s">
        <v>2934</v>
      </c>
      <c r="P69">
        <v>30</v>
      </c>
      <c r="Q69">
        <v>30</v>
      </c>
      <c r="R69">
        <v>0</v>
      </c>
      <c r="S69">
        <f t="shared" ref="S69:S132" si="17">SUM(Q69-R69)</f>
        <v>30</v>
      </c>
      <c r="T69" s="1" t="s">
        <v>2935</v>
      </c>
      <c r="U69" s="1" t="s">
        <v>2932</v>
      </c>
      <c r="V69" s="3">
        <f t="shared" ref="V69:V132" si="18">ROUND((U69*40%) / Q69  * S69,0)</f>
        <v>40000</v>
      </c>
      <c r="W69" s="3">
        <f t="shared" ref="W69:W132" si="19">ROUND((U69*16%) / Q69  * S69,0)</f>
        <v>16000</v>
      </c>
      <c r="X69" s="3">
        <f t="shared" si="11"/>
        <v>1250</v>
      </c>
      <c r="Y69" s="3">
        <f t="shared" si="12"/>
        <v>1600</v>
      </c>
      <c r="Z69" s="3">
        <f t="shared" si="13"/>
        <v>1800</v>
      </c>
      <c r="AA69" s="3">
        <v>0</v>
      </c>
      <c r="AB69" s="3">
        <f>ROUND(U69 - (V69+W69+X69+Y69) - (U69/Q69 * 2),0)</f>
        <v>34483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f>SUM(V69+W69+X69+Y69+AB69)</f>
        <v>93333</v>
      </c>
      <c r="AK69" s="3">
        <f>SUM(AJ69-AA69)</f>
        <v>93333</v>
      </c>
      <c r="AL69" s="3">
        <f>IF(V69&lt;=15000,V69*12%,1800)</f>
        <v>1800</v>
      </c>
      <c r="AM69" s="3">
        <v>0</v>
      </c>
      <c r="AN69" s="3">
        <f t="shared" si="14"/>
        <v>1800</v>
      </c>
      <c r="AO69" s="12">
        <v>200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3">
        <f t="shared" si="16"/>
        <v>200</v>
      </c>
      <c r="AV69" s="3">
        <f>SUM(AJ69 - AN69 - AU69)</f>
        <v>91333</v>
      </c>
      <c r="AW69" s="11">
        <v>0</v>
      </c>
      <c r="AX69" s="11">
        <v>0</v>
      </c>
      <c r="AY69" s="11">
        <v>0</v>
      </c>
      <c r="AZ69" s="11">
        <v>0</v>
      </c>
      <c r="BA69" s="3">
        <f t="shared" si="15"/>
        <v>91333</v>
      </c>
    </row>
    <row r="70" spans="1:53" x14ac:dyDescent="0.25">
      <c r="A70" s="1" t="s">
        <v>68</v>
      </c>
      <c r="B70" s="9" t="s">
        <v>1185</v>
      </c>
      <c r="C70" s="9" t="s">
        <v>1169</v>
      </c>
      <c r="D70" s="9" t="s">
        <v>1186</v>
      </c>
      <c r="E70" s="9" t="s">
        <v>1012</v>
      </c>
      <c r="F70" s="10">
        <v>45327</v>
      </c>
      <c r="G70" s="9" t="s">
        <v>1019</v>
      </c>
      <c r="I70" s="9" t="s">
        <v>1042</v>
      </c>
      <c r="J70" s="9" t="s">
        <v>1171</v>
      </c>
      <c r="K70" s="8" t="s">
        <v>1006</v>
      </c>
      <c r="L70" s="8" t="s">
        <v>1007</v>
      </c>
      <c r="M70" s="8" t="s">
        <v>2933</v>
      </c>
      <c r="N70" s="8" t="s">
        <v>2937</v>
      </c>
      <c r="O70" s="1" t="s">
        <v>2934</v>
      </c>
      <c r="P70">
        <v>30</v>
      </c>
      <c r="Q70">
        <v>30</v>
      </c>
      <c r="R70">
        <v>0</v>
      </c>
      <c r="S70">
        <f t="shared" si="17"/>
        <v>30</v>
      </c>
      <c r="T70" s="1" t="s">
        <v>2935</v>
      </c>
      <c r="U70" s="1" t="s">
        <v>2932</v>
      </c>
      <c r="V70" s="3">
        <f t="shared" si="18"/>
        <v>40000</v>
      </c>
      <c r="W70" s="3">
        <f t="shared" si="19"/>
        <v>16000</v>
      </c>
      <c r="X70" s="3">
        <f t="shared" si="11"/>
        <v>1250</v>
      </c>
      <c r="Y70" s="3">
        <f t="shared" si="12"/>
        <v>1600</v>
      </c>
      <c r="Z70" s="3">
        <f t="shared" si="13"/>
        <v>1800</v>
      </c>
      <c r="AA70" s="3">
        <v>0</v>
      </c>
      <c r="AB70" s="3">
        <f>ROUND(U70 - (V70+W70+X70+Y70) - (U70/Q70 * 2),0)</f>
        <v>34483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f>SUM(V70+W70+X70+Y70+AB70)</f>
        <v>93333</v>
      </c>
      <c r="AK70" s="3">
        <f>SUM(AJ70-AA70)</f>
        <v>93333</v>
      </c>
      <c r="AL70" s="3">
        <f>IF(V70&lt;=15000,V70*12%,1800)</f>
        <v>1800</v>
      </c>
      <c r="AM70" s="3">
        <v>0</v>
      </c>
      <c r="AN70" s="3">
        <f t="shared" si="14"/>
        <v>1800</v>
      </c>
      <c r="AO70" s="12">
        <v>200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3">
        <f t="shared" si="16"/>
        <v>200</v>
      </c>
      <c r="AV70" s="3">
        <f>SUM(AJ70 - AN70 - AU70)</f>
        <v>91333</v>
      </c>
      <c r="AW70" s="11">
        <v>0</v>
      </c>
      <c r="AX70" s="11">
        <v>0</v>
      </c>
      <c r="AY70" s="11">
        <v>0</v>
      </c>
      <c r="AZ70" s="11">
        <v>0</v>
      </c>
      <c r="BA70" s="3">
        <f t="shared" si="15"/>
        <v>91333</v>
      </c>
    </row>
    <row r="71" spans="1:53" x14ac:dyDescent="0.25">
      <c r="A71" s="1" t="s">
        <v>69</v>
      </c>
      <c r="B71" s="9" t="s">
        <v>1183</v>
      </c>
      <c r="C71" s="9" t="s">
        <v>1169</v>
      </c>
      <c r="D71" s="9" t="s">
        <v>1184</v>
      </c>
      <c r="E71" s="9" t="s">
        <v>1012</v>
      </c>
      <c r="F71" s="10">
        <v>45327</v>
      </c>
      <c r="G71" s="9" t="s">
        <v>1013</v>
      </c>
      <c r="I71" s="9" t="s">
        <v>1042</v>
      </c>
      <c r="J71" s="9" t="s">
        <v>1171</v>
      </c>
      <c r="K71" s="8" t="s">
        <v>1006</v>
      </c>
      <c r="L71" s="8" t="s">
        <v>1007</v>
      </c>
      <c r="M71" s="8" t="s">
        <v>2933</v>
      </c>
      <c r="N71" s="8" t="s">
        <v>2937</v>
      </c>
      <c r="O71" s="1" t="s">
        <v>2934</v>
      </c>
      <c r="P71">
        <v>30</v>
      </c>
      <c r="Q71">
        <v>30</v>
      </c>
      <c r="R71">
        <v>0</v>
      </c>
      <c r="S71">
        <f t="shared" si="17"/>
        <v>30</v>
      </c>
      <c r="T71" s="1" t="s">
        <v>2935</v>
      </c>
      <c r="U71" s="1" t="s">
        <v>2932</v>
      </c>
      <c r="V71" s="3">
        <f t="shared" si="18"/>
        <v>40000</v>
      </c>
      <c r="W71" s="3">
        <f t="shared" si="19"/>
        <v>16000</v>
      </c>
      <c r="X71" s="3">
        <f t="shared" si="11"/>
        <v>1250</v>
      </c>
      <c r="Y71" s="3">
        <f t="shared" si="12"/>
        <v>1600</v>
      </c>
      <c r="Z71" s="3">
        <f t="shared" si="13"/>
        <v>1800</v>
      </c>
      <c r="AA71" s="3">
        <v>0</v>
      </c>
      <c r="AB71" s="3">
        <f>ROUND(U71 - (V71+W71+X71+Y71) - (U71/Q71 * 2),0)</f>
        <v>34483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f>SUM(V71+W71+X71+Y71+AB71)</f>
        <v>93333</v>
      </c>
      <c r="AK71" s="3">
        <f>SUM(AJ71-AA71)</f>
        <v>93333</v>
      </c>
      <c r="AL71" s="3">
        <f>IF(V71&lt;=15000,V71*12%,1800)</f>
        <v>1800</v>
      </c>
      <c r="AM71" s="3">
        <v>0</v>
      </c>
      <c r="AN71" s="3">
        <f t="shared" si="14"/>
        <v>1800</v>
      </c>
      <c r="AO71" s="12">
        <v>200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3">
        <f t="shared" si="16"/>
        <v>200</v>
      </c>
      <c r="AV71" s="3">
        <f>SUM(AJ71 - AN71 - AU71)</f>
        <v>91333</v>
      </c>
      <c r="AW71" s="11">
        <v>0</v>
      </c>
      <c r="AX71" s="11">
        <v>0</v>
      </c>
      <c r="AY71" s="11">
        <v>0</v>
      </c>
      <c r="AZ71" s="11">
        <v>0</v>
      </c>
      <c r="BA71" s="3">
        <f t="shared" si="15"/>
        <v>91333</v>
      </c>
    </row>
    <row r="72" spans="1:53" x14ac:dyDescent="0.25">
      <c r="A72" s="1" t="s">
        <v>70</v>
      </c>
      <c r="B72" s="9" t="s">
        <v>1181</v>
      </c>
      <c r="C72" s="9" t="s">
        <v>1169</v>
      </c>
      <c r="D72" s="9" t="s">
        <v>1182</v>
      </c>
      <c r="E72" s="9" t="s">
        <v>1012</v>
      </c>
      <c r="F72" s="10">
        <v>45329</v>
      </c>
      <c r="G72" s="9" t="s">
        <v>1013</v>
      </c>
      <c r="I72" s="9" t="s">
        <v>1042</v>
      </c>
      <c r="J72" s="9" t="s">
        <v>1171</v>
      </c>
      <c r="K72" s="8" t="s">
        <v>1006</v>
      </c>
      <c r="L72" s="8" t="s">
        <v>1007</v>
      </c>
      <c r="M72" s="8" t="s">
        <v>2933</v>
      </c>
      <c r="N72" s="8" t="s">
        <v>2937</v>
      </c>
      <c r="O72" s="1" t="s">
        <v>2934</v>
      </c>
      <c r="P72">
        <v>30</v>
      </c>
      <c r="Q72">
        <v>30</v>
      </c>
      <c r="R72">
        <v>0</v>
      </c>
      <c r="S72">
        <f t="shared" si="17"/>
        <v>30</v>
      </c>
      <c r="T72" s="1" t="s">
        <v>2935</v>
      </c>
      <c r="U72" s="1" t="s">
        <v>2932</v>
      </c>
      <c r="V72" s="3">
        <f t="shared" si="18"/>
        <v>40000</v>
      </c>
      <c r="W72" s="3">
        <f t="shared" si="19"/>
        <v>16000</v>
      </c>
      <c r="X72" s="3">
        <f t="shared" si="11"/>
        <v>1250</v>
      </c>
      <c r="Y72" s="3">
        <f t="shared" si="12"/>
        <v>1600</v>
      </c>
      <c r="Z72" s="3">
        <f t="shared" si="13"/>
        <v>1800</v>
      </c>
      <c r="AA72" s="3">
        <v>0</v>
      </c>
      <c r="AB72" s="3">
        <f>ROUND(U72 - (V72+W72+X72+Y72) - (U72/Q72 * 2),0)</f>
        <v>34483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f>SUM(V72+W72+X72+Y72+AB72)</f>
        <v>93333</v>
      </c>
      <c r="AK72" s="3">
        <f>SUM(AJ72-AA72)</f>
        <v>93333</v>
      </c>
      <c r="AL72" s="3">
        <f>IF(V72&lt;=15000,V72*12%,1800)</f>
        <v>1800</v>
      </c>
      <c r="AM72" s="3">
        <v>0</v>
      </c>
      <c r="AN72" s="3">
        <f t="shared" si="14"/>
        <v>1800</v>
      </c>
      <c r="AO72" s="12">
        <v>200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3">
        <f t="shared" si="16"/>
        <v>200</v>
      </c>
      <c r="AV72" s="3">
        <f>SUM(AJ72 - AN72 - AU72)</f>
        <v>91333</v>
      </c>
      <c r="AW72" s="11">
        <v>0</v>
      </c>
      <c r="AX72" s="11">
        <v>0</v>
      </c>
      <c r="AY72" s="11">
        <v>0</v>
      </c>
      <c r="AZ72" s="11">
        <v>0</v>
      </c>
      <c r="BA72" s="3">
        <f t="shared" si="15"/>
        <v>91333</v>
      </c>
    </row>
    <row r="73" spans="1:53" x14ac:dyDescent="0.25">
      <c r="A73" s="1" t="s">
        <v>71</v>
      </c>
      <c r="B73" s="9" t="s">
        <v>1179</v>
      </c>
      <c r="C73" s="9" t="s">
        <v>1169</v>
      </c>
      <c r="D73" s="9" t="s">
        <v>1180</v>
      </c>
      <c r="E73" s="9" t="s">
        <v>1012</v>
      </c>
      <c r="F73" s="10">
        <v>45329</v>
      </c>
      <c r="G73" s="9" t="s">
        <v>1013</v>
      </c>
      <c r="I73" s="9" t="s">
        <v>1042</v>
      </c>
      <c r="J73" s="9" t="s">
        <v>1171</v>
      </c>
      <c r="K73" s="8" t="s">
        <v>1006</v>
      </c>
      <c r="L73" s="8" t="s">
        <v>1007</v>
      </c>
      <c r="M73" s="8" t="s">
        <v>2933</v>
      </c>
      <c r="N73" s="8" t="s">
        <v>2937</v>
      </c>
      <c r="O73" s="1" t="s">
        <v>2934</v>
      </c>
      <c r="P73">
        <v>30</v>
      </c>
      <c r="Q73">
        <v>30</v>
      </c>
      <c r="R73">
        <v>0</v>
      </c>
      <c r="S73">
        <f t="shared" si="17"/>
        <v>30</v>
      </c>
      <c r="T73" s="1" t="s">
        <v>2935</v>
      </c>
      <c r="U73" s="1" t="s">
        <v>2932</v>
      </c>
      <c r="V73" s="3">
        <f t="shared" si="18"/>
        <v>40000</v>
      </c>
      <c r="W73" s="3">
        <f t="shared" si="19"/>
        <v>16000</v>
      </c>
      <c r="X73" s="3">
        <f t="shared" si="11"/>
        <v>1250</v>
      </c>
      <c r="Y73" s="3">
        <f t="shared" si="12"/>
        <v>1600</v>
      </c>
      <c r="Z73" s="3">
        <f t="shared" si="13"/>
        <v>1800</v>
      </c>
      <c r="AA73" s="3">
        <v>0</v>
      </c>
      <c r="AB73" s="3">
        <f>ROUND(U73 - (V73+W73+X73+Y73) - (U73/Q73 * 2),0)</f>
        <v>34483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f>SUM(V73+W73+X73+Y73+AB73)</f>
        <v>93333</v>
      </c>
      <c r="AK73" s="3">
        <f>SUM(AJ73-AA73)</f>
        <v>93333</v>
      </c>
      <c r="AL73" s="3">
        <f>IF(V73&lt;=15000,V73*12%,1800)</f>
        <v>1800</v>
      </c>
      <c r="AM73" s="3">
        <v>0</v>
      </c>
      <c r="AN73" s="3">
        <f t="shared" si="14"/>
        <v>1800</v>
      </c>
      <c r="AO73" s="12">
        <v>200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3">
        <f t="shared" si="16"/>
        <v>200</v>
      </c>
      <c r="AV73" s="3">
        <f>SUM(AJ73 - AN73 - AU73)</f>
        <v>91333</v>
      </c>
      <c r="AW73" s="11">
        <v>0</v>
      </c>
      <c r="AX73" s="11">
        <v>0</v>
      </c>
      <c r="AY73" s="11">
        <v>0</v>
      </c>
      <c r="AZ73" s="11">
        <v>0</v>
      </c>
      <c r="BA73" s="3">
        <f t="shared" si="15"/>
        <v>91333</v>
      </c>
    </row>
    <row r="74" spans="1:53" x14ac:dyDescent="0.25">
      <c r="A74" s="1" t="s">
        <v>72</v>
      </c>
      <c r="B74" s="9" t="s">
        <v>1177</v>
      </c>
      <c r="C74" s="9" t="s">
        <v>1063</v>
      </c>
      <c r="D74" s="9" t="s">
        <v>1178</v>
      </c>
      <c r="E74" s="9" t="s">
        <v>1012</v>
      </c>
      <c r="F74" s="10">
        <v>45334</v>
      </c>
      <c r="G74" s="9" t="s">
        <v>1019</v>
      </c>
      <c r="I74" s="9" t="s">
        <v>1014</v>
      </c>
      <c r="J74" s="9" t="s">
        <v>1015</v>
      </c>
      <c r="K74" s="8" t="s">
        <v>1006</v>
      </c>
      <c r="L74" s="8" t="s">
        <v>1007</v>
      </c>
      <c r="M74" s="8" t="s">
        <v>2933</v>
      </c>
      <c r="N74" s="8" t="s">
        <v>2937</v>
      </c>
      <c r="O74" s="1" t="s">
        <v>2934</v>
      </c>
      <c r="P74">
        <v>30</v>
      </c>
      <c r="Q74">
        <v>30</v>
      </c>
      <c r="R74">
        <v>0</v>
      </c>
      <c r="S74">
        <f t="shared" si="17"/>
        <v>30</v>
      </c>
      <c r="T74" s="1" t="s">
        <v>2935</v>
      </c>
      <c r="U74" s="1" t="s">
        <v>2932</v>
      </c>
      <c r="V74" s="3">
        <f t="shared" si="18"/>
        <v>40000</v>
      </c>
      <c r="W74" s="3">
        <f t="shared" si="19"/>
        <v>16000</v>
      </c>
      <c r="X74" s="3">
        <f t="shared" si="11"/>
        <v>1250</v>
      </c>
      <c r="Y74" s="3">
        <f t="shared" si="12"/>
        <v>1600</v>
      </c>
      <c r="Z74" s="3">
        <f t="shared" si="13"/>
        <v>1800</v>
      </c>
      <c r="AA74" s="3">
        <v>0</v>
      </c>
      <c r="AB74" s="3">
        <f>ROUND(U74 - (V74+W74+X74+Y74) - (U74/Q74 * 2),0)</f>
        <v>34483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f>SUM(V74+W74+X74+Y74+AB74)</f>
        <v>93333</v>
      </c>
      <c r="AK74" s="3">
        <f>SUM(AJ74-AA74)</f>
        <v>93333</v>
      </c>
      <c r="AL74" s="3">
        <f>IF(V74&lt;=15000,V74*12%,1800)</f>
        <v>1800</v>
      </c>
      <c r="AM74" s="3">
        <v>0</v>
      </c>
      <c r="AN74" s="3">
        <f t="shared" si="14"/>
        <v>1800</v>
      </c>
      <c r="AO74" s="12">
        <v>200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3">
        <f t="shared" si="16"/>
        <v>200</v>
      </c>
      <c r="AV74" s="3">
        <f>SUM(AJ74 - AN74 - AU74)</f>
        <v>91333</v>
      </c>
      <c r="AW74" s="11">
        <v>0</v>
      </c>
      <c r="AX74" s="11">
        <v>0</v>
      </c>
      <c r="AY74" s="11">
        <v>0</v>
      </c>
      <c r="AZ74" s="11">
        <v>0</v>
      </c>
      <c r="BA74" s="3">
        <f t="shared" si="15"/>
        <v>91333</v>
      </c>
    </row>
    <row r="75" spans="1:53" x14ac:dyDescent="0.25">
      <c r="A75" s="1" t="s">
        <v>73</v>
      </c>
      <c r="B75" s="9" t="s">
        <v>1175</v>
      </c>
      <c r="C75" s="9" t="s">
        <v>1063</v>
      </c>
      <c r="D75" s="9" t="s">
        <v>1176</v>
      </c>
      <c r="E75" s="9" t="s">
        <v>1012</v>
      </c>
      <c r="F75" s="10">
        <v>45334</v>
      </c>
      <c r="G75" s="9" t="s">
        <v>1013</v>
      </c>
      <c r="I75" s="9" t="s">
        <v>1014</v>
      </c>
      <c r="J75" s="9" t="s">
        <v>1015</v>
      </c>
      <c r="K75" s="8" t="s">
        <v>1006</v>
      </c>
      <c r="L75" s="8" t="s">
        <v>1007</v>
      </c>
      <c r="M75" s="8" t="s">
        <v>2933</v>
      </c>
      <c r="N75" s="8" t="s">
        <v>2937</v>
      </c>
      <c r="O75" s="1" t="s">
        <v>2934</v>
      </c>
      <c r="P75">
        <v>30</v>
      </c>
      <c r="Q75">
        <v>30</v>
      </c>
      <c r="R75">
        <v>0</v>
      </c>
      <c r="S75">
        <f t="shared" si="17"/>
        <v>30</v>
      </c>
      <c r="T75" s="1" t="s">
        <v>2935</v>
      </c>
      <c r="U75" s="1" t="s">
        <v>2932</v>
      </c>
      <c r="V75" s="3">
        <f t="shared" si="18"/>
        <v>40000</v>
      </c>
      <c r="W75" s="3">
        <f t="shared" si="19"/>
        <v>16000</v>
      </c>
      <c r="X75" s="3">
        <f t="shared" si="11"/>
        <v>1250</v>
      </c>
      <c r="Y75" s="3">
        <f t="shared" si="12"/>
        <v>1600</v>
      </c>
      <c r="Z75" s="3">
        <f t="shared" si="13"/>
        <v>1800</v>
      </c>
      <c r="AA75" s="3">
        <v>0</v>
      </c>
      <c r="AB75" s="3">
        <f>ROUND(U75 - (V75+W75+X75+Y75) - (U75/Q75 * 2),0)</f>
        <v>34483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f>SUM(V75+W75+X75+Y75+AB75)</f>
        <v>93333</v>
      </c>
      <c r="AK75" s="3">
        <f>SUM(AJ75-AA75)</f>
        <v>93333</v>
      </c>
      <c r="AL75" s="3">
        <f>IF(V75&lt;=15000,V75*12%,1800)</f>
        <v>1800</v>
      </c>
      <c r="AM75" s="3">
        <v>0</v>
      </c>
      <c r="AN75" s="3">
        <f t="shared" si="14"/>
        <v>1800</v>
      </c>
      <c r="AO75" s="12">
        <v>200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3">
        <f t="shared" si="16"/>
        <v>200</v>
      </c>
      <c r="AV75" s="3">
        <f>SUM(AJ75 - AN75 - AU75)</f>
        <v>91333</v>
      </c>
      <c r="AW75" s="11">
        <v>0</v>
      </c>
      <c r="AX75" s="11">
        <v>0</v>
      </c>
      <c r="AY75" s="11">
        <v>0</v>
      </c>
      <c r="AZ75" s="11">
        <v>0</v>
      </c>
      <c r="BA75" s="3">
        <f t="shared" si="15"/>
        <v>91333</v>
      </c>
    </row>
    <row r="76" spans="1:53" x14ac:dyDescent="0.25">
      <c r="A76" s="1" t="s">
        <v>74</v>
      </c>
      <c r="B76" s="9" t="s">
        <v>1172</v>
      </c>
      <c r="C76" s="9" t="s">
        <v>1173</v>
      </c>
      <c r="D76" s="9" t="s">
        <v>1174</v>
      </c>
      <c r="E76" s="9" t="s">
        <v>1008</v>
      </c>
      <c r="F76" s="10">
        <v>45329</v>
      </c>
      <c r="G76" s="9" t="s">
        <v>1019</v>
      </c>
      <c r="I76" s="9" t="s">
        <v>1014</v>
      </c>
      <c r="J76" s="9" t="s">
        <v>1171</v>
      </c>
      <c r="K76" s="8" t="s">
        <v>1006</v>
      </c>
      <c r="L76" s="8" t="s">
        <v>1007</v>
      </c>
      <c r="M76" s="8" t="s">
        <v>2933</v>
      </c>
      <c r="N76" s="8" t="s">
        <v>2937</v>
      </c>
      <c r="O76" s="1" t="s">
        <v>2934</v>
      </c>
      <c r="P76">
        <v>30</v>
      </c>
      <c r="Q76">
        <v>30</v>
      </c>
      <c r="R76">
        <v>0</v>
      </c>
      <c r="S76">
        <f t="shared" si="17"/>
        <v>30</v>
      </c>
      <c r="T76" s="1" t="s">
        <v>2935</v>
      </c>
      <c r="U76" s="1" t="s">
        <v>2932</v>
      </c>
      <c r="V76" s="3">
        <f t="shared" si="18"/>
        <v>40000</v>
      </c>
      <c r="W76" s="3">
        <f t="shared" si="19"/>
        <v>16000</v>
      </c>
      <c r="X76" s="3">
        <f t="shared" si="11"/>
        <v>1250</v>
      </c>
      <c r="Y76" s="3">
        <f t="shared" si="12"/>
        <v>1600</v>
      </c>
      <c r="Z76" s="3">
        <f t="shared" si="13"/>
        <v>1800</v>
      </c>
      <c r="AA76" s="3">
        <v>0</v>
      </c>
      <c r="AB76" s="3">
        <f>ROUND(U76 - (V76+W76+X76+Y76) - (U76/Q76 * 2),0)</f>
        <v>34483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f>SUM(V76+W76+X76+Y76+AB76)</f>
        <v>93333</v>
      </c>
      <c r="AK76" s="3">
        <f>SUM(AJ76-AA76)</f>
        <v>93333</v>
      </c>
      <c r="AL76" s="3">
        <f>IF(V76&lt;=15000,V76*12%,1800)</f>
        <v>1800</v>
      </c>
      <c r="AM76" s="3">
        <v>0</v>
      </c>
      <c r="AN76" s="3">
        <f t="shared" si="14"/>
        <v>1800</v>
      </c>
      <c r="AO76" s="12">
        <v>200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3">
        <f t="shared" si="16"/>
        <v>200</v>
      </c>
      <c r="AV76" s="3">
        <f>SUM(AJ76 - AN76 - AU76)</f>
        <v>91333</v>
      </c>
      <c r="AW76" s="11">
        <v>0</v>
      </c>
      <c r="AX76" s="11">
        <v>0</v>
      </c>
      <c r="AY76" s="11">
        <v>0</v>
      </c>
      <c r="AZ76" s="11">
        <v>0</v>
      </c>
      <c r="BA76" s="3">
        <f t="shared" si="15"/>
        <v>91333</v>
      </c>
    </row>
    <row r="77" spans="1:53" x14ac:dyDescent="0.25">
      <c r="A77" s="1" t="s">
        <v>75</v>
      </c>
      <c r="B77" s="9" t="s">
        <v>1168</v>
      </c>
      <c r="C77" s="9" t="s">
        <v>1169</v>
      </c>
      <c r="D77" s="9" t="s">
        <v>1170</v>
      </c>
      <c r="E77" s="9" t="s">
        <v>1008</v>
      </c>
      <c r="F77" s="10">
        <v>45331</v>
      </c>
      <c r="G77" s="9" t="s">
        <v>1019</v>
      </c>
      <c r="I77" s="9" t="s">
        <v>1042</v>
      </c>
      <c r="J77" s="9" t="s">
        <v>1171</v>
      </c>
      <c r="K77" s="8" t="s">
        <v>1006</v>
      </c>
      <c r="L77" s="8" t="s">
        <v>1007</v>
      </c>
      <c r="M77" s="8" t="s">
        <v>2933</v>
      </c>
      <c r="N77" s="8" t="s">
        <v>2937</v>
      </c>
      <c r="O77" s="1" t="s">
        <v>2934</v>
      </c>
      <c r="P77">
        <v>30</v>
      </c>
      <c r="Q77">
        <v>30</v>
      </c>
      <c r="R77">
        <v>0</v>
      </c>
      <c r="S77">
        <f t="shared" si="17"/>
        <v>30</v>
      </c>
      <c r="T77" s="1" t="s">
        <v>2935</v>
      </c>
      <c r="U77" s="1" t="s">
        <v>2932</v>
      </c>
      <c r="V77" s="3">
        <f t="shared" si="18"/>
        <v>40000</v>
      </c>
      <c r="W77" s="3">
        <f t="shared" si="19"/>
        <v>16000</v>
      </c>
      <c r="X77" s="3">
        <f t="shared" si="11"/>
        <v>1250</v>
      </c>
      <c r="Y77" s="3">
        <f t="shared" si="12"/>
        <v>1600</v>
      </c>
      <c r="Z77" s="3">
        <f t="shared" si="13"/>
        <v>1800</v>
      </c>
      <c r="AA77" s="3">
        <v>0</v>
      </c>
      <c r="AB77" s="3">
        <f>ROUND(U77 - (V77+W77+X77+Y77) - (U77/Q77 * 2),0)</f>
        <v>34483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f>SUM(V77+W77+X77+Y77+AB77)</f>
        <v>93333</v>
      </c>
      <c r="AK77" s="3">
        <f>SUM(AJ77-AA77)</f>
        <v>93333</v>
      </c>
      <c r="AL77" s="3">
        <f>IF(V77&lt;=15000,V77*12%,1800)</f>
        <v>1800</v>
      </c>
      <c r="AM77" s="3">
        <v>0</v>
      </c>
      <c r="AN77" s="3">
        <f t="shared" si="14"/>
        <v>1800</v>
      </c>
      <c r="AO77" s="12">
        <v>200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3">
        <f t="shared" si="16"/>
        <v>200</v>
      </c>
      <c r="AV77" s="3">
        <f>SUM(AJ77 - AN77 - AU77)</f>
        <v>91333</v>
      </c>
      <c r="AW77" s="11">
        <v>0</v>
      </c>
      <c r="AX77" s="11">
        <v>0</v>
      </c>
      <c r="AY77" s="11">
        <v>0</v>
      </c>
      <c r="AZ77" s="11">
        <v>0</v>
      </c>
      <c r="BA77" s="3">
        <f t="shared" si="15"/>
        <v>91333</v>
      </c>
    </row>
    <row r="78" spans="1:53" x14ac:dyDescent="0.25">
      <c r="A78" s="1" t="s">
        <v>76</v>
      </c>
      <c r="B78" s="9" t="s">
        <v>1166</v>
      </c>
      <c r="C78" s="9" t="s">
        <v>1063</v>
      </c>
      <c r="D78" s="9" t="s">
        <v>1167</v>
      </c>
      <c r="E78" s="9" t="s">
        <v>1012</v>
      </c>
      <c r="F78" s="10">
        <v>45334</v>
      </c>
      <c r="G78" s="9" t="s">
        <v>1013</v>
      </c>
      <c r="I78" s="9" t="s">
        <v>1014</v>
      </c>
      <c r="J78" s="9" t="s">
        <v>1015</v>
      </c>
      <c r="K78" s="8" t="s">
        <v>1006</v>
      </c>
      <c r="L78" s="8" t="s">
        <v>1007</v>
      </c>
      <c r="M78" s="8" t="s">
        <v>2933</v>
      </c>
      <c r="N78" s="8" t="s">
        <v>2937</v>
      </c>
      <c r="O78" s="1" t="s">
        <v>2934</v>
      </c>
      <c r="P78">
        <v>30</v>
      </c>
      <c r="Q78">
        <v>30</v>
      </c>
      <c r="R78">
        <v>0</v>
      </c>
      <c r="S78">
        <f t="shared" si="17"/>
        <v>30</v>
      </c>
      <c r="T78" s="1" t="s">
        <v>2935</v>
      </c>
      <c r="U78" s="1" t="s">
        <v>2932</v>
      </c>
      <c r="V78" s="3">
        <f t="shared" si="18"/>
        <v>40000</v>
      </c>
      <c r="W78" s="3">
        <f t="shared" si="19"/>
        <v>16000</v>
      </c>
      <c r="X78" s="3">
        <f t="shared" si="11"/>
        <v>1250</v>
      </c>
      <c r="Y78" s="3">
        <f t="shared" si="12"/>
        <v>1600</v>
      </c>
      <c r="Z78" s="3">
        <f t="shared" si="13"/>
        <v>1800</v>
      </c>
      <c r="AA78" s="3">
        <v>0</v>
      </c>
      <c r="AB78" s="3">
        <f>ROUND(U78 - (V78+W78+X78+Y78) - (U78/Q78 * 2),0)</f>
        <v>34483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f>SUM(V78+W78+X78+Y78+AB78)</f>
        <v>93333</v>
      </c>
      <c r="AK78" s="3">
        <f>SUM(AJ78-AA78)</f>
        <v>93333</v>
      </c>
      <c r="AL78" s="3">
        <f>IF(V78&lt;=15000,V78*12%,1800)</f>
        <v>1800</v>
      </c>
      <c r="AM78" s="3">
        <v>0</v>
      </c>
      <c r="AN78" s="3">
        <f t="shared" si="14"/>
        <v>1800</v>
      </c>
      <c r="AO78" s="12">
        <v>200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3">
        <f t="shared" si="16"/>
        <v>200</v>
      </c>
      <c r="AV78" s="3">
        <f>SUM(AJ78 - AN78 - AU78)</f>
        <v>91333</v>
      </c>
      <c r="AW78" s="11">
        <v>0</v>
      </c>
      <c r="AX78" s="11">
        <v>0</v>
      </c>
      <c r="AY78" s="11">
        <v>0</v>
      </c>
      <c r="AZ78" s="11">
        <v>0</v>
      </c>
      <c r="BA78" s="3">
        <f t="shared" si="15"/>
        <v>91333</v>
      </c>
    </row>
    <row r="79" spans="1:53" x14ac:dyDescent="0.25">
      <c r="A79" s="1" t="s">
        <v>77</v>
      </c>
      <c r="B79" s="9" t="s">
        <v>1233</v>
      </c>
      <c r="C79" s="9" t="s">
        <v>1063</v>
      </c>
      <c r="D79" s="9" t="s">
        <v>1234</v>
      </c>
      <c r="E79" s="9" t="s">
        <v>1008</v>
      </c>
      <c r="F79" s="10">
        <v>45336</v>
      </c>
      <c r="G79" s="9" t="s">
        <v>1019</v>
      </c>
      <c r="I79" s="9" t="s">
        <v>1014</v>
      </c>
      <c r="J79" s="9" t="s">
        <v>1015</v>
      </c>
      <c r="K79" s="8" t="s">
        <v>1006</v>
      </c>
      <c r="L79" s="8" t="s">
        <v>1007</v>
      </c>
      <c r="M79" s="8" t="s">
        <v>2933</v>
      </c>
      <c r="N79" s="8" t="s">
        <v>2937</v>
      </c>
      <c r="O79" s="1" t="s">
        <v>2934</v>
      </c>
      <c r="P79">
        <v>30</v>
      </c>
      <c r="Q79">
        <v>30</v>
      </c>
      <c r="R79">
        <v>0</v>
      </c>
      <c r="S79">
        <f t="shared" si="17"/>
        <v>30</v>
      </c>
      <c r="T79" s="1" t="s">
        <v>2935</v>
      </c>
      <c r="U79" s="1" t="s">
        <v>2932</v>
      </c>
      <c r="V79" s="3">
        <f t="shared" si="18"/>
        <v>40000</v>
      </c>
      <c r="W79" s="3">
        <f t="shared" si="19"/>
        <v>16000</v>
      </c>
      <c r="X79" s="3">
        <f t="shared" si="11"/>
        <v>1250</v>
      </c>
      <c r="Y79" s="3">
        <f t="shared" si="12"/>
        <v>1600</v>
      </c>
      <c r="Z79" s="3">
        <f t="shared" si="13"/>
        <v>1800</v>
      </c>
      <c r="AA79" s="3">
        <v>0</v>
      </c>
      <c r="AB79" s="3">
        <f>ROUND(U79 - (V79+W79+X79+Y79) - (U79/Q79 * 2),0)</f>
        <v>34483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f>SUM(V79+W79+X79+Y79+AB79)</f>
        <v>93333</v>
      </c>
      <c r="AK79" s="3">
        <f>SUM(AJ79-AA79)</f>
        <v>93333</v>
      </c>
      <c r="AL79" s="3">
        <f>IF(V79&lt;=15000,V79*12%,1800)</f>
        <v>1800</v>
      </c>
      <c r="AM79" s="3">
        <v>0</v>
      </c>
      <c r="AN79" s="3">
        <f t="shared" si="14"/>
        <v>1800</v>
      </c>
      <c r="AO79" s="12">
        <v>200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3">
        <f t="shared" si="16"/>
        <v>200</v>
      </c>
      <c r="AV79" s="3">
        <f>SUM(AJ79 - AN79 - AU79)</f>
        <v>91333</v>
      </c>
      <c r="AW79" s="11">
        <v>0</v>
      </c>
      <c r="AX79" s="11">
        <v>0</v>
      </c>
      <c r="AY79" s="11">
        <v>0</v>
      </c>
      <c r="AZ79" s="11">
        <v>0</v>
      </c>
      <c r="BA79" s="3">
        <f t="shared" si="15"/>
        <v>91333</v>
      </c>
    </row>
    <row r="80" spans="1:53" x14ac:dyDescent="0.25">
      <c r="A80" s="1" t="s">
        <v>78</v>
      </c>
      <c r="B80" s="9" t="s">
        <v>1231</v>
      </c>
      <c r="C80" s="9" t="s">
        <v>1063</v>
      </c>
      <c r="D80" s="9" t="s">
        <v>1232</v>
      </c>
      <c r="E80" s="9" t="s">
        <v>1008</v>
      </c>
      <c r="F80" s="10">
        <v>45336</v>
      </c>
      <c r="G80" s="9" t="s">
        <v>1013</v>
      </c>
      <c r="I80" s="9" t="s">
        <v>1014</v>
      </c>
      <c r="J80" s="9" t="s">
        <v>1015</v>
      </c>
      <c r="K80" s="8" t="s">
        <v>1006</v>
      </c>
      <c r="L80" s="8" t="s">
        <v>1007</v>
      </c>
      <c r="M80" s="8" t="s">
        <v>2933</v>
      </c>
      <c r="N80" s="8" t="s">
        <v>2937</v>
      </c>
      <c r="O80" s="1" t="s">
        <v>2934</v>
      </c>
      <c r="P80">
        <v>30</v>
      </c>
      <c r="Q80">
        <v>30</v>
      </c>
      <c r="R80">
        <v>0</v>
      </c>
      <c r="S80">
        <f t="shared" si="17"/>
        <v>30</v>
      </c>
      <c r="T80" s="1" t="s">
        <v>2935</v>
      </c>
      <c r="U80" s="1" t="s">
        <v>2932</v>
      </c>
      <c r="V80" s="3">
        <f t="shared" si="18"/>
        <v>40000</v>
      </c>
      <c r="W80" s="3">
        <f t="shared" si="19"/>
        <v>16000</v>
      </c>
      <c r="X80" s="3">
        <f t="shared" si="11"/>
        <v>1250</v>
      </c>
      <c r="Y80" s="3">
        <f t="shared" si="12"/>
        <v>1600</v>
      </c>
      <c r="Z80" s="3">
        <f t="shared" si="13"/>
        <v>1800</v>
      </c>
      <c r="AA80" s="3">
        <v>0</v>
      </c>
      <c r="AB80" s="3">
        <f>ROUND(U80 - (V80+W80+X80+Y80) - (U80/Q80 * 2),0)</f>
        <v>34483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f>SUM(V80+W80+X80+Y80+AB80)</f>
        <v>93333</v>
      </c>
      <c r="AK80" s="3">
        <f>SUM(AJ80-AA80)</f>
        <v>93333</v>
      </c>
      <c r="AL80" s="3">
        <f>IF(V80&lt;=15000,V80*12%,1800)</f>
        <v>1800</v>
      </c>
      <c r="AM80" s="3">
        <v>0</v>
      </c>
      <c r="AN80" s="3">
        <f t="shared" si="14"/>
        <v>1800</v>
      </c>
      <c r="AO80" s="12">
        <v>200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3">
        <f t="shared" si="16"/>
        <v>200</v>
      </c>
      <c r="AV80" s="3">
        <f>SUM(AJ80 - AN80 - AU80)</f>
        <v>91333</v>
      </c>
      <c r="AW80" s="11">
        <v>0</v>
      </c>
      <c r="AX80" s="11">
        <v>0</v>
      </c>
      <c r="AY80" s="11">
        <v>0</v>
      </c>
      <c r="AZ80" s="11">
        <v>0</v>
      </c>
      <c r="BA80" s="3">
        <f t="shared" si="15"/>
        <v>91333</v>
      </c>
    </row>
    <row r="81" spans="1:53" x14ac:dyDescent="0.25">
      <c r="A81" s="1" t="s">
        <v>79</v>
      </c>
      <c r="B81" s="9" t="s">
        <v>1229</v>
      </c>
      <c r="C81" s="9" t="s">
        <v>1063</v>
      </c>
      <c r="D81" s="9" t="s">
        <v>1230</v>
      </c>
      <c r="E81" s="9" t="s">
        <v>1008</v>
      </c>
      <c r="F81" s="10">
        <v>45341</v>
      </c>
      <c r="G81" s="9" t="s">
        <v>1019</v>
      </c>
      <c r="I81" s="9" t="s">
        <v>1014</v>
      </c>
      <c r="J81" s="9" t="s">
        <v>1015</v>
      </c>
      <c r="K81" s="8" t="s">
        <v>1006</v>
      </c>
      <c r="L81" s="8" t="s">
        <v>1007</v>
      </c>
      <c r="M81" s="8" t="s">
        <v>2933</v>
      </c>
      <c r="N81" s="8" t="s">
        <v>2937</v>
      </c>
      <c r="O81" s="1" t="s">
        <v>2934</v>
      </c>
      <c r="P81">
        <v>30</v>
      </c>
      <c r="Q81">
        <v>30</v>
      </c>
      <c r="R81">
        <v>0</v>
      </c>
      <c r="S81">
        <f t="shared" si="17"/>
        <v>30</v>
      </c>
      <c r="T81" s="1" t="s">
        <v>2935</v>
      </c>
      <c r="U81" s="1" t="s">
        <v>2932</v>
      </c>
      <c r="V81" s="3">
        <f t="shared" si="18"/>
        <v>40000</v>
      </c>
      <c r="W81" s="3">
        <f t="shared" si="19"/>
        <v>16000</v>
      </c>
      <c r="X81" s="3">
        <f t="shared" si="11"/>
        <v>1250</v>
      </c>
      <c r="Y81" s="3">
        <f t="shared" si="12"/>
        <v>1600</v>
      </c>
      <c r="Z81" s="3">
        <f t="shared" si="13"/>
        <v>1800</v>
      </c>
      <c r="AA81" s="3">
        <v>0</v>
      </c>
      <c r="AB81" s="3">
        <f>ROUND(U81 - (V81+W81+X81+Y81) - (U81/Q81 * 2),0)</f>
        <v>34483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f>SUM(V81+W81+X81+Y81+AB81)</f>
        <v>93333</v>
      </c>
      <c r="AK81" s="3">
        <f>SUM(AJ81-AA81)</f>
        <v>93333</v>
      </c>
      <c r="AL81" s="3">
        <f>IF(V81&lt;=15000,V81*12%,1800)</f>
        <v>1800</v>
      </c>
      <c r="AM81" s="3">
        <v>0</v>
      </c>
      <c r="AN81" s="3">
        <f t="shared" si="14"/>
        <v>1800</v>
      </c>
      <c r="AO81" s="12">
        <v>200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3">
        <f t="shared" si="16"/>
        <v>200</v>
      </c>
      <c r="AV81" s="3">
        <f>SUM(AJ81 - AN81 - AU81)</f>
        <v>91333</v>
      </c>
      <c r="AW81" s="11">
        <v>0</v>
      </c>
      <c r="AX81" s="11">
        <v>0</v>
      </c>
      <c r="AY81" s="11">
        <v>0</v>
      </c>
      <c r="AZ81" s="11">
        <v>0</v>
      </c>
      <c r="BA81" s="3">
        <f t="shared" si="15"/>
        <v>91333</v>
      </c>
    </row>
    <row r="82" spans="1:53" x14ac:dyDescent="0.25">
      <c r="A82" s="1" t="s">
        <v>80</v>
      </c>
      <c r="B82" s="9" t="s">
        <v>1227</v>
      </c>
      <c r="C82" s="9" t="s">
        <v>1173</v>
      </c>
      <c r="D82" s="9" t="s">
        <v>1228</v>
      </c>
      <c r="E82" s="9" t="s">
        <v>1008</v>
      </c>
      <c r="F82" s="10">
        <v>45331</v>
      </c>
      <c r="G82" s="9" t="s">
        <v>1013</v>
      </c>
      <c r="I82" s="9" t="s">
        <v>1014</v>
      </c>
      <c r="J82" s="9" t="s">
        <v>1171</v>
      </c>
      <c r="K82" s="8" t="s">
        <v>1006</v>
      </c>
      <c r="L82" s="8" t="s">
        <v>1007</v>
      </c>
      <c r="M82" s="8" t="s">
        <v>2933</v>
      </c>
      <c r="N82" s="8" t="s">
        <v>2937</v>
      </c>
      <c r="O82" s="1" t="s">
        <v>2934</v>
      </c>
      <c r="P82">
        <v>30</v>
      </c>
      <c r="Q82">
        <v>30</v>
      </c>
      <c r="R82">
        <v>0</v>
      </c>
      <c r="S82">
        <f t="shared" si="17"/>
        <v>30</v>
      </c>
      <c r="T82" s="1" t="s">
        <v>2935</v>
      </c>
      <c r="U82" s="1" t="s">
        <v>2932</v>
      </c>
      <c r="V82" s="3">
        <f t="shared" si="18"/>
        <v>40000</v>
      </c>
      <c r="W82" s="3">
        <f t="shared" si="19"/>
        <v>16000</v>
      </c>
      <c r="X82" s="3">
        <f t="shared" si="11"/>
        <v>1250</v>
      </c>
      <c r="Y82" s="3">
        <f t="shared" si="12"/>
        <v>1600</v>
      </c>
      <c r="Z82" s="3">
        <f t="shared" si="13"/>
        <v>1800</v>
      </c>
      <c r="AA82" s="3">
        <v>0</v>
      </c>
      <c r="AB82" s="3">
        <f>ROUND(U82 - (V82+W82+X82+Y82) - (U82/Q82 * 2),0)</f>
        <v>34483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f>SUM(V82+W82+X82+Y82+AB82)</f>
        <v>93333</v>
      </c>
      <c r="AK82" s="3">
        <f>SUM(AJ82-AA82)</f>
        <v>93333</v>
      </c>
      <c r="AL82" s="3">
        <f>IF(V82&lt;=15000,V82*12%,1800)</f>
        <v>1800</v>
      </c>
      <c r="AM82" s="3">
        <v>0</v>
      </c>
      <c r="AN82" s="3">
        <f t="shared" si="14"/>
        <v>1800</v>
      </c>
      <c r="AO82" s="12">
        <v>200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3">
        <f t="shared" si="16"/>
        <v>200</v>
      </c>
      <c r="AV82" s="3">
        <f>SUM(AJ82 - AN82 - AU82)</f>
        <v>91333</v>
      </c>
      <c r="AW82" s="11">
        <v>0</v>
      </c>
      <c r="AX82" s="11">
        <v>0</v>
      </c>
      <c r="AY82" s="11">
        <v>0</v>
      </c>
      <c r="AZ82" s="11">
        <v>0</v>
      </c>
      <c r="BA82" s="3">
        <f t="shared" si="15"/>
        <v>91333</v>
      </c>
    </row>
    <row r="83" spans="1:53" x14ac:dyDescent="0.25">
      <c r="A83" s="1" t="s">
        <v>81</v>
      </c>
      <c r="B83" s="9" t="s">
        <v>1225</v>
      </c>
      <c r="C83" s="9" t="s">
        <v>1169</v>
      </c>
      <c r="D83" s="9" t="s">
        <v>1226</v>
      </c>
      <c r="E83" s="9" t="s">
        <v>1012</v>
      </c>
      <c r="F83" s="10">
        <v>45331</v>
      </c>
      <c r="G83" s="9" t="s">
        <v>1019</v>
      </c>
      <c r="I83" s="9" t="s">
        <v>1042</v>
      </c>
      <c r="J83" s="9" t="s">
        <v>1171</v>
      </c>
      <c r="K83" s="8" t="s">
        <v>1006</v>
      </c>
      <c r="L83" s="8" t="s">
        <v>1007</v>
      </c>
      <c r="M83" s="8" t="s">
        <v>2933</v>
      </c>
      <c r="N83" s="8" t="s">
        <v>2937</v>
      </c>
      <c r="O83" s="1" t="s">
        <v>2934</v>
      </c>
      <c r="P83">
        <v>30</v>
      </c>
      <c r="Q83">
        <v>30</v>
      </c>
      <c r="R83">
        <v>0</v>
      </c>
      <c r="S83">
        <f t="shared" si="17"/>
        <v>30</v>
      </c>
      <c r="T83" s="1" t="s">
        <v>2935</v>
      </c>
      <c r="U83" s="1" t="s">
        <v>2932</v>
      </c>
      <c r="V83" s="3">
        <f t="shared" si="18"/>
        <v>40000</v>
      </c>
      <c r="W83" s="3">
        <f t="shared" si="19"/>
        <v>16000</v>
      </c>
      <c r="X83" s="3">
        <f t="shared" si="11"/>
        <v>1250</v>
      </c>
      <c r="Y83" s="3">
        <f t="shared" si="12"/>
        <v>1600</v>
      </c>
      <c r="Z83" s="3">
        <f t="shared" si="13"/>
        <v>1800</v>
      </c>
      <c r="AA83" s="3">
        <v>0</v>
      </c>
      <c r="AB83" s="3">
        <f>ROUND(U83 - (V83+W83+X83+Y83) - (U83/Q83 * 2),0)</f>
        <v>34483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f>SUM(V83+W83+X83+Y83+AB83)</f>
        <v>93333</v>
      </c>
      <c r="AK83" s="3">
        <f>SUM(AJ83-AA83)</f>
        <v>93333</v>
      </c>
      <c r="AL83" s="3">
        <f>IF(V83&lt;=15000,V83*12%,1800)</f>
        <v>1800</v>
      </c>
      <c r="AM83" s="3">
        <v>0</v>
      </c>
      <c r="AN83" s="3">
        <f t="shared" si="14"/>
        <v>1800</v>
      </c>
      <c r="AO83" s="12">
        <v>200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3">
        <f t="shared" si="16"/>
        <v>200</v>
      </c>
      <c r="AV83" s="3">
        <f>SUM(AJ83 - AN83 - AU83)</f>
        <v>91333</v>
      </c>
      <c r="AW83" s="11">
        <v>0</v>
      </c>
      <c r="AX83" s="11">
        <v>0</v>
      </c>
      <c r="AY83" s="11">
        <v>0</v>
      </c>
      <c r="AZ83" s="11">
        <v>0</v>
      </c>
      <c r="BA83" s="3">
        <f t="shared" si="15"/>
        <v>91333</v>
      </c>
    </row>
    <row r="84" spans="1:53" x14ac:dyDescent="0.25">
      <c r="A84" s="1" t="s">
        <v>82</v>
      </c>
      <c r="B84" s="9" t="s">
        <v>1223</v>
      </c>
      <c r="C84" s="9" t="s">
        <v>1173</v>
      </c>
      <c r="D84" s="9" t="s">
        <v>1224</v>
      </c>
      <c r="E84" s="9" t="s">
        <v>1008</v>
      </c>
      <c r="F84" s="10">
        <v>45331</v>
      </c>
      <c r="G84" s="9" t="s">
        <v>1019</v>
      </c>
      <c r="I84" s="9" t="s">
        <v>1014</v>
      </c>
      <c r="J84" s="9" t="s">
        <v>1171</v>
      </c>
      <c r="K84" s="8" t="s">
        <v>1006</v>
      </c>
      <c r="L84" s="8" t="s">
        <v>1007</v>
      </c>
      <c r="M84" s="8" t="s">
        <v>2933</v>
      </c>
      <c r="N84" s="8" t="s">
        <v>2937</v>
      </c>
      <c r="O84" s="1" t="s">
        <v>2934</v>
      </c>
      <c r="P84">
        <v>30</v>
      </c>
      <c r="Q84">
        <v>30</v>
      </c>
      <c r="R84">
        <v>0</v>
      </c>
      <c r="S84">
        <f t="shared" si="17"/>
        <v>30</v>
      </c>
      <c r="T84" s="1" t="s">
        <v>2935</v>
      </c>
      <c r="U84" s="1" t="s">
        <v>2932</v>
      </c>
      <c r="V84" s="3">
        <f t="shared" si="18"/>
        <v>40000</v>
      </c>
      <c r="W84" s="3">
        <f t="shared" si="19"/>
        <v>16000</v>
      </c>
      <c r="X84" s="3">
        <f t="shared" si="11"/>
        <v>1250</v>
      </c>
      <c r="Y84" s="3">
        <f t="shared" si="12"/>
        <v>1600</v>
      </c>
      <c r="Z84" s="3">
        <f t="shared" si="13"/>
        <v>1800</v>
      </c>
      <c r="AA84" s="3">
        <v>0</v>
      </c>
      <c r="AB84" s="3">
        <f>ROUND(U84 - (V84+W84+X84+Y84) - (U84/Q84 * 2),0)</f>
        <v>34483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f>SUM(V84+W84+X84+Y84+AB84)</f>
        <v>93333</v>
      </c>
      <c r="AK84" s="3">
        <f>SUM(AJ84-AA84)</f>
        <v>93333</v>
      </c>
      <c r="AL84" s="3">
        <f>IF(V84&lt;=15000,V84*12%,1800)</f>
        <v>1800</v>
      </c>
      <c r="AM84" s="3">
        <v>0</v>
      </c>
      <c r="AN84" s="3">
        <f t="shared" si="14"/>
        <v>1800</v>
      </c>
      <c r="AO84" s="12">
        <v>200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3">
        <f t="shared" si="16"/>
        <v>200</v>
      </c>
      <c r="AV84" s="3">
        <f>SUM(AJ84 - AN84 - AU84)</f>
        <v>91333</v>
      </c>
      <c r="AW84" s="11">
        <v>0</v>
      </c>
      <c r="AX84" s="11">
        <v>0</v>
      </c>
      <c r="AY84" s="11">
        <v>0</v>
      </c>
      <c r="AZ84" s="11">
        <v>0</v>
      </c>
      <c r="BA84" s="3">
        <f t="shared" si="15"/>
        <v>91333</v>
      </c>
    </row>
    <row r="85" spans="1:53" x14ac:dyDescent="0.25">
      <c r="A85" s="1" t="s">
        <v>83</v>
      </c>
      <c r="B85" s="9" t="s">
        <v>1221</v>
      </c>
      <c r="C85" s="9" t="s">
        <v>1063</v>
      </c>
      <c r="D85" s="9" t="s">
        <v>1222</v>
      </c>
      <c r="E85" s="9" t="s">
        <v>1012</v>
      </c>
      <c r="F85" s="10">
        <v>45343</v>
      </c>
      <c r="G85" s="9" t="s">
        <v>1013</v>
      </c>
      <c r="I85" s="9" t="s">
        <v>1014</v>
      </c>
      <c r="J85" s="9" t="s">
        <v>1015</v>
      </c>
      <c r="K85" s="8" t="s">
        <v>1006</v>
      </c>
      <c r="L85" s="8" t="s">
        <v>1007</v>
      </c>
      <c r="M85" s="8" t="s">
        <v>2933</v>
      </c>
      <c r="N85" s="8" t="s">
        <v>2937</v>
      </c>
      <c r="O85" s="1" t="s">
        <v>2934</v>
      </c>
      <c r="P85">
        <v>30</v>
      </c>
      <c r="Q85">
        <v>30</v>
      </c>
      <c r="R85">
        <v>0</v>
      </c>
      <c r="S85">
        <f t="shared" si="17"/>
        <v>30</v>
      </c>
      <c r="T85" s="1" t="s">
        <v>2935</v>
      </c>
      <c r="U85" s="1" t="s">
        <v>2932</v>
      </c>
      <c r="V85" s="3">
        <f t="shared" si="18"/>
        <v>40000</v>
      </c>
      <c r="W85" s="3">
        <f t="shared" si="19"/>
        <v>16000</v>
      </c>
      <c r="X85" s="3">
        <f t="shared" si="11"/>
        <v>1250</v>
      </c>
      <c r="Y85" s="3">
        <f t="shared" si="12"/>
        <v>1600</v>
      </c>
      <c r="Z85" s="3">
        <f t="shared" si="13"/>
        <v>1800</v>
      </c>
      <c r="AA85" s="3">
        <v>0</v>
      </c>
      <c r="AB85" s="3">
        <f>ROUND(U85 - (V85+W85+X85+Y85) - (U85/Q85 * 2),0)</f>
        <v>34483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f>SUM(V85+W85+X85+Y85+AB85)</f>
        <v>93333</v>
      </c>
      <c r="AK85" s="3">
        <f>SUM(AJ85-AA85)</f>
        <v>93333</v>
      </c>
      <c r="AL85" s="3">
        <f>IF(V85&lt;=15000,V85*12%,1800)</f>
        <v>1800</v>
      </c>
      <c r="AM85" s="3">
        <v>0</v>
      </c>
      <c r="AN85" s="3">
        <f t="shared" si="14"/>
        <v>1800</v>
      </c>
      <c r="AO85" s="12">
        <v>200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3">
        <f t="shared" si="16"/>
        <v>200</v>
      </c>
      <c r="AV85" s="3">
        <f>SUM(AJ85 - AN85 - AU85)</f>
        <v>91333</v>
      </c>
      <c r="AW85" s="11">
        <v>0</v>
      </c>
      <c r="AX85" s="11">
        <v>0</v>
      </c>
      <c r="AY85" s="11">
        <v>0</v>
      </c>
      <c r="AZ85" s="11">
        <v>0</v>
      </c>
      <c r="BA85" s="3">
        <f t="shared" si="15"/>
        <v>91333</v>
      </c>
    </row>
    <row r="86" spans="1:53" x14ac:dyDescent="0.25">
      <c r="A86" s="1" t="s">
        <v>84</v>
      </c>
      <c r="B86" s="9" t="s">
        <v>1219</v>
      </c>
      <c r="C86" s="9" t="s">
        <v>1063</v>
      </c>
      <c r="D86" s="9" t="s">
        <v>1220</v>
      </c>
      <c r="E86" s="9" t="s">
        <v>1012</v>
      </c>
      <c r="F86" s="10">
        <v>45348</v>
      </c>
      <c r="G86" s="9" t="s">
        <v>1013</v>
      </c>
      <c r="I86" s="9" t="s">
        <v>1014</v>
      </c>
      <c r="J86" s="9" t="s">
        <v>1015</v>
      </c>
      <c r="K86" s="8" t="s">
        <v>1006</v>
      </c>
      <c r="L86" s="8" t="s">
        <v>1007</v>
      </c>
      <c r="M86" s="8" t="s">
        <v>2933</v>
      </c>
      <c r="N86" s="8" t="s">
        <v>2937</v>
      </c>
      <c r="O86" s="1" t="s">
        <v>2934</v>
      </c>
      <c r="P86">
        <v>30</v>
      </c>
      <c r="Q86">
        <v>30</v>
      </c>
      <c r="R86">
        <v>0</v>
      </c>
      <c r="S86">
        <f t="shared" si="17"/>
        <v>30</v>
      </c>
      <c r="T86" s="1" t="s">
        <v>2935</v>
      </c>
      <c r="U86" s="1" t="s">
        <v>2932</v>
      </c>
      <c r="V86" s="3">
        <f t="shared" si="18"/>
        <v>40000</v>
      </c>
      <c r="W86" s="3">
        <f t="shared" si="19"/>
        <v>16000</v>
      </c>
      <c r="X86" s="3">
        <f t="shared" si="11"/>
        <v>1250</v>
      </c>
      <c r="Y86" s="3">
        <f t="shared" si="12"/>
        <v>1600</v>
      </c>
      <c r="Z86" s="3">
        <f t="shared" si="13"/>
        <v>1800</v>
      </c>
      <c r="AA86" s="3">
        <v>0</v>
      </c>
      <c r="AB86" s="3">
        <f>ROUND(U86 - (V86+W86+X86+Y86) - (U86/Q86 * 2),0)</f>
        <v>34483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f>SUM(V86+W86+X86+Y86+AB86)</f>
        <v>93333</v>
      </c>
      <c r="AK86" s="3">
        <f>SUM(AJ86-AA86)</f>
        <v>93333</v>
      </c>
      <c r="AL86" s="3">
        <f>IF(V86&lt;=15000,V86*12%,1800)</f>
        <v>1800</v>
      </c>
      <c r="AM86" s="3">
        <v>0</v>
      </c>
      <c r="AN86" s="3">
        <f t="shared" si="14"/>
        <v>1800</v>
      </c>
      <c r="AO86" s="12">
        <v>200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3">
        <f t="shared" si="16"/>
        <v>200</v>
      </c>
      <c r="AV86" s="3">
        <f>SUM(AJ86 - AN86 - AU86)</f>
        <v>91333</v>
      </c>
      <c r="AW86" s="11">
        <v>0</v>
      </c>
      <c r="AX86" s="11">
        <v>0</v>
      </c>
      <c r="AY86" s="11">
        <v>0</v>
      </c>
      <c r="AZ86" s="11">
        <v>0</v>
      </c>
      <c r="BA86" s="3">
        <f t="shared" si="15"/>
        <v>91333</v>
      </c>
    </row>
    <row r="87" spans="1:53" x14ac:dyDescent="0.25">
      <c r="A87" s="1" t="s">
        <v>85</v>
      </c>
      <c r="B87" s="9" t="s">
        <v>1217</v>
      </c>
      <c r="C87" s="9" t="s">
        <v>1216</v>
      </c>
      <c r="D87" s="9" t="s">
        <v>1218</v>
      </c>
      <c r="E87" s="9" t="s">
        <v>1012</v>
      </c>
      <c r="F87" s="10">
        <v>45351</v>
      </c>
      <c r="G87" s="9" t="s">
        <v>1019</v>
      </c>
      <c r="I87" s="9" t="s">
        <v>1020</v>
      </c>
      <c r="J87" s="9" t="s">
        <v>1021</v>
      </c>
      <c r="K87" s="8" t="s">
        <v>1006</v>
      </c>
      <c r="L87" s="8" t="s">
        <v>1007</v>
      </c>
      <c r="M87" s="8" t="s">
        <v>2933</v>
      </c>
      <c r="N87" s="8" t="s">
        <v>2937</v>
      </c>
      <c r="O87" s="1" t="s">
        <v>2934</v>
      </c>
      <c r="P87">
        <v>30</v>
      </c>
      <c r="Q87">
        <v>30</v>
      </c>
      <c r="R87">
        <v>0</v>
      </c>
      <c r="S87">
        <f t="shared" si="17"/>
        <v>30</v>
      </c>
      <c r="T87" s="1" t="s">
        <v>2935</v>
      </c>
      <c r="U87" s="1" t="s">
        <v>2932</v>
      </c>
      <c r="V87" s="3">
        <f t="shared" si="18"/>
        <v>40000</v>
      </c>
      <c r="W87" s="3">
        <f t="shared" si="19"/>
        <v>16000</v>
      </c>
      <c r="X87" s="3">
        <f t="shared" si="11"/>
        <v>1250</v>
      </c>
      <c r="Y87" s="3">
        <f t="shared" si="12"/>
        <v>1600</v>
      </c>
      <c r="Z87" s="3">
        <f t="shared" si="13"/>
        <v>1800</v>
      </c>
      <c r="AA87" s="3">
        <v>0</v>
      </c>
      <c r="AB87" s="3">
        <f>ROUND(U87 - (V87+W87+X87+Y87) - (U87/Q87 * 2),0)</f>
        <v>34483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f>SUM(V87+W87+X87+Y87+AB87)</f>
        <v>93333</v>
      </c>
      <c r="AK87" s="3">
        <f>SUM(AJ87-AA87)</f>
        <v>93333</v>
      </c>
      <c r="AL87" s="3">
        <f>IF(V87&lt;=15000,V87*12%,1800)</f>
        <v>1800</v>
      </c>
      <c r="AM87" s="3">
        <v>0</v>
      </c>
      <c r="AN87" s="3">
        <f t="shared" si="14"/>
        <v>1800</v>
      </c>
      <c r="AO87" s="12">
        <v>200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3">
        <f t="shared" si="16"/>
        <v>200</v>
      </c>
      <c r="AV87" s="3">
        <f>SUM(AJ87 - AN87 - AU87)</f>
        <v>91333</v>
      </c>
      <c r="AW87" s="11">
        <v>0</v>
      </c>
      <c r="AX87" s="11">
        <v>0</v>
      </c>
      <c r="AY87" s="11">
        <v>0</v>
      </c>
      <c r="AZ87" s="11">
        <v>0</v>
      </c>
      <c r="BA87" s="3">
        <f t="shared" si="15"/>
        <v>91333</v>
      </c>
    </row>
    <row r="88" spans="1:53" x14ac:dyDescent="0.25">
      <c r="A88" s="1" t="s">
        <v>86</v>
      </c>
      <c r="B88" s="9" t="s">
        <v>1215</v>
      </c>
      <c r="C88" s="9" t="s">
        <v>1216</v>
      </c>
      <c r="D88" s="9">
        <v>0</v>
      </c>
      <c r="E88" s="9" t="s">
        <v>1012</v>
      </c>
      <c r="F88" s="10">
        <v>44378</v>
      </c>
      <c r="G88" s="9" t="s">
        <v>1019</v>
      </c>
      <c r="I88" s="9" t="s">
        <v>1035</v>
      </c>
      <c r="J88" s="9" t="s">
        <v>1021</v>
      </c>
      <c r="K88" s="8" t="s">
        <v>1006</v>
      </c>
      <c r="L88" s="8" t="s">
        <v>1007</v>
      </c>
      <c r="M88" s="8" t="s">
        <v>2933</v>
      </c>
      <c r="N88" s="8" t="s">
        <v>2937</v>
      </c>
      <c r="O88" s="1" t="s">
        <v>2934</v>
      </c>
      <c r="P88">
        <v>30</v>
      </c>
      <c r="Q88">
        <v>30</v>
      </c>
      <c r="R88">
        <v>0</v>
      </c>
      <c r="S88">
        <f t="shared" si="17"/>
        <v>30</v>
      </c>
      <c r="T88" s="1" t="s">
        <v>2935</v>
      </c>
      <c r="U88" s="1" t="s">
        <v>2932</v>
      </c>
      <c r="V88" s="3">
        <f t="shared" si="18"/>
        <v>40000</v>
      </c>
      <c r="W88" s="3">
        <f t="shared" si="19"/>
        <v>16000</v>
      </c>
      <c r="X88" s="3">
        <f t="shared" si="11"/>
        <v>1250</v>
      </c>
      <c r="Y88" s="3">
        <f t="shared" si="12"/>
        <v>1600</v>
      </c>
      <c r="Z88" s="3">
        <f t="shared" si="13"/>
        <v>1800</v>
      </c>
      <c r="AA88" s="3">
        <v>0</v>
      </c>
      <c r="AB88" s="3">
        <f>ROUND(U88 - (V88+W88+X88+Y88) - (U88/Q88 * 2),0)</f>
        <v>34483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f>SUM(V88+W88+X88+Y88+AB88)</f>
        <v>93333</v>
      </c>
      <c r="AK88" s="3">
        <f>SUM(AJ88-AA88)</f>
        <v>93333</v>
      </c>
      <c r="AL88" s="3">
        <f>IF(V88&lt;=15000,V88*12%,1800)</f>
        <v>1800</v>
      </c>
      <c r="AM88" s="3">
        <v>0</v>
      </c>
      <c r="AN88" s="3">
        <f t="shared" si="14"/>
        <v>1800</v>
      </c>
      <c r="AO88" s="12">
        <v>200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3">
        <f t="shared" si="16"/>
        <v>200</v>
      </c>
      <c r="AV88" s="3">
        <f>SUM(AJ88 - AN88 - AU88)</f>
        <v>91333</v>
      </c>
      <c r="AW88" s="11">
        <v>0</v>
      </c>
      <c r="AX88" s="11">
        <v>0</v>
      </c>
      <c r="AY88" s="11">
        <v>0</v>
      </c>
      <c r="AZ88" s="11">
        <v>0</v>
      </c>
      <c r="BA88" s="3">
        <f t="shared" si="15"/>
        <v>91333</v>
      </c>
    </row>
    <row r="89" spans="1:53" x14ac:dyDescent="0.25">
      <c r="A89" s="1" t="s">
        <v>87</v>
      </c>
      <c r="B89" s="9" t="s">
        <v>1213</v>
      </c>
      <c r="C89" s="9" t="s">
        <v>1115</v>
      </c>
      <c r="D89" s="9" t="s">
        <v>1214</v>
      </c>
      <c r="E89" s="9" t="s">
        <v>1012</v>
      </c>
      <c r="F89" s="10">
        <v>43971</v>
      </c>
      <c r="G89" s="9" t="s">
        <v>1019</v>
      </c>
      <c r="I89" s="9" t="s">
        <v>1035</v>
      </c>
      <c r="J89" s="9" t="s">
        <v>1048</v>
      </c>
      <c r="K89" s="8" t="s">
        <v>1006</v>
      </c>
      <c r="L89" s="8" t="s">
        <v>1007</v>
      </c>
      <c r="M89" s="8" t="s">
        <v>2933</v>
      </c>
      <c r="N89" s="8" t="s">
        <v>2937</v>
      </c>
      <c r="O89" s="1" t="s">
        <v>2934</v>
      </c>
      <c r="P89">
        <v>30</v>
      </c>
      <c r="Q89">
        <v>30</v>
      </c>
      <c r="R89">
        <v>0</v>
      </c>
      <c r="S89">
        <f t="shared" si="17"/>
        <v>30</v>
      </c>
      <c r="T89" s="1" t="s">
        <v>2935</v>
      </c>
      <c r="U89" s="1" t="s">
        <v>2932</v>
      </c>
      <c r="V89" s="3">
        <f t="shared" si="18"/>
        <v>40000</v>
      </c>
      <c r="W89" s="3">
        <f t="shared" si="19"/>
        <v>16000</v>
      </c>
      <c r="X89" s="3">
        <f t="shared" si="11"/>
        <v>1250</v>
      </c>
      <c r="Y89" s="3">
        <f t="shared" si="12"/>
        <v>1600</v>
      </c>
      <c r="Z89" s="3">
        <f t="shared" si="13"/>
        <v>1800</v>
      </c>
      <c r="AA89" s="3">
        <v>0</v>
      </c>
      <c r="AB89" s="3">
        <f>ROUND(U89 - (V89+W89+X89+Y89) - (U89/Q89 * 2),0)</f>
        <v>34483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f>SUM(V89+W89+X89+Y89+AB89)</f>
        <v>93333</v>
      </c>
      <c r="AK89" s="3">
        <f>SUM(AJ89-AA89)</f>
        <v>93333</v>
      </c>
      <c r="AL89" s="3">
        <f>IF(V89&lt;=15000,V89*12%,1800)</f>
        <v>1800</v>
      </c>
      <c r="AM89" s="3">
        <v>0</v>
      </c>
      <c r="AN89" s="3">
        <f t="shared" si="14"/>
        <v>1800</v>
      </c>
      <c r="AO89" s="12">
        <v>200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3">
        <f t="shared" si="16"/>
        <v>200</v>
      </c>
      <c r="AV89" s="3">
        <f>SUM(AJ89 - AN89 - AU89)</f>
        <v>91333</v>
      </c>
      <c r="AW89" s="11">
        <v>0</v>
      </c>
      <c r="AX89" s="11">
        <v>0</v>
      </c>
      <c r="AY89" s="11">
        <v>0</v>
      </c>
      <c r="AZ89" s="11">
        <v>0</v>
      </c>
      <c r="BA89" s="3">
        <f t="shared" si="15"/>
        <v>91333</v>
      </c>
    </row>
    <row r="90" spans="1:53" x14ac:dyDescent="0.25">
      <c r="A90" s="1" t="s">
        <v>88</v>
      </c>
      <c r="B90" s="9" t="s">
        <v>1210</v>
      </c>
      <c r="C90" s="9" t="s">
        <v>1211</v>
      </c>
      <c r="D90" s="9" t="s">
        <v>1212</v>
      </c>
      <c r="E90" s="9" t="s">
        <v>1012</v>
      </c>
      <c r="F90" s="10">
        <v>44006</v>
      </c>
      <c r="G90" s="9" t="s">
        <v>1019</v>
      </c>
      <c r="I90" s="9" t="s">
        <v>1035</v>
      </c>
      <c r="J90" s="9" t="s">
        <v>1048</v>
      </c>
      <c r="K90" s="8" t="s">
        <v>1006</v>
      </c>
      <c r="L90" s="8" t="s">
        <v>1007</v>
      </c>
      <c r="M90" s="8" t="s">
        <v>2933</v>
      </c>
      <c r="N90" s="8" t="s">
        <v>2937</v>
      </c>
      <c r="O90" s="1" t="s">
        <v>2934</v>
      </c>
      <c r="P90">
        <v>30</v>
      </c>
      <c r="Q90">
        <v>30</v>
      </c>
      <c r="R90">
        <v>0</v>
      </c>
      <c r="S90">
        <f t="shared" si="17"/>
        <v>30</v>
      </c>
      <c r="T90" s="1" t="s">
        <v>2935</v>
      </c>
      <c r="U90" s="1" t="s">
        <v>2932</v>
      </c>
      <c r="V90" s="3">
        <f t="shared" si="18"/>
        <v>40000</v>
      </c>
      <c r="W90" s="3">
        <f t="shared" si="19"/>
        <v>16000</v>
      </c>
      <c r="X90" s="3">
        <f t="shared" si="11"/>
        <v>1250</v>
      </c>
      <c r="Y90" s="3">
        <f t="shared" si="12"/>
        <v>1600</v>
      </c>
      <c r="Z90" s="3">
        <f t="shared" si="13"/>
        <v>1800</v>
      </c>
      <c r="AA90" s="3">
        <v>0</v>
      </c>
      <c r="AB90" s="3">
        <f>ROUND(U90 - (V90+W90+X90+Y90) - (U90/Q90 * 2),0)</f>
        <v>34483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f>SUM(V90+W90+X90+Y90+AB90)</f>
        <v>93333</v>
      </c>
      <c r="AK90" s="3">
        <f>SUM(AJ90-AA90)</f>
        <v>93333</v>
      </c>
      <c r="AL90" s="3">
        <f>IF(V90&lt;=15000,V90*12%,1800)</f>
        <v>1800</v>
      </c>
      <c r="AM90" s="3">
        <v>0</v>
      </c>
      <c r="AN90" s="3">
        <f t="shared" si="14"/>
        <v>1800</v>
      </c>
      <c r="AO90" s="12">
        <v>200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3">
        <f t="shared" si="16"/>
        <v>200</v>
      </c>
      <c r="AV90" s="3">
        <f>SUM(AJ90 - AN90 - AU90)</f>
        <v>91333</v>
      </c>
      <c r="AW90" s="11">
        <v>0</v>
      </c>
      <c r="AX90" s="11">
        <v>0</v>
      </c>
      <c r="AY90" s="11">
        <v>0</v>
      </c>
      <c r="AZ90" s="11">
        <v>0</v>
      </c>
      <c r="BA90" s="3">
        <f t="shared" si="15"/>
        <v>91333</v>
      </c>
    </row>
    <row r="91" spans="1:53" x14ac:dyDescent="0.25">
      <c r="A91" s="1" t="s">
        <v>89</v>
      </c>
      <c r="B91" s="9" t="s">
        <v>1207</v>
      </c>
      <c r="C91" s="9" t="s">
        <v>1115</v>
      </c>
      <c r="D91" s="9" t="s">
        <v>1208</v>
      </c>
      <c r="E91" s="9" t="s">
        <v>1012</v>
      </c>
      <c r="F91" s="10">
        <v>44158</v>
      </c>
      <c r="G91" s="9" t="s">
        <v>1013</v>
      </c>
      <c r="I91" s="9" t="s">
        <v>1209</v>
      </c>
      <c r="J91" s="9" t="s">
        <v>1048</v>
      </c>
      <c r="K91" s="8" t="s">
        <v>1006</v>
      </c>
      <c r="L91" s="8" t="s">
        <v>1007</v>
      </c>
      <c r="M91" s="8" t="s">
        <v>2933</v>
      </c>
      <c r="N91" s="8" t="s">
        <v>2937</v>
      </c>
      <c r="O91" s="1" t="s">
        <v>2934</v>
      </c>
      <c r="P91">
        <v>30</v>
      </c>
      <c r="Q91">
        <v>30</v>
      </c>
      <c r="R91">
        <v>0</v>
      </c>
      <c r="S91">
        <f t="shared" si="17"/>
        <v>30</v>
      </c>
      <c r="T91" s="1" t="s">
        <v>2935</v>
      </c>
      <c r="U91" s="1" t="s">
        <v>2932</v>
      </c>
      <c r="V91" s="3">
        <f t="shared" si="18"/>
        <v>40000</v>
      </c>
      <c r="W91" s="3">
        <f t="shared" si="19"/>
        <v>16000</v>
      </c>
      <c r="X91" s="3">
        <f t="shared" si="11"/>
        <v>1250</v>
      </c>
      <c r="Y91" s="3">
        <f t="shared" si="12"/>
        <v>1600</v>
      </c>
      <c r="Z91" s="3">
        <f t="shared" si="13"/>
        <v>1800</v>
      </c>
      <c r="AA91" s="3">
        <v>0</v>
      </c>
      <c r="AB91" s="3">
        <f>ROUND(U91 - (V91+W91+X91+Y91) - (U91/Q91 * 2),0)</f>
        <v>34483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f>SUM(V91+W91+X91+Y91+AB91)</f>
        <v>93333</v>
      </c>
      <c r="AK91" s="3">
        <f>SUM(AJ91-AA91)</f>
        <v>93333</v>
      </c>
      <c r="AL91" s="3">
        <f>IF(V91&lt;=15000,V91*12%,1800)</f>
        <v>1800</v>
      </c>
      <c r="AM91" s="3">
        <v>0</v>
      </c>
      <c r="AN91" s="3">
        <f t="shared" si="14"/>
        <v>1800</v>
      </c>
      <c r="AO91" s="12">
        <v>200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3">
        <f t="shared" si="16"/>
        <v>200</v>
      </c>
      <c r="AV91" s="3">
        <f>SUM(AJ91 - AN91 - AU91)</f>
        <v>91333</v>
      </c>
      <c r="AW91" s="11">
        <v>0</v>
      </c>
      <c r="AX91" s="11">
        <v>0</v>
      </c>
      <c r="AY91" s="11">
        <v>0</v>
      </c>
      <c r="AZ91" s="11">
        <v>0</v>
      </c>
      <c r="BA91" s="3">
        <f t="shared" si="15"/>
        <v>91333</v>
      </c>
    </row>
    <row r="92" spans="1:53" x14ac:dyDescent="0.25">
      <c r="A92" s="1" t="s">
        <v>90</v>
      </c>
      <c r="B92" s="9" t="s">
        <v>1205</v>
      </c>
      <c r="C92" s="9" t="s">
        <v>1115</v>
      </c>
      <c r="D92" s="9" t="s">
        <v>1206</v>
      </c>
      <c r="E92" s="9" t="s">
        <v>1012</v>
      </c>
      <c r="F92" s="10">
        <v>44312</v>
      </c>
      <c r="G92" s="9" t="s">
        <v>1013</v>
      </c>
      <c r="I92" s="9" t="s">
        <v>1035</v>
      </c>
      <c r="J92" s="9" t="s">
        <v>1048</v>
      </c>
      <c r="K92" s="8" t="s">
        <v>1006</v>
      </c>
      <c r="L92" s="8" t="s">
        <v>1007</v>
      </c>
      <c r="M92" s="8" t="s">
        <v>2933</v>
      </c>
      <c r="N92" s="8" t="s">
        <v>2937</v>
      </c>
      <c r="O92" s="1" t="s">
        <v>2934</v>
      </c>
      <c r="P92">
        <v>30</v>
      </c>
      <c r="Q92">
        <v>30</v>
      </c>
      <c r="R92">
        <v>0</v>
      </c>
      <c r="S92">
        <f t="shared" si="17"/>
        <v>30</v>
      </c>
      <c r="T92" s="1" t="s">
        <v>2935</v>
      </c>
      <c r="U92" s="1" t="s">
        <v>2932</v>
      </c>
      <c r="V92" s="3">
        <f t="shared" si="18"/>
        <v>40000</v>
      </c>
      <c r="W92" s="3">
        <f t="shared" si="19"/>
        <v>16000</v>
      </c>
      <c r="X92" s="3">
        <f t="shared" si="11"/>
        <v>1250</v>
      </c>
      <c r="Y92" s="3">
        <f t="shared" si="12"/>
        <v>1600</v>
      </c>
      <c r="Z92" s="3">
        <f t="shared" si="13"/>
        <v>1800</v>
      </c>
      <c r="AA92" s="3">
        <v>0</v>
      </c>
      <c r="AB92" s="3">
        <f>ROUND(U92 - (V92+W92+X92+Y92) - (U92/Q92 * 2),0)</f>
        <v>34483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f>SUM(V92+W92+X92+Y92+AB92)</f>
        <v>93333</v>
      </c>
      <c r="AK92" s="3">
        <f>SUM(AJ92-AA92)</f>
        <v>93333</v>
      </c>
      <c r="AL92" s="3">
        <f>IF(V92&lt;=15000,V92*12%,1800)</f>
        <v>1800</v>
      </c>
      <c r="AM92" s="3">
        <v>0</v>
      </c>
      <c r="AN92" s="3">
        <f t="shared" si="14"/>
        <v>1800</v>
      </c>
      <c r="AO92" s="12">
        <v>200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3">
        <f t="shared" si="16"/>
        <v>200</v>
      </c>
      <c r="AV92" s="3">
        <f>SUM(AJ92 - AN92 - AU92)</f>
        <v>91333</v>
      </c>
      <c r="AW92" s="11">
        <v>0</v>
      </c>
      <c r="AX92" s="11">
        <v>0</v>
      </c>
      <c r="AY92" s="11">
        <v>0</v>
      </c>
      <c r="AZ92" s="11">
        <v>0</v>
      </c>
      <c r="BA92" s="3">
        <f t="shared" si="15"/>
        <v>91333</v>
      </c>
    </row>
    <row r="93" spans="1:53" x14ac:dyDescent="0.25">
      <c r="A93" s="1" t="s">
        <v>91</v>
      </c>
      <c r="B93" s="9" t="s">
        <v>1203</v>
      </c>
      <c r="C93" s="9" t="s">
        <v>1115</v>
      </c>
      <c r="D93" s="9" t="s">
        <v>1204</v>
      </c>
      <c r="E93" s="9" t="s">
        <v>1012</v>
      </c>
      <c r="F93" s="10">
        <v>44158</v>
      </c>
      <c r="G93" s="9" t="s">
        <v>1019</v>
      </c>
      <c r="I93" s="9" t="s">
        <v>1042</v>
      </c>
      <c r="J93" s="9" t="s">
        <v>1048</v>
      </c>
      <c r="K93" s="8" t="s">
        <v>1006</v>
      </c>
      <c r="L93" s="8" t="s">
        <v>1007</v>
      </c>
      <c r="M93" s="8" t="s">
        <v>2933</v>
      </c>
      <c r="N93" s="8" t="s">
        <v>2937</v>
      </c>
      <c r="O93" s="1" t="s">
        <v>2934</v>
      </c>
      <c r="P93">
        <v>30</v>
      </c>
      <c r="Q93">
        <v>30</v>
      </c>
      <c r="R93">
        <v>0</v>
      </c>
      <c r="S93">
        <f t="shared" si="17"/>
        <v>30</v>
      </c>
      <c r="T93" s="1" t="s">
        <v>2935</v>
      </c>
      <c r="U93" s="1" t="s">
        <v>2932</v>
      </c>
      <c r="V93" s="3">
        <f t="shared" si="18"/>
        <v>40000</v>
      </c>
      <c r="W93" s="3">
        <f t="shared" si="19"/>
        <v>16000</v>
      </c>
      <c r="X93" s="3">
        <f t="shared" si="11"/>
        <v>1250</v>
      </c>
      <c r="Y93" s="3">
        <f t="shared" si="12"/>
        <v>1600</v>
      </c>
      <c r="Z93" s="3">
        <f t="shared" si="13"/>
        <v>1800</v>
      </c>
      <c r="AA93" s="3">
        <v>0</v>
      </c>
      <c r="AB93" s="3">
        <f>ROUND(U93 - (V93+W93+X93+Y93) - (U93/Q93 * 2),0)</f>
        <v>34483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f>SUM(V93+W93+X93+Y93+AB93)</f>
        <v>93333</v>
      </c>
      <c r="AK93" s="3">
        <f>SUM(AJ93-AA93)</f>
        <v>93333</v>
      </c>
      <c r="AL93" s="3">
        <f>IF(V93&lt;=15000,V93*12%,1800)</f>
        <v>1800</v>
      </c>
      <c r="AM93" s="3">
        <v>0</v>
      </c>
      <c r="AN93" s="3">
        <f t="shared" si="14"/>
        <v>1800</v>
      </c>
      <c r="AO93" s="12">
        <v>200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3">
        <f t="shared" si="16"/>
        <v>200</v>
      </c>
      <c r="AV93" s="3">
        <f>SUM(AJ93 - AN93 - AU93)</f>
        <v>91333</v>
      </c>
      <c r="AW93" s="11">
        <v>0</v>
      </c>
      <c r="AX93" s="11">
        <v>0</v>
      </c>
      <c r="AY93" s="11">
        <v>0</v>
      </c>
      <c r="AZ93" s="11">
        <v>0</v>
      </c>
      <c r="BA93" s="3">
        <f t="shared" si="15"/>
        <v>91333</v>
      </c>
    </row>
    <row r="94" spans="1:53" x14ac:dyDescent="0.25">
      <c r="A94" s="1" t="s">
        <v>92</v>
      </c>
      <c r="B94" s="9" t="s">
        <v>1201</v>
      </c>
      <c r="C94" s="9" t="s">
        <v>1115</v>
      </c>
      <c r="D94" s="9" t="s">
        <v>1202</v>
      </c>
      <c r="E94" s="9" t="s">
        <v>1012</v>
      </c>
      <c r="F94" s="10">
        <v>44270</v>
      </c>
      <c r="G94" s="9" t="s">
        <v>1019</v>
      </c>
      <c r="I94" s="9" t="s">
        <v>1035</v>
      </c>
      <c r="J94" s="9" t="s">
        <v>1048</v>
      </c>
      <c r="K94" s="8" t="s">
        <v>1006</v>
      </c>
      <c r="L94" s="8" t="s">
        <v>1007</v>
      </c>
      <c r="M94" s="8" t="s">
        <v>2933</v>
      </c>
      <c r="N94" s="8" t="s">
        <v>2937</v>
      </c>
      <c r="O94" s="1" t="s">
        <v>2934</v>
      </c>
      <c r="P94">
        <v>30</v>
      </c>
      <c r="Q94">
        <v>30</v>
      </c>
      <c r="R94">
        <v>0</v>
      </c>
      <c r="S94">
        <f t="shared" si="17"/>
        <v>30</v>
      </c>
      <c r="T94" s="1" t="s">
        <v>2935</v>
      </c>
      <c r="U94" s="1" t="s">
        <v>2932</v>
      </c>
      <c r="V94" s="3">
        <f t="shared" si="18"/>
        <v>40000</v>
      </c>
      <c r="W94" s="3">
        <f t="shared" si="19"/>
        <v>16000</v>
      </c>
      <c r="X94" s="3">
        <f t="shared" si="11"/>
        <v>1250</v>
      </c>
      <c r="Y94" s="3">
        <f t="shared" si="12"/>
        <v>1600</v>
      </c>
      <c r="Z94" s="3">
        <f t="shared" si="13"/>
        <v>1800</v>
      </c>
      <c r="AA94" s="3">
        <v>0</v>
      </c>
      <c r="AB94" s="3">
        <f>ROUND(U94 - (V94+W94+X94+Y94) - (U94/Q94 * 2),0)</f>
        <v>34483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f>SUM(V94+W94+X94+Y94+AB94)</f>
        <v>93333</v>
      </c>
      <c r="AK94" s="3">
        <f>SUM(AJ94-AA94)</f>
        <v>93333</v>
      </c>
      <c r="AL94" s="3">
        <f>IF(V94&lt;=15000,V94*12%,1800)</f>
        <v>1800</v>
      </c>
      <c r="AM94" s="3">
        <v>0</v>
      </c>
      <c r="AN94" s="3">
        <f t="shared" si="14"/>
        <v>1800</v>
      </c>
      <c r="AO94" s="12">
        <v>200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3">
        <f t="shared" si="16"/>
        <v>200</v>
      </c>
      <c r="AV94" s="3">
        <f>SUM(AJ94 - AN94 - AU94)</f>
        <v>91333</v>
      </c>
      <c r="AW94" s="11">
        <v>0</v>
      </c>
      <c r="AX94" s="11">
        <v>0</v>
      </c>
      <c r="AY94" s="11">
        <v>0</v>
      </c>
      <c r="AZ94" s="11">
        <v>0</v>
      </c>
      <c r="BA94" s="3">
        <f t="shared" si="15"/>
        <v>91333</v>
      </c>
    </row>
    <row r="95" spans="1:53" x14ac:dyDescent="0.25">
      <c r="A95" s="1" t="s">
        <v>93</v>
      </c>
      <c r="B95" s="9" t="s">
        <v>1272</v>
      </c>
      <c r="C95" s="9" t="s">
        <v>1273</v>
      </c>
      <c r="D95" s="9" t="s">
        <v>1274</v>
      </c>
      <c r="E95" s="9" t="s">
        <v>1012</v>
      </c>
      <c r="F95" s="10">
        <v>44263</v>
      </c>
      <c r="G95" s="9" t="s">
        <v>1013</v>
      </c>
      <c r="I95" s="9" t="s">
        <v>1035</v>
      </c>
      <c r="J95" s="9" t="s">
        <v>1048</v>
      </c>
      <c r="K95" s="8" t="s">
        <v>1006</v>
      </c>
      <c r="L95" s="8" t="s">
        <v>1007</v>
      </c>
      <c r="M95" s="8" t="s">
        <v>2933</v>
      </c>
      <c r="N95" s="8" t="s">
        <v>2937</v>
      </c>
      <c r="O95" s="1" t="s">
        <v>2934</v>
      </c>
      <c r="P95">
        <v>30</v>
      </c>
      <c r="Q95">
        <v>30</v>
      </c>
      <c r="R95">
        <v>0</v>
      </c>
      <c r="S95">
        <f t="shared" si="17"/>
        <v>30</v>
      </c>
      <c r="T95" s="1" t="s">
        <v>2935</v>
      </c>
      <c r="U95" s="1" t="s">
        <v>2932</v>
      </c>
      <c r="V95" s="3">
        <f t="shared" si="18"/>
        <v>40000</v>
      </c>
      <c r="W95" s="3">
        <f t="shared" si="19"/>
        <v>16000</v>
      </c>
      <c r="X95" s="3">
        <f t="shared" si="11"/>
        <v>1250</v>
      </c>
      <c r="Y95" s="3">
        <f t="shared" si="12"/>
        <v>1600</v>
      </c>
      <c r="Z95" s="3">
        <f t="shared" si="13"/>
        <v>1800</v>
      </c>
      <c r="AA95" s="3">
        <v>0</v>
      </c>
      <c r="AB95" s="3">
        <f>ROUND(U95 - (V95+W95+X95+Y95) - (U95/Q95 * 2),0)</f>
        <v>34483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f>SUM(V95+W95+X95+Y95+AB95)</f>
        <v>93333</v>
      </c>
      <c r="AK95" s="3">
        <f>SUM(AJ95-AA95)</f>
        <v>93333</v>
      </c>
      <c r="AL95" s="3">
        <f>IF(V95&lt;=15000,V95*12%,1800)</f>
        <v>1800</v>
      </c>
      <c r="AM95" s="3">
        <v>0</v>
      </c>
      <c r="AN95" s="3">
        <f t="shared" si="14"/>
        <v>1800</v>
      </c>
      <c r="AO95" s="12">
        <v>200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3">
        <f t="shared" si="16"/>
        <v>200</v>
      </c>
      <c r="AV95" s="3">
        <f>SUM(AJ95 - AN95 - AU95)</f>
        <v>91333</v>
      </c>
      <c r="AW95" s="11">
        <v>0</v>
      </c>
      <c r="AX95" s="11">
        <v>0</v>
      </c>
      <c r="AY95" s="11">
        <v>0</v>
      </c>
      <c r="AZ95" s="11">
        <v>0</v>
      </c>
      <c r="BA95" s="3">
        <f t="shared" si="15"/>
        <v>91333</v>
      </c>
    </row>
    <row r="96" spans="1:53" x14ac:dyDescent="0.25">
      <c r="A96" s="1" t="s">
        <v>94</v>
      </c>
      <c r="B96" s="9" t="s">
        <v>1270</v>
      </c>
      <c r="C96" s="9" t="s">
        <v>1115</v>
      </c>
      <c r="D96" s="9" t="s">
        <v>1271</v>
      </c>
      <c r="E96" s="9" t="s">
        <v>1012</v>
      </c>
      <c r="F96" s="10">
        <v>44272</v>
      </c>
      <c r="G96" s="9" t="s">
        <v>1019</v>
      </c>
      <c r="I96" s="9" t="s">
        <v>1035</v>
      </c>
      <c r="J96" s="9" t="s">
        <v>1048</v>
      </c>
      <c r="K96" s="8" t="s">
        <v>1006</v>
      </c>
      <c r="L96" s="8" t="s">
        <v>1007</v>
      </c>
      <c r="M96" s="8" t="s">
        <v>2933</v>
      </c>
      <c r="N96" s="8" t="s">
        <v>2937</v>
      </c>
      <c r="O96" s="1" t="s">
        <v>2934</v>
      </c>
      <c r="P96">
        <v>30</v>
      </c>
      <c r="Q96">
        <v>30</v>
      </c>
      <c r="R96">
        <v>0</v>
      </c>
      <c r="S96">
        <f t="shared" si="17"/>
        <v>30</v>
      </c>
      <c r="T96" s="1" t="s">
        <v>2935</v>
      </c>
      <c r="U96" s="1" t="s">
        <v>2932</v>
      </c>
      <c r="V96" s="3">
        <f t="shared" si="18"/>
        <v>40000</v>
      </c>
      <c r="W96" s="3">
        <f t="shared" si="19"/>
        <v>16000</v>
      </c>
      <c r="X96" s="3">
        <f t="shared" si="11"/>
        <v>1250</v>
      </c>
      <c r="Y96" s="3">
        <f t="shared" si="12"/>
        <v>1600</v>
      </c>
      <c r="Z96" s="3">
        <f t="shared" si="13"/>
        <v>1800</v>
      </c>
      <c r="AA96" s="3">
        <v>0</v>
      </c>
      <c r="AB96" s="3">
        <f>ROUND(U96 - (V96+W96+X96+Y96) - (U96/Q96 * 2),0)</f>
        <v>34483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f>SUM(V96+W96+X96+Y96+AB96)</f>
        <v>93333</v>
      </c>
      <c r="AK96" s="3">
        <f>SUM(AJ96-AA96)</f>
        <v>93333</v>
      </c>
      <c r="AL96" s="3">
        <f>IF(V96&lt;=15000,V96*12%,1800)</f>
        <v>1800</v>
      </c>
      <c r="AM96" s="3">
        <v>0</v>
      </c>
      <c r="AN96" s="3">
        <f t="shared" si="14"/>
        <v>1800</v>
      </c>
      <c r="AO96" s="12">
        <v>200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3">
        <f t="shared" si="16"/>
        <v>200</v>
      </c>
      <c r="AV96" s="3">
        <f>SUM(AJ96 - AN96 - AU96)</f>
        <v>91333</v>
      </c>
      <c r="AW96" s="11">
        <v>0</v>
      </c>
      <c r="AX96" s="11">
        <v>0</v>
      </c>
      <c r="AY96" s="11">
        <v>0</v>
      </c>
      <c r="AZ96" s="11">
        <v>0</v>
      </c>
      <c r="BA96" s="3">
        <f t="shared" si="15"/>
        <v>91333</v>
      </c>
    </row>
    <row r="97" spans="1:53" x14ac:dyDescent="0.25">
      <c r="A97" s="1" t="s">
        <v>95</v>
      </c>
      <c r="B97" s="9" t="s">
        <v>1268</v>
      </c>
      <c r="C97" s="9" t="s">
        <v>1115</v>
      </c>
      <c r="D97" s="9" t="s">
        <v>1269</v>
      </c>
      <c r="E97" s="9" t="s">
        <v>1012</v>
      </c>
      <c r="F97" s="10">
        <v>44286</v>
      </c>
      <c r="G97" s="9" t="s">
        <v>1013</v>
      </c>
      <c r="I97" s="9" t="s">
        <v>1042</v>
      </c>
      <c r="J97" s="9" t="s">
        <v>1048</v>
      </c>
      <c r="K97" s="8" t="s">
        <v>1006</v>
      </c>
      <c r="L97" s="8" t="s">
        <v>1007</v>
      </c>
      <c r="M97" s="8" t="s">
        <v>2933</v>
      </c>
      <c r="N97" s="8" t="s">
        <v>2937</v>
      </c>
      <c r="O97" s="1" t="s">
        <v>2934</v>
      </c>
      <c r="P97">
        <v>30</v>
      </c>
      <c r="Q97">
        <v>30</v>
      </c>
      <c r="R97">
        <v>0</v>
      </c>
      <c r="S97">
        <f t="shared" si="17"/>
        <v>30</v>
      </c>
      <c r="T97" s="1" t="s">
        <v>2935</v>
      </c>
      <c r="U97" s="1" t="s">
        <v>2932</v>
      </c>
      <c r="V97" s="3">
        <f t="shared" si="18"/>
        <v>40000</v>
      </c>
      <c r="W97" s="3">
        <f t="shared" si="19"/>
        <v>16000</v>
      </c>
      <c r="X97" s="3">
        <f t="shared" si="11"/>
        <v>1250</v>
      </c>
      <c r="Y97" s="3">
        <f t="shared" si="12"/>
        <v>1600</v>
      </c>
      <c r="Z97" s="3">
        <f t="shared" si="13"/>
        <v>1800</v>
      </c>
      <c r="AA97" s="3">
        <v>0</v>
      </c>
      <c r="AB97" s="3">
        <f>ROUND(U97 - (V97+W97+X97+Y97) - (U97/Q97 * 2),0)</f>
        <v>34483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f>SUM(V97+W97+X97+Y97+AB97)</f>
        <v>93333</v>
      </c>
      <c r="AK97" s="3">
        <f>SUM(AJ97-AA97)</f>
        <v>93333</v>
      </c>
      <c r="AL97" s="3">
        <f>IF(V97&lt;=15000,V97*12%,1800)</f>
        <v>1800</v>
      </c>
      <c r="AM97" s="3">
        <v>0</v>
      </c>
      <c r="AN97" s="3">
        <f t="shared" si="14"/>
        <v>1800</v>
      </c>
      <c r="AO97" s="12">
        <v>200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3">
        <f t="shared" si="16"/>
        <v>200</v>
      </c>
      <c r="AV97" s="3">
        <f>SUM(AJ97 - AN97 - AU97)</f>
        <v>91333</v>
      </c>
      <c r="AW97" s="11">
        <v>0</v>
      </c>
      <c r="AX97" s="11">
        <v>0</v>
      </c>
      <c r="AY97" s="11">
        <v>0</v>
      </c>
      <c r="AZ97" s="11">
        <v>0</v>
      </c>
      <c r="BA97" s="3">
        <f t="shared" si="15"/>
        <v>91333</v>
      </c>
    </row>
    <row r="98" spans="1:53" x14ac:dyDescent="0.25">
      <c r="A98" s="1" t="s">
        <v>96</v>
      </c>
      <c r="B98" s="9" t="s">
        <v>1265</v>
      </c>
      <c r="C98" s="9" t="s">
        <v>1266</v>
      </c>
      <c r="D98" s="9" t="s">
        <v>1267</v>
      </c>
      <c r="E98" s="9" t="s">
        <v>1008</v>
      </c>
      <c r="F98" s="10">
        <v>44319</v>
      </c>
      <c r="G98" s="9" t="s">
        <v>1019</v>
      </c>
      <c r="I98" s="9" t="s">
        <v>1042</v>
      </c>
      <c r="J98" s="9" t="s">
        <v>1031</v>
      </c>
      <c r="K98" s="8" t="s">
        <v>1006</v>
      </c>
      <c r="L98" s="8" t="s">
        <v>1007</v>
      </c>
      <c r="M98" s="8" t="s">
        <v>2933</v>
      </c>
      <c r="N98" s="8" t="s">
        <v>2937</v>
      </c>
      <c r="O98" s="1" t="s">
        <v>2934</v>
      </c>
      <c r="P98">
        <v>30</v>
      </c>
      <c r="Q98">
        <v>30</v>
      </c>
      <c r="R98">
        <v>0</v>
      </c>
      <c r="S98">
        <f t="shared" si="17"/>
        <v>30</v>
      </c>
      <c r="T98" s="1" t="s">
        <v>2935</v>
      </c>
      <c r="U98" s="1" t="s">
        <v>2932</v>
      </c>
      <c r="V98" s="3">
        <f t="shared" si="18"/>
        <v>40000</v>
      </c>
      <c r="W98" s="3">
        <f t="shared" si="19"/>
        <v>16000</v>
      </c>
      <c r="X98" s="3">
        <f t="shared" si="11"/>
        <v>1250</v>
      </c>
      <c r="Y98" s="3">
        <f t="shared" si="12"/>
        <v>1600</v>
      </c>
      <c r="Z98" s="3">
        <f t="shared" si="13"/>
        <v>1800</v>
      </c>
      <c r="AA98" s="3">
        <v>0</v>
      </c>
      <c r="AB98" s="3">
        <f>ROUND(U98 - (V98+W98+X98+Y98) - (U98/Q98 * 2),0)</f>
        <v>34483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f>SUM(V98+W98+X98+Y98+AB98)</f>
        <v>93333</v>
      </c>
      <c r="AK98" s="3">
        <f>SUM(AJ98-AA98)</f>
        <v>93333</v>
      </c>
      <c r="AL98" s="3">
        <f>IF(V98&lt;=15000,V98*12%,1800)</f>
        <v>1800</v>
      </c>
      <c r="AM98" s="3">
        <v>0</v>
      </c>
      <c r="AN98" s="3">
        <f t="shared" si="14"/>
        <v>1800</v>
      </c>
      <c r="AO98" s="12">
        <v>200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3">
        <f t="shared" si="16"/>
        <v>200</v>
      </c>
      <c r="AV98" s="3">
        <f>SUM(AJ98 - AN98 - AU98)</f>
        <v>91333</v>
      </c>
      <c r="AW98" s="11">
        <v>0</v>
      </c>
      <c r="AX98" s="11">
        <v>0</v>
      </c>
      <c r="AY98" s="11">
        <v>0</v>
      </c>
      <c r="AZ98" s="11">
        <v>0</v>
      </c>
      <c r="BA98" s="3">
        <f t="shared" si="15"/>
        <v>91333</v>
      </c>
    </row>
    <row r="99" spans="1:53" x14ac:dyDescent="0.25">
      <c r="A99" s="1" t="s">
        <v>97</v>
      </c>
      <c r="B99" s="9" t="s">
        <v>1261</v>
      </c>
      <c r="C99" s="9" t="s">
        <v>1262</v>
      </c>
      <c r="D99" s="9" t="s">
        <v>1263</v>
      </c>
      <c r="E99" s="9" t="s">
        <v>1008</v>
      </c>
      <c r="F99" s="10">
        <v>44228</v>
      </c>
      <c r="G99" s="9" t="s">
        <v>1019</v>
      </c>
      <c r="I99" s="9" t="s">
        <v>1035</v>
      </c>
      <c r="J99" s="9" t="s">
        <v>1264</v>
      </c>
      <c r="K99" s="8" t="s">
        <v>1006</v>
      </c>
      <c r="L99" s="8" t="s">
        <v>1007</v>
      </c>
      <c r="M99" s="8" t="s">
        <v>2933</v>
      </c>
      <c r="N99" s="8" t="s">
        <v>2937</v>
      </c>
      <c r="O99" s="1" t="s">
        <v>2934</v>
      </c>
      <c r="P99">
        <v>30</v>
      </c>
      <c r="Q99">
        <v>30</v>
      </c>
      <c r="R99">
        <v>0</v>
      </c>
      <c r="S99">
        <f t="shared" si="17"/>
        <v>30</v>
      </c>
      <c r="T99" s="1" t="s">
        <v>2935</v>
      </c>
      <c r="U99" s="1" t="s">
        <v>2932</v>
      </c>
      <c r="V99" s="3">
        <f t="shared" si="18"/>
        <v>40000</v>
      </c>
      <c r="W99" s="3">
        <f t="shared" si="19"/>
        <v>16000</v>
      </c>
      <c r="X99" s="3">
        <f t="shared" si="11"/>
        <v>1250</v>
      </c>
      <c r="Y99" s="3">
        <f t="shared" si="12"/>
        <v>1600</v>
      </c>
      <c r="Z99" s="3">
        <f t="shared" si="13"/>
        <v>1800</v>
      </c>
      <c r="AA99" s="3">
        <v>0</v>
      </c>
      <c r="AB99" s="3">
        <f>ROUND(U99 - (V99+W99+X99+Y99) - (U99/Q99 * 2),0)</f>
        <v>34483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f>SUM(V99+W99+X99+Y99+AB99)</f>
        <v>93333</v>
      </c>
      <c r="AK99" s="3">
        <f>SUM(AJ99-AA99)</f>
        <v>93333</v>
      </c>
      <c r="AL99" s="3">
        <f>IF(V99&lt;=15000,V99*12%,1800)</f>
        <v>1800</v>
      </c>
      <c r="AM99" s="3">
        <v>0</v>
      </c>
      <c r="AN99" s="3">
        <f t="shared" si="14"/>
        <v>1800</v>
      </c>
      <c r="AO99" s="12">
        <v>200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3">
        <f t="shared" si="16"/>
        <v>200</v>
      </c>
      <c r="AV99" s="3">
        <f>SUM(AJ99 - AN99 - AU99)</f>
        <v>91333</v>
      </c>
      <c r="AW99" s="11">
        <v>0</v>
      </c>
      <c r="AX99" s="11">
        <v>0</v>
      </c>
      <c r="AY99" s="11">
        <v>0</v>
      </c>
      <c r="AZ99" s="11">
        <v>0</v>
      </c>
      <c r="BA99" s="3">
        <f t="shared" si="15"/>
        <v>91333</v>
      </c>
    </row>
    <row r="100" spans="1:53" x14ac:dyDescent="0.25">
      <c r="A100" s="1" t="s">
        <v>98</v>
      </c>
      <c r="B100" s="9" t="s">
        <v>1258</v>
      </c>
      <c r="C100" s="9" t="s">
        <v>1259</v>
      </c>
      <c r="D100" s="9" t="s">
        <v>1260</v>
      </c>
      <c r="E100" s="9" t="s">
        <v>1012</v>
      </c>
      <c r="F100" s="10">
        <v>44333</v>
      </c>
      <c r="G100" s="9" t="s">
        <v>1013</v>
      </c>
      <c r="I100" s="9" t="s">
        <v>1042</v>
      </c>
      <c r="J100" s="9" t="s">
        <v>1031</v>
      </c>
      <c r="K100" s="8" t="s">
        <v>1006</v>
      </c>
      <c r="L100" s="8" t="s">
        <v>1007</v>
      </c>
      <c r="M100" s="8" t="s">
        <v>2933</v>
      </c>
      <c r="N100" s="8" t="s">
        <v>2937</v>
      </c>
      <c r="O100" s="1" t="s">
        <v>2934</v>
      </c>
      <c r="P100">
        <v>30</v>
      </c>
      <c r="Q100">
        <v>30</v>
      </c>
      <c r="R100">
        <v>0</v>
      </c>
      <c r="S100">
        <f t="shared" si="17"/>
        <v>30</v>
      </c>
      <c r="T100" s="1" t="s">
        <v>2935</v>
      </c>
      <c r="U100" s="1" t="s">
        <v>2932</v>
      </c>
      <c r="V100" s="3">
        <f t="shared" si="18"/>
        <v>40000</v>
      </c>
      <c r="W100" s="3">
        <f t="shared" si="19"/>
        <v>16000</v>
      </c>
      <c r="X100" s="3">
        <f t="shared" si="11"/>
        <v>1250</v>
      </c>
      <c r="Y100" s="3">
        <f t="shared" si="12"/>
        <v>1600</v>
      </c>
      <c r="Z100" s="3">
        <f t="shared" si="13"/>
        <v>1800</v>
      </c>
      <c r="AA100" s="3">
        <v>0</v>
      </c>
      <c r="AB100" s="3">
        <f>ROUND(U100 - (V100+W100+X100+Y100) - (U100/Q100 * 2),0)</f>
        <v>34483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f>SUM(V100+W100+X100+Y100+AB100)</f>
        <v>93333</v>
      </c>
      <c r="AK100" s="3">
        <f>SUM(AJ100-AA100)</f>
        <v>93333</v>
      </c>
      <c r="AL100" s="3">
        <f>IF(V100&lt;=15000,V100*12%,1800)</f>
        <v>1800</v>
      </c>
      <c r="AM100" s="3">
        <v>0</v>
      </c>
      <c r="AN100" s="3">
        <f t="shared" si="14"/>
        <v>1800</v>
      </c>
      <c r="AO100" s="12">
        <v>200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3">
        <f t="shared" si="16"/>
        <v>200</v>
      </c>
      <c r="AV100" s="3">
        <f>SUM(AJ100 - AN100 - AU100)</f>
        <v>91333</v>
      </c>
      <c r="AW100" s="11">
        <v>0</v>
      </c>
      <c r="AX100" s="11">
        <v>0</v>
      </c>
      <c r="AY100" s="11">
        <v>0</v>
      </c>
      <c r="AZ100" s="11">
        <v>0</v>
      </c>
      <c r="BA100" s="3">
        <f t="shared" si="15"/>
        <v>91333</v>
      </c>
    </row>
    <row r="101" spans="1:53" x14ac:dyDescent="0.25">
      <c r="A101" s="1" t="s">
        <v>99</v>
      </c>
      <c r="B101" s="9" t="s">
        <v>1256</v>
      </c>
      <c r="C101" s="9" t="s">
        <v>1115</v>
      </c>
      <c r="D101" s="9" t="s">
        <v>1257</v>
      </c>
      <c r="E101" s="9" t="s">
        <v>1012</v>
      </c>
      <c r="F101" s="10">
        <v>43948</v>
      </c>
      <c r="G101" s="9" t="s">
        <v>1013</v>
      </c>
      <c r="I101" s="9" t="s">
        <v>1035</v>
      </c>
      <c r="J101" s="9" t="s">
        <v>1048</v>
      </c>
      <c r="K101" s="8" t="s">
        <v>1006</v>
      </c>
      <c r="L101" s="8" t="s">
        <v>1007</v>
      </c>
      <c r="M101" s="8" t="s">
        <v>2933</v>
      </c>
      <c r="N101" s="8" t="s">
        <v>2937</v>
      </c>
      <c r="O101" s="1" t="s">
        <v>2934</v>
      </c>
      <c r="P101">
        <v>30</v>
      </c>
      <c r="Q101">
        <v>30</v>
      </c>
      <c r="R101">
        <v>0</v>
      </c>
      <c r="S101">
        <f t="shared" si="17"/>
        <v>30</v>
      </c>
      <c r="T101" s="1" t="s">
        <v>2935</v>
      </c>
      <c r="U101" s="1" t="s">
        <v>2932</v>
      </c>
      <c r="V101" s="3">
        <f t="shared" si="18"/>
        <v>40000</v>
      </c>
      <c r="W101" s="3">
        <f t="shared" si="19"/>
        <v>16000</v>
      </c>
      <c r="X101" s="3">
        <f t="shared" si="11"/>
        <v>1250</v>
      </c>
      <c r="Y101" s="3">
        <f t="shared" si="12"/>
        <v>1600</v>
      </c>
      <c r="Z101" s="3">
        <f t="shared" si="13"/>
        <v>1800</v>
      </c>
      <c r="AA101" s="3">
        <v>0</v>
      </c>
      <c r="AB101" s="3">
        <f>ROUND(U101 - (V101+W101+X101+Y101) - (U101/Q101 * 2),0)</f>
        <v>34483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f>SUM(V101+W101+X101+Y101+AB101)</f>
        <v>93333</v>
      </c>
      <c r="AK101" s="3">
        <f>SUM(AJ101-AA101)</f>
        <v>93333</v>
      </c>
      <c r="AL101" s="3">
        <f>IF(V101&lt;=15000,V101*12%,1800)</f>
        <v>1800</v>
      </c>
      <c r="AM101" s="3">
        <v>0</v>
      </c>
      <c r="AN101" s="3">
        <f t="shared" si="14"/>
        <v>1800</v>
      </c>
      <c r="AO101" s="12">
        <v>200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3">
        <f t="shared" si="16"/>
        <v>200</v>
      </c>
      <c r="AV101" s="3">
        <f>SUM(AJ101 - AN101 - AU101)</f>
        <v>91333</v>
      </c>
      <c r="AW101" s="11">
        <v>0</v>
      </c>
      <c r="AX101" s="11">
        <v>0</v>
      </c>
      <c r="AY101" s="11">
        <v>0</v>
      </c>
      <c r="AZ101" s="11">
        <v>0</v>
      </c>
      <c r="BA101" s="3">
        <f t="shared" si="15"/>
        <v>91333</v>
      </c>
    </row>
    <row r="102" spans="1:53" x14ac:dyDescent="0.25">
      <c r="A102" s="1" t="s">
        <v>100</v>
      </c>
      <c r="B102" s="9" t="s">
        <v>1254</v>
      </c>
      <c r="C102" s="9" t="s">
        <v>1026</v>
      </c>
      <c r="D102" s="9" t="s">
        <v>1255</v>
      </c>
      <c r="E102" s="9" t="s">
        <v>1012</v>
      </c>
      <c r="F102" s="10">
        <v>43815</v>
      </c>
      <c r="G102" s="9" t="s">
        <v>1019</v>
      </c>
      <c r="I102" s="9" t="s">
        <v>1014</v>
      </c>
      <c r="J102" s="9" t="s">
        <v>1015</v>
      </c>
      <c r="K102" s="8" t="s">
        <v>1006</v>
      </c>
      <c r="L102" s="8" t="s">
        <v>1007</v>
      </c>
      <c r="M102" s="8" t="s">
        <v>2933</v>
      </c>
      <c r="N102" s="8" t="s">
        <v>2937</v>
      </c>
      <c r="O102" s="1" t="s">
        <v>2934</v>
      </c>
      <c r="P102">
        <v>30</v>
      </c>
      <c r="Q102">
        <v>30</v>
      </c>
      <c r="R102">
        <v>0</v>
      </c>
      <c r="S102">
        <f t="shared" si="17"/>
        <v>30</v>
      </c>
      <c r="T102" s="1" t="s">
        <v>2935</v>
      </c>
      <c r="U102" s="1" t="s">
        <v>2932</v>
      </c>
      <c r="V102" s="3">
        <f t="shared" si="18"/>
        <v>40000</v>
      </c>
      <c r="W102" s="3">
        <f t="shared" si="19"/>
        <v>16000</v>
      </c>
      <c r="X102" s="3">
        <f t="shared" si="11"/>
        <v>1250</v>
      </c>
      <c r="Y102" s="3">
        <f t="shared" si="12"/>
        <v>1600</v>
      </c>
      <c r="Z102" s="3">
        <f t="shared" si="13"/>
        <v>1800</v>
      </c>
      <c r="AA102" s="3">
        <v>0</v>
      </c>
      <c r="AB102" s="3">
        <f>ROUND(U102 - (V102+W102+X102+Y102) - (U102/Q102 * 2),0)</f>
        <v>34483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f>SUM(V102+W102+X102+Y102+AB102)</f>
        <v>93333</v>
      </c>
      <c r="AK102" s="3">
        <f>SUM(AJ102-AA102)</f>
        <v>93333</v>
      </c>
      <c r="AL102" s="3">
        <f>IF(V102&lt;=15000,V102*12%,1800)</f>
        <v>1800</v>
      </c>
      <c r="AM102" s="3">
        <v>0</v>
      </c>
      <c r="AN102" s="3">
        <f t="shared" si="14"/>
        <v>1800</v>
      </c>
      <c r="AO102" s="12">
        <v>200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3">
        <f t="shared" si="16"/>
        <v>200</v>
      </c>
      <c r="AV102" s="3">
        <f>SUM(AJ102 - AN102 - AU102)</f>
        <v>91333</v>
      </c>
      <c r="AW102" s="11">
        <v>0</v>
      </c>
      <c r="AX102" s="11">
        <v>0</v>
      </c>
      <c r="AY102" s="11">
        <v>0</v>
      </c>
      <c r="AZ102" s="11">
        <v>0</v>
      </c>
      <c r="BA102" s="3">
        <f t="shared" si="15"/>
        <v>91333</v>
      </c>
    </row>
    <row r="103" spans="1:53" x14ac:dyDescent="0.25">
      <c r="A103" s="1" t="s">
        <v>101</v>
      </c>
      <c r="B103" s="9" t="s">
        <v>1252</v>
      </c>
      <c r="C103" s="9" t="s">
        <v>1063</v>
      </c>
      <c r="D103" s="9" t="s">
        <v>1253</v>
      </c>
      <c r="E103" s="9" t="s">
        <v>1012</v>
      </c>
      <c r="F103" s="10">
        <v>43815</v>
      </c>
      <c r="G103" s="9" t="s">
        <v>1019</v>
      </c>
      <c r="I103" s="9" t="s">
        <v>1014</v>
      </c>
      <c r="J103" s="9" t="s">
        <v>1015</v>
      </c>
      <c r="K103" s="8" t="s">
        <v>1006</v>
      </c>
      <c r="L103" s="8" t="s">
        <v>1007</v>
      </c>
      <c r="M103" s="8" t="s">
        <v>2933</v>
      </c>
      <c r="N103" s="8" t="s">
        <v>2937</v>
      </c>
      <c r="O103" s="1" t="s">
        <v>2934</v>
      </c>
      <c r="P103">
        <v>30</v>
      </c>
      <c r="Q103">
        <v>30</v>
      </c>
      <c r="R103">
        <v>0</v>
      </c>
      <c r="S103">
        <f t="shared" si="17"/>
        <v>30</v>
      </c>
      <c r="T103" s="1" t="s">
        <v>2935</v>
      </c>
      <c r="U103" s="1" t="s">
        <v>2932</v>
      </c>
      <c r="V103" s="3">
        <f t="shared" si="18"/>
        <v>40000</v>
      </c>
      <c r="W103" s="3">
        <f t="shared" si="19"/>
        <v>16000</v>
      </c>
      <c r="X103" s="3">
        <f t="shared" si="11"/>
        <v>1250</v>
      </c>
      <c r="Y103" s="3">
        <f t="shared" si="12"/>
        <v>1600</v>
      </c>
      <c r="Z103" s="3">
        <f t="shared" si="13"/>
        <v>1800</v>
      </c>
      <c r="AA103" s="3">
        <v>0</v>
      </c>
      <c r="AB103" s="3">
        <f>ROUND(U103 - (V103+W103+X103+Y103) - (U103/Q103 * 2),0)</f>
        <v>34483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f>SUM(V103+W103+X103+Y103+AB103)</f>
        <v>93333</v>
      </c>
      <c r="AK103" s="3">
        <f>SUM(AJ103-AA103)</f>
        <v>93333</v>
      </c>
      <c r="AL103" s="3">
        <f>IF(V103&lt;=15000,V103*12%,1800)</f>
        <v>1800</v>
      </c>
      <c r="AM103" s="3">
        <v>0</v>
      </c>
      <c r="AN103" s="3">
        <f t="shared" si="14"/>
        <v>1800</v>
      </c>
      <c r="AO103" s="12">
        <v>200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3">
        <f t="shared" si="16"/>
        <v>200</v>
      </c>
      <c r="AV103" s="3">
        <f>SUM(AJ103 - AN103 - AU103)</f>
        <v>91333</v>
      </c>
      <c r="AW103" s="11">
        <v>0</v>
      </c>
      <c r="AX103" s="11">
        <v>0</v>
      </c>
      <c r="AY103" s="11">
        <v>0</v>
      </c>
      <c r="AZ103" s="11">
        <v>0</v>
      </c>
      <c r="BA103" s="3">
        <f t="shared" si="15"/>
        <v>91333</v>
      </c>
    </row>
    <row r="104" spans="1:53" x14ac:dyDescent="0.25">
      <c r="A104" s="1" t="s">
        <v>102</v>
      </c>
      <c r="B104" s="9" t="s">
        <v>1250</v>
      </c>
      <c r="C104" s="9" t="s">
        <v>1097</v>
      </c>
      <c r="D104" s="9" t="s">
        <v>1251</v>
      </c>
      <c r="E104" s="9" t="s">
        <v>1008</v>
      </c>
      <c r="F104" s="10">
        <v>43908</v>
      </c>
      <c r="G104" s="9" t="s">
        <v>1019</v>
      </c>
      <c r="I104" s="9" t="s">
        <v>1020</v>
      </c>
      <c r="J104" s="9" t="s">
        <v>1031</v>
      </c>
      <c r="K104" s="8" t="s">
        <v>1006</v>
      </c>
      <c r="L104" s="8" t="s">
        <v>1007</v>
      </c>
      <c r="M104" s="8" t="s">
        <v>2933</v>
      </c>
      <c r="N104" s="8" t="s">
        <v>2937</v>
      </c>
      <c r="O104" s="1" t="s">
        <v>2934</v>
      </c>
      <c r="P104">
        <v>30</v>
      </c>
      <c r="Q104">
        <v>30</v>
      </c>
      <c r="R104">
        <v>0</v>
      </c>
      <c r="S104">
        <f t="shared" si="17"/>
        <v>30</v>
      </c>
      <c r="T104" s="1" t="s">
        <v>2935</v>
      </c>
      <c r="U104" s="1" t="s">
        <v>2932</v>
      </c>
      <c r="V104" s="3">
        <f t="shared" si="18"/>
        <v>40000</v>
      </c>
      <c r="W104" s="3">
        <f t="shared" si="19"/>
        <v>16000</v>
      </c>
      <c r="X104" s="3">
        <f t="shared" si="11"/>
        <v>1250</v>
      </c>
      <c r="Y104" s="3">
        <f t="shared" si="12"/>
        <v>1600</v>
      </c>
      <c r="Z104" s="3">
        <f t="shared" si="13"/>
        <v>1800</v>
      </c>
      <c r="AA104" s="3">
        <v>0</v>
      </c>
      <c r="AB104" s="3">
        <f>ROUND(U104 - (V104+W104+X104+Y104) - (U104/Q104 * 2),0)</f>
        <v>34483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f>SUM(V104+W104+X104+Y104+AB104)</f>
        <v>93333</v>
      </c>
      <c r="AK104" s="3">
        <f>SUM(AJ104-AA104)</f>
        <v>93333</v>
      </c>
      <c r="AL104" s="3">
        <f>IF(V104&lt;=15000,V104*12%,1800)</f>
        <v>1800</v>
      </c>
      <c r="AM104" s="3">
        <v>0</v>
      </c>
      <c r="AN104" s="3">
        <f t="shared" si="14"/>
        <v>1800</v>
      </c>
      <c r="AO104" s="12">
        <v>200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3">
        <f t="shared" si="16"/>
        <v>200</v>
      </c>
      <c r="AV104" s="3">
        <f>SUM(AJ104 - AN104 - AU104)</f>
        <v>91333</v>
      </c>
      <c r="AW104" s="11">
        <v>0</v>
      </c>
      <c r="AX104" s="11">
        <v>0</v>
      </c>
      <c r="AY104" s="11">
        <v>0</v>
      </c>
      <c r="AZ104" s="11">
        <v>0</v>
      </c>
      <c r="BA104" s="3">
        <f t="shared" si="15"/>
        <v>91333</v>
      </c>
    </row>
    <row r="105" spans="1:53" x14ac:dyDescent="0.25">
      <c r="A105" s="1" t="s">
        <v>103</v>
      </c>
      <c r="B105" s="9" t="s">
        <v>1248</v>
      </c>
      <c r="C105" s="9" t="s">
        <v>1075</v>
      </c>
      <c r="D105" s="9" t="s">
        <v>1249</v>
      </c>
      <c r="E105" s="9" t="s">
        <v>1012</v>
      </c>
      <c r="F105" s="10">
        <v>44021</v>
      </c>
      <c r="G105" s="9" t="s">
        <v>1019</v>
      </c>
      <c r="I105" s="9" t="s">
        <v>1014</v>
      </c>
      <c r="J105" s="9" t="s">
        <v>1015</v>
      </c>
      <c r="K105" s="8" t="s">
        <v>1006</v>
      </c>
      <c r="L105" s="8" t="s">
        <v>1007</v>
      </c>
      <c r="M105" s="8" t="s">
        <v>2933</v>
      </c>
      <c r="N105" s="8" t="s">
        <v>2937</v>
      </c>
      <c r="O105" s="1" t="s">
        <v>2934</v>
      </c>
      <c r="P105">
        <v>30</v>
      </c>
      <c r="Q105">
        <v>30</v>
      </c>
      <c r="R105">
        <v>0</v>
      </c>
      <c r="S105">
        <f t="shared" si="17"/>
        <v>30</v>
      </c>
      <c r="T105" s="1" t="s">
        <v>2935</v>
      </c>
      <c r="U105" s="1" t="s">
        <v>2932</v>
      </c>
      <c r="V105" s="3">
        <f t="shared" si="18"/>
        <v>40000</v>
      </c>
      <c r="W105" s="3">
        <f t="shared" si="19"/>
        <v>16000</v>
      </c>
      <c r="X105" s="3">
        <f t="shared" si="11"/>
        <v>1250</v>
      </c>
      <c r="Y105" s="3">
        <f t="shared" si="12"/>
        <v>1600</v>
      </c>
      <c r="Z105" s="3">
        <f t="shared" si="13"/>
        <v>1800</v>
      </c>
      <c r="AA105" s="3">
        <v>0</v>
      </c>
      <c r="AB105" s="3">
        <f>ROUND(U105 - (V105+W105+X105+Y105) - (U105/Q105 * 2),0)</f>
        <v>34483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f>SUM(V105+W105+X105+Y105+AB105)</f>
        <v>93333</v>
      </c>
      <c r="AK105" s="3">
        <f>SUM(AJ105-AA105)</f>
        <v>93333</v>
      </c>
      <c r="AL105" s="3">
        <f>IF(V105&lt;=15000,V105*12%,1800)</f>
        <v>1800</v>
      </c>
      <c r="AM105" s="3">
        <v>0</v>
      </c>
      <c r="AN105" s="3">
        <f t="shared" si="14"/>
        <v>1800</v>
      </c>
      <c r="AO105" s="12">
        <v>200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3">
        <f t="shared" si="16"/>
        <v>200</v>
      </c>
      <c r="AV105" s="3">
        <f>SUM(AJ105 - AN105 - AU105)</f>
        <v>91333</v>
      </c>
      <c r="AW105" s="11">
        <v>0</v>
      </c>
      <c r="AX105" s="11">
        <v>0</v>
      </c>
      <c r="AY105" s="11">
        <v>0</v>
      </c>
      <c r="AZ105" s="11">
        <v>0</v>
      </c>
      <c r="BA105" s="3">
        <f t="shared" si="15"/>
        <v>91333</v>
      </c>
    </row>
    <row r="106" spans="1:53" x14ac:dyDescent="0.25">
      <c r="A106" s="1" t="s">
        <v>104</v>
      </c>
      <c r="B106" s="9" t="s">
        <v>1246</v>
      </c>
      <c r="C106" s="9" t="s">
        <v>1075</v>
      </c>
      <c r="D106" s="9" t="s">
        <v>1247</v>
      </c>
      <c r="E106" s="9" t="s">
        <v>1012</v>
      </c>
      <c r="F106" s="10">
        <v>44083</v>
      </c>
      <c r="G106" s="9" t="s">
        <v>1019</v>
      </c>
      <c r="I106" s="9" t="s">
        <v>1014</v>
      </c>
      <c r="J106" s="9" t="s">
        <v>1015</v>
      </c>
      <c r="K106" s="8" t="s">
        <v>1006</v>
      </c>
      <c r="L106" s="8" t="s">
        <v>1007</v>
      </c>
      <c r="M106" s="8" t="s">
        <v>2933</v>
      </c>
      <c r="N106" s="8" t="s">
        <v>2937</v>
      </c>
      <c r="O106" s="1" t="s">
        <v>2934</v>
      </c>
      <c r="P106">
        <v>30</v>
      </c>
      <c r="Q106">
        <v>30</v>
      </c>
      <c r="R106">
        <v>0</v>
      </c>
      <c r="S106">
        <f t="shared" si="17"/>
        <v>30</v>
      </c>
      <c r="T106" s="1" t="s">
        <v>2935</v>
      </c>
      <c r="U106" s="1" t="s">
        <v>2932</v>
      </c>
      <c r="V106" s="3">
        <f t="shared" si="18"/>
        <v>40000</v>
      </c>
      <c r="W106" s="3">
        <f t="shared" si="19"/>
        <v>16000</v>
      </c>
      <c r="X106" s="3">
        <f t="shared" si="11"/>
        <v>1250</v>
      </c>
      <c r="Y106" s="3">
        <f t="shared" si="12"/>
        <v>1600</v>
      </c>
      <c r="Z106" s="3">
        <f t="shared" si="13"/>
        <v>1800</v>
      </c>
      <c r="AA106" s="3">
        <v>0</v>
      </c>
      <c r="AB106" s="3">
        <f>ROUND(U106 - (V106+W106+X106+Y106) - (U106/Q106 * 2),0)</f>
        <v>34483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f>SUM(V106+W106+X106+Y106+AB106)</f>
        <v>93333</v>
      </c>
      <c r="AK106" s="3">
        <f>SUM(AJ106-AA106)</f>
        <v>93333</v>
      </c>
      <c r="AL106" s="3">
        <f>IF(V106&lt;=15000,V106*12%,1800)</f>
        <v>1800</v>
      </c>
      <c r="AM106" s="3">
        <v>0</v>
      </c>
      <c r="AN106" s="3">
        <f t="shared" si="14"/>
        <v>1800</v>
      </c>
      <c r="AO106" s="12">
        <v>200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3">
        <f t="shared" si="16"/>
        <v>200</v>
      </c>
      <c r="AV106" s="3">
        <f>SUM(AJ106 - AN106 - AU106)</f>
        <v>91333</v>
      </c>
      <c r="AW106" s="11">
        <v>0</v>
      </c>
      <c r="AX106" s="11">
        <v>0</v>
      </c>
      <c r="AY106" s="11">
        <v>0</v>
      </c>
      <c r="AZ106" s="11">
        <v>0</v>
      </c>
      <c r="BA106" s="3">
        <f t="shared" si="15"/>
        <v>91333</v>
      </c>
    </row>
    <row r="107" spans="1:53" x14ac:dyDescent="0.25">
      <c r="A107" s="1" t="s">
        <v>105</v>
      </c>
      <c r="B107" s="9" t="s">
        <v>1244</v>
      </c>
      <c r="C107" s="9" t="s">
        <v>1075</v>
      </c>
      <c r="D107" s="9" t="s">
        <v>1245</v>
      </c>
      <c r="E107" s="9" t="s">
        <v>1008</v>
      </c>
      <c r="F107" s="10">
        <v>45819</v>
      </c>
      <c r="G107" s="9" t="s">
        <v>1019</v>
      </c>
      <c r="I107" s="9" t="s">
        <v>1014</v>
      </c>
      <c r="J107" s="9" t="s">
        <v>1015</v>
      </c>
      <c r="K107" s="8" t="s">
        <v>1006</v>
      </c>
      <c r="L107" s="8" t="s">
        <v>1007</v>
      </c>
      <c r="M107" s="8" t="s">
        <v>2933</v>
      </c>
      <c r="N107" s="8" t="s">
        <v>2937</v>
      </c>
      <c r="O107" s="1" t="s">
        <v>2934</v>
      </c>
      <c r="P107">
        <v>30</v>
      </c>
      <c r="Q107">
        <v>30</v>
      </c>
      <c r="R107">
        <v>0</v>
      </c>
      <c r="S107">
        <f t="shared" si="17"/>
        <v>30</v>
      </c>
      <c r="T107" s="1" t="s">
        <v>2935</v>
      </c>
      <c r="U107" s="1" t="s">
        <v>2932</v>
      </c>
      <c r="V107" s="3">
        <f t="shared" si="18"/>
        <v>40000</v>
      </c>
      <c r="W107" s="3">
        <f t="shared" si="19"/>
        <v>16000</v>
      </c>
      <c r="X107" s="3">
        <f t="shared" si="11"/>
        <v>1250</v>
      </c>
      <c r="Y107" s="3">
        <f t="shared" si="12"/>
        <v>1600</v>
      </c>
      <c r="Z107" s="3">
        <f t="shared" si="13"/>
        <v>1800</v>
      </c>
      <c r="AA107" s="3">
        <v>0</v>
      </c>
      <c r="AB107" s="3">
        <f>ROUND(U107 - (V107+W107+X107+Y107) - (U107/Q107 * 2),0)</f>
        <v>34483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f>SUM(V107+W107+X107+Y107+AB107)</f>
        <v>93333</v>
      </c>
      <c r="AK107" s="3">
        <f>SUM(AJ107-AA107)</f>
        <v>93333</v>
      </c>
      <c r="AL107" s="3">
        <f>IF(V107&lt;=15000,V107*12%,1800)</f>
        <v>1800</v>
      </c>
      <c r="AM107" s="3">
        <v>0</v>
      </c>
      <c r="AN107" s="3">
        <f t="shared" si="14"/>
        <v>1800</v>
      </c>
      <c r="AO107" s="12">
        <v>200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3">
        <f t="shared" si="16"/>
        <v>200</v>
      </c>
      <c r="AV107" s="3">
        <f>SUM(AJ107 - AN107 - AU107)</f>
        <v>91333</v>
      </c>
      <c r="AW107" s="11">
        <v>0</v>
      </c>
      <c r="AX107" s="11">
        <v>0</v>
      </c>
      <c r="AY107" s="11">
        <v>0</v>
      </c>
      <c r="AZ107" s="11">
        <v>0</v>
      </c>
      <c r="BA107" s="3">
        <f t="shared" si="15"/>
        <v>91333</v>
      </c>
    </row>
    <row r="108" spans="1:53" x14ac:dyDescent="0.25">
      <c r="A108" s="1" t="s">
        <v>106</v>
      </c>
      <c r="B108" s="9" t="s">
        <v>1241</v>
      </c>
      <c r="C108" s="9" t="s">
        <v>1242</v>
      </c>
      <c r="D108" s="9" t="s">
        <v>1243</v>
      </c>
      <c r="E108" s="9" t="s">
        <v>1008</v>
      </c>
      <c r="F108" s="10">
        <v>44123</v>
      </c>
      <c r="G108" s="9" t="s">
        <v>1013</v>
      </c>
      <c r="I108" s="9" t="s">
        <v>1014</v>
      </c>
      <c r="J108" s="9" t="s">
        <v>1015</v>
      </c>
      <c r="K108" s="8" t="s">
        <v>1006</v>
      </c>
      <c r="L108" s="8" t="s">
        <v>1007</v>
      </c>
      <c r="M108" s="8" t="s">
        <v>2933</v>
      </c>
      <c r="N108" s="8" t="s">
        <v>2937</v>
      </c>
      <c r="O108" s="1" t="s">
        <v>2934</v>
      </c>
      <c r="P108">
        <v>30</v>
      </c>
      <c r="Q108">
        <v>30</v>
      </c>
      <c r="R108">
        <v>0</v>
      </c>
      <c r="S108">
        <f t="shared" si="17"/>
        <v>30</v>
      </c>
      <c r="T108" s="1" t="s">
        <v>2935</v>
      </c>
      <c r="U108" s="1" t="s">
        <v>2932</v>
      </c>
      <c r="V108" s="3">
        <f t="shared" si="18"/>
        <v>40000</v>
      </c>
      <c r="W108" s="3">
        <f t="shared" si="19"/>
        <v>16000</v>
      </c>
      <c r="X108" s="3">
        <f t="shared" si="11"/>
        <v>1250</v>
      </c>
      <c r="Y108" s="3">
        <f t="shared" si="12"/>
        <v>1600</v>
      </c>
      <c r="Z108" s="3">
        <f t="shared" si="13"/>
        <v>1800</v>
      </c>
      <c r="AA108" s="3">
        <v>0</v>
      </c>
      <c r="AB108" s="3">
        <f>ROUND(U108 - (V108+W108+X108+Y108) - (U108/Q108 * 2),0)</f>
        <v>34483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f>SUM(V108+W108+X108+Y108+AB108)</f>
        <v>93333</v>
      </c>
      <c r="AK108" s="3">
        <f>SUM(AJ108-AA108)</f>
        <v>93333</v>
      </c>
      <c r="AL108" s="3">
        <f>IF(V108&lt;=15000,V108*12%,1800)</f>
        <v>1800</v>
      </c>
      <c r="AM108" s="3">
        <v>0</v>
      </c>
      <c r="AN108" s="3">
        <f t="shared" si="14"/>
        <v>1800</v>
      </c>
      <c r="AO108" s="12">
        <v>200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3">
        <f t="shared" si="16"/>
        <v>200</v>
      </c>
      <c r="AV108" s="3">
        <f>SUM(AJ108 - AN108 - AU108)</f>
        <v>91333</v>
      </c>
      <c r="AW108" s="11">
        <v>0</v>
      </c>
      <c r="AX108" s="11">
        <v>0</v>
      </c>
      <c r="AY108" s="11">
        <v>0</v>
      </c>
      <c r="AZ108" s="11">
        <v>0</v>
      </c>
      <c r="BA108" s="3">
        <f t="shared" si="15"/>
        <v>91333</v>
      </c>
    </row>
    <row r="109" spans="1:53" x14ac:dyDescent="0.25">
      <c r="A109" s="1" t="s">
        <v>107</v>
      </c>
      <c r="B109" s="9" t="s">
        <v>1238</v>
      </c>
      <c r="C109" s="9" t="s">
        <v>1239</v>
      </c>
      <c r="D109" s="9" t="s">
        <v>1240</v>
      </c>
      <c r="E109" s="9" t="s">
        <v>1012</v>
      </c>
      <c r="F109" s="10">
        <v>44242</v>
      </c>
      <c r="G109" s="9" t="s">
        <v>1019</v>
      </c>
      <c r="I109" s="9" t="s">
        <v>1209</v>
      </c>
      <c r="J109" s="9" t="s">
        <v>1048</v>
      </c>
      <c r="K109" s="8" t="s">
        <v>1006</v>
      </c>
      <c r="L109" s="8" t="s">
        <v>1007</v>
      </c>
      <c r="M109" s="8" t="s">
        <v>2933</v>
      </c>
      <c r="N109" s="8" t="s">
        <v>2937</v>
      </c>
      <c r="O109" s="1" t="s">
        <v>2934</v>
      </c>
      <c r="P109">
        <v>30</v>
      </c>
      <c r="Q109">
        <v>30</v>
      </c>
      <c r="R109">
        <v>0</v>
      </c>
      <c r="S109">
        <f t="shared" si="17"/>
        <v>30</v>
      </c>
      <c r="T109" s="1" t="s">
        <v>2935</v>
      </c>
      <c r="U109" s="1" t="s">
        <v>2932</v>
      </c>
      <c r="V109" s="3">
        <f t="shared" si="18"/>
        <v>40000</v>
      </c>
      <c r="W109" s="3">
        <f t="shared" si="19"/>
        <v>16000</v>
      </c>
      <c r="X109" s="3">
        <f t="shared" si="11"/>
        <v>1250</v>
      </c>
      <c r="Y109" s="3">
        <f t="shared" si="12"/>
        <v>1600</v>
      </c>
      <c r="Z109" s="3">
        <f t="shared" si="13"/>
        <v>1800</v>
      </c>
      <c r="AA109" s="3">
        <v>0</v>
      </c>
      <c r="AB109" s="3">
        <f>ROUND(U109 - (V109+W109+X109+Y109) - (U109/Q109 * 2),0)</f>
        <v>34483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f>SUM(V109+W109+X109+Y109+AB109)</f>
        <v>93333</v>
      </c>
      <c r="AK109" s="3">
        <f>SUM(AJ109-AA109)</f>
        <v>93333</v>
      </c>
      <c r="AL109" s="3">
        <f>IF(V109&lt;=15000,V109*12%,1800)</f>
        <v>1800</v>
      </c>
      <c r="AM109" s="3">
        <v>0</v>
      </c>
      <c r="AN109" s="3">
        <f t="shared" si="14"/>
        <v>1800</v>
      </c>
      <c r="AO109" s="12">
        <v>200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3">
        <f t="shared" si="16"/>
        <v>200</v>
      </c>
      <c r="AV109" s="3">
        <f>SUM(AJ109 - AN109 - AU109)</f>
        <v>91333</v>
      </c>
      <c r="AW109" s="11">
        <v>0</v>
      </c>
      <c r="AX109" s="11">
        <v>0</v>
      </c>
      <c r="AY109" s="11">
        <v>0</v>
      </c>
      <c r="AZ109" s="11">
        <v>0</v>
      </c>
      <c r="BA109" s="3">
        <f t="shared" si="15"/>
        <v>91333</v>
      </c>
    </row>
    <row r="110" spans="1:53" x14ac:dyDescent="0.25">
      <c r="A110" s="1" t="s">
        <v>108</v>
      </c>
      <c r="B110" s="9" t="s">
        <v>1235</v>
      </c>
      <c r="C110" s="9" t="s">
        <v>1236</v>
      </c>
      <c r="D110" s="9" t="s">
        <v>1237</v>
      </c>
      <c r="E110" s="9" t="s">
        <v>1012</v>
      </c>
      <c r="F110" s="10">
        <v>44361</v>
      </c>
      <c r="G110" s="9" t="s">
        <v>1019</v>
      </c>
      <c r="I110" s="9" t="s">
        <v>1209</v>
      </c>
      <c r="J110" s="9" t="s">
        <v>1048</v>
      </c>
      <c r="K110" s="8" t="s">
        <v>1006</v>
      </c>
      <c r="L110" s="8" t="s">
        <v>1007</v>
      </c>
      <c r="M110" s="8" t="s">
        <v>2933</v>
      </c>
      <c r="N110" s="8" t="s">
        <v>2937</v>
      </c>
      <c r="O110" s="1" t="s">
        <v>2934</v>
      </c>
      <c r="P110">
        <v>30</v>
      </c>
      <c r="Q110">
        <v>30</v>
      </c>
      <c r="R110">
        <v>0</v>
      </c>
      <c r="S110">
        <f t="shared" si="17"/>
        <v>30</v>
      </c>
      <c r="T110" s="1" t="s">
        <v>2935</v>
      </c>
      <c r="U110" s="1" t="s">
        <v>2932</v>
      </c>
      <c r="V110" s="3">
        <f t="shared" si="18"/>
        <v>40000</v>
      </c>
      <c r="W110" s="3">
        <f t="shared" si="19"/>
        <v>16000</v>
      </c>
      <c r="X110" s="3">
        <f t="shared" si="11"/>
        <v>1250</v>
      </c>
      <c r="Y110" s="3">
        <f t="shared" si="12"/>
        <v>1600</v>
      </c>
      <c r="Z110" s="3">
        <f t="shared" si="13"/>
        <v>1800</v>
      </c>
      <c r="AA110" s="3">
        <v>0</v>
      </c>
      <c r="AB110" s="3">
        <f>ROUND(U110 - (V110+W110+X110+Y110) - (U110/Q110 * 2),0)</f>
        <v>34483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f>SUM(V110+W110+X110+Y110+AB110)</f>
        <v>93333</v>
      </c>
      <c r="AK110" s="3">
        <f>SUM(AJ110-AA110)</f>
        <v>93333</v>
      </c>
      <c r="AL110" s="3">
        <f>IF(V110&lt;=15000,V110*12%,1800)</f>
        <v>1800</v>
      </c>
      <c r="AM110" s="3">
        <v>0</v>
      </c>
      <c r="AN110" s="3">
        <f t="shared" si="14"/>
        <v>1800</v>
      </c>
      <c r="AO110" s="12">
        <v>200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3">
        <f t="shared" si="16"/>
        <v>200</v>
      </c>
      <c r="AV110" s="3">
        <f>SUM(AJ110 - AN110 - AU110)</f>
        <v>91333</v>
      </c>
      <c r="AW110" s="11">
        <v>0</v>
      </c>
      <c r="AX110" s="11">
        <v>0</v>
      </c>
      <c r="AY110" s="11">
        <v>0</v>
      </c>
      <c r="AZ110" s="11">
        <v>0</v>
      </c>
      <c r="BA110" s="3">
        <f t="shared" si="15"/>
        <v>91333</v>
      </c>
    </row>
    <row r="111" spans="1:53" x14ac:dyDescent="0.25">
      <c r="A111" s="1" t="s">
        <v>109</v>
      </c>
      <c r="B111" s="9" t="s">
        <v>1311</v>
      </c>
      <c r="C111" s="9" t="s">
        <v>1038</v>
      </c>
      <c r="D111" s="9">
        <v>0</v>
      </c>
      <c r="E111" s="9" t="s">
        <v>1012</v>
      </c>
      <c r="F111" s="10">
        <v>44363</v>
      </c>
      <c r="G111" s="9" t="s">
        <v>1019</v>
      </c>
      <c r="I111" s="9" t="s">
        <v>1035</v>
      </c>
      <c r="J111" s="9" t="s">
        <v>1031</v>
      </c>
      <c r="K111" s="8" t="s">
        <v>1006</v>
      </c>
      <c r="L111" s="8" t="s">
        <v>1007</v>
      </c>
      <c r="M111" s="8" t="s">
        <v>2933</v>
      </c>
      <c r="N111" s="8" t="s">
        <v>2937</v>
      </c>
      <c r="O111" s="1" t="s">
        <v>2934</v>
      </c>
      <c r="P111">
        <v>30</v>
      </c>
      <c r="Q111">
        <v>30</v>
      </c>
      <c r="R111">
        <v>0</v>
      </c>
      <c r="S111">
        <f t="shared" si="17"/>
        <v>30</v>
      </c>
      <c r="T111" s="1" t="s">
        <v>2935</v>
      </c>
      <c r="U111" s="1" t="s">
        <v>2932</v>
      </c>
      <c r="V111" s="3">
        <f t="shared" si="18"/>
        <v>40000</v>
      </c>
      <c r="W111" s="3">
        <f t="shared" si="19"/>
        <v>16000</v>
      </c>
      <c r="X111" s="3">
        <f t="shared" si="11"/>
        <v>1250</v>
      </c>
      <c r="Y111" s="3">
        <f t="shared" si="12"/>
        <v>1600</v>
      </c>
      <c r="Z111" s="3">
        <f t="shared" si="13"/>
        <v>1800</v>
      </c>
      <c r="AA111" s="3">
        <v>0</v>
      </c>
      <c r="AB111" s="3">
        <f>ROUND(U111 - (V111+W111+X111+Y111) - (U111/Q111 * 2),0)</f>
        <v>34483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f>SUM(V111+W111+X111+Y111+AB111)</f>
        <v>93333</v>
      </c>
      <c r="AK111" s="3">
        <f>SUM(AJ111-AA111)</f>
        <v>93333</v>
      </c>
      <c r="AL111" s="3">
        <f>IF(V111&lt;=15000,V111*12%,1800)</f>
        <v>1800</v>
      </c>
      <c r="AM111" s="3">
        <v>0</v>
      </c>
      <c r="AN111" s="3">
        <f t="shared" si="14"/>
        <v>1800</v>
      </c>
      <c r="AO111" s="12">
        <v>200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3">
        <f t="shared" si="16"/>
        <v>200</v>
      </c>
      <c r="AV111" s="3">
        <f>SUM(AJ111 - AN111 - AU111)</f>
        <v>91333</v>
      </c>
      <c r="AW111" s="11">
        <v>0</v>
      </c>
      <c r="AX111" s="11">
        <v>0</v>
      </c>
      <c r="AY111" s="11">
        <v>0</v>
      </c>
      <c r="AZ111" s="11">
        <v>0</v>
      </c>
      <c r="BA111" s="3">
        <f t="shared" si="15"/>
        <v>91333</v>
      </c>
    </row>
    <row r="112" spans="1:53" x14ac:dyDescent="0.25">
      <c r="A112" s="1" t="s">
        <v>110</v>
      </c>
      <c r="B112" s="9" t="s">
        <v>1308</v>
      </c>
      <c r="C112" s="9" t="s">
        <v>1309</v>
      </c>
      <c r="D112" s="9" t="s">
        <v>1310</v>
      </c>
      <c r="E112" s="9" t="s">
        <v>1012</v>
      </c>
      <c r="F112" s="10">
        <v>44396</v>
      </c>
      <c r="G112" s="9" t="s">
        <v>1019</v>
      </c>
      <c r="I112" s="9" t="s">
        <v>1035</v>
      </c>
      <c r="J112" s="9" t="s">
        <v>1048</v>
      </c>
      <c r="K112" s="8" t="s">
        <v>1006</v>
      </c>
      <c r="L112" s="8" t="s">
        <v>1007</v>
      </c>
      <c r="M112" s="8" t="s">
        <v>2933</v>
      </c>
      <c r="N112" s="8" t="s">
        <v>2937</v>
      </c>
      <c r="O112" s="1" t="s">
        <v>2934</v>
      </c>
      <c r="P112">
        <v>30</v>
      </c>
      <c r="Q112">
        <v>30</v>
      </c>
      <c r="R112">
        <v>0</v>
      </c>
      <c r="S112">
        <f t="shared" si="17"/>
        <v>30</v>
      </c>
      <c r="T112" s="1" t="s">
        <v>2935</v>
      </c>
      <c r="U112" s="1" t="s">
        <v>2932</v>
      </c>
      <c r="V112" s="3">
        <f t="shared" si="18"/>
        <v>40000</v>
      </c>
      <c r="W112" s="3">
        <f t="shared" si="19"/>
        <v>16000</v>
      </c>
      <c r="X112" s="3">
        <f t="shared" si="11"/>
        <v>1250</v>
      </c>
      <c r="Y112" s="3">
        <f t="shared" si="12"/>
        <v>1600</v>
      </c>
      <c r="Z112" s="3">
        <f t="shared" si="13"/>
        <v>1800</v>
      </c>
      <c r="AA112" s="3">
        <v>0</v>
      </c>
      <c r="AB112" s="3">
        <f>ROUND(U112 - (V112+W112+X112+Y112) - (U112/Q112 * 2),0)</f>
        <v>34483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f>SUM(V112+W112+X112+Y112+AB112)</f>
        <v>93333</v>
      </c>
      <c r="AK112" s="3">
        <f>SUM(AJ112-AA112)</f>
        <v>93333</v>
      </c>
      <c r="AL112" s="3">
        <f>IF(V112&lt;=15000,V112*12%,1800)</f>
        <v>1800</v>
      </c>
      <c r="AM112" s="3">
        <v>0</v>
      </c>
      <c r="AN112" s="3">
        <f t="shared" si="14"/>
        <v>1800</v>
      </c>
      <c r="AO112" s="12">
        <v>200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3">
        <f t="shared" si="16"/>
        <v>200</v>
      </c>
      <c r="AV112" s="3">
        <f>SUM(AJ112 - AN112 - AU112)</f>
        <v>91333</v>
      </c>
      <c r="AW112" s="11">
        <v>0</v>
      </c>
      <c r="AX112" s="11">
        <v>0</v>
      </c>
      <c r="AY112" s="11">
        <v>0</v>
      </c>
      <c r="AZ112" s="11">
        <v>0</v>
      </c>
      <c r="BA112" s="3">
        <f t="shared" si="15"/>
        <v>91333</v>
      </c>
    </row>
    <row r="113" spans="1:53" x14ac:dyDescent="0.25">
      <c r="A113" s="1" t="s">
        <v>111</v>
      </c>
      <c r="B113" s="9" t="s">
        <v>1304</v>
      </c>
      <c r="C113" s="9" t="s">
        <v>1305</v>
      </c>
      <c r="D113" s="9" t="s">
        <v>1306</v>
      </c>
      <c r="E113" s="9" t="s">
        <v>1012</v>
      </c>
      <c r="F113" s="10">
        <v>44392</v>
      </c>
      <c r="G113" s="9" t="s">
        <v>1013</v>
      </c>
      <c r="I113" s="9" t="s">
        <v>1042</v>
      </c>
      <c r="J113" s="9" t="s">
        <v>1307</v>
      </c>
      <c r="K113" s="8" t="s">
        <v>1006</v>
      </c>
      <c r="L113" s="8" t="s">
        <v>1007</v>
      </c>
      <c r="M113" s="8" t="s">
        <v>2933</v>
      </c>
      <c r="N113" s="8" t="s">
        <v>2937</v>
      </c>
      <c r="O113" s="1" t="s">
        <v>2934</v>
      </c>
      <c r="P113">
        <v>30</v>
      </c>
      <c r="Q113">
        <v>30</v>
      </c>
      <c r="R113">
        <v>0</v>
      </c>
      <c r="S113">
        <f t="shared" si="17"/>
        <v>30</v>
      </c>
      <c r="T113" s="1" t="s">
        <v>2935</v>
      </c>
      <c r="U113" s="1" t="s">
        <v>2932</v>
      </c>
      <c r="V113" s="3">
        <f t="shared" si="18"/>
        <v>40000</v>
      </c>
      <c r="W113" s="3">
        <f t="shared" si="19"/>
        <v>16000</v>
      </c>
      <c r="X113" s="3">
        <f t="shared" si="11"/>
        <v>1250</v>
      </c>
      <c r="Y113" s="3">
        <f t="shared" si="12"/>
        <v>1600</v>
      </c>
      <c r="Z113" s="3">
        <f t="shared" si="13"/>
        <v>1800</v>
      </c>
      <c r="AA113" s="3">
        <v>0</v>
      </c>
      <c r="AB113" s="3">
        <f>ROUND(U113 - (V113+W113+X113+Y113) - (U113/Q113 * 2),0)</f>
        <v>34483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f>SUM(V113+W113+X113+Y113+AB113)</f>
        <v>93333</v>
      </c>
      <c r="AK113" s="3">
        <f>SUM(AJ113-AA113)</f>
        <v>93333</v>
      </c>
      <c r="AL113" s="3">
        <f>IF(V113&lt;=15000,V113*12%,1800)</f>
        <v>1800</v>
      </c>
      <c r="AM113" s="3">
        <v>0</v>
      </c>
      <c r="AN113" s="3">
        <f t="shared" si="14"/>
        <v>1800</v>
      </c>
      <c r="AO113" s="12">
        <v>200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3">
        <f t="shared" si="16"/>
        <v>200</v>
      </c>
      <c r="AV113" s="3">
        <f>SUM(AJ113 - AN113 - AU113)</f>
        <v>91333</v>
      </c>
      <c r="AW113" s="11">
        <v>0</v>
      </c>
      <c r="AX113" s="11">
        <v>0</v>
      </c>
      <c r="AY113" s="11">
        <v>0</v>
      </c>
      <c r="AZ113" s="11">
        <v>0</v>
      </c>
      <c r="BA113" s="3">
        <f t="shared" si="15"/>
        <v>91333</v>
      </c>
    </row>
    <row r="114" spans="1:53" x14ac:dyDescent="0.25">
      <c r="A114" s="1" t="s">
        <v>112</v>
      </c>
      <c r="B114" s="9" t="s">
        <v>1301</v>
      </c>
      <c r="C114" s="9" t="s">
        <v>1302</v>
      </c>
      <c r="D114" s="9" t="s">
        <v>1303</v>
      </c>
      <c r="E114" s="9" t="s">
        <v>1012</v>
      </c>
      <c r="F114" s="10">
        <v>44398</v>
      </c>
      <c r="G114" s="9" t="s">
        <v>1019</v>
      </c>
      <c r="I114" s="9" t="s">
        <v>1014</v>
      </c>
      <c r="J114" s="9" t="s">
        <v>1031</v>
      </c>
      <c r="K114" s="8" t="s">
        <v>1006</v>
      </c>
      <c r="L114" s="8" t="s">
        <v>1007</v>
      </c>
      <c r="M114" s="8" t="s">
        <v>2933</v>
      </c>
      <c r="N114" s="8" t="s">
        <v>2937</v>
      </c>
      <c r="O114" s="1" t="s">
        <v>2934</v>
      </c>
      <c r="P114">
        <v>30</v>
      </c>
      <c r="Q114">
        <v>30</v>
      </c>
      <c r="R114">
        <v>0</v>
      </c>
      <c r="S114">
        <f t="shared" si="17"/>
        <v>30</v>
      </c>
      <c r="T114" s="1" t="s">
        <v>2935</v>
      </c>
      <c r="U114" s="1" t="s">
        <v>2932</v>
      </c>
      <c r="V114" s="3">
        <f t="shared" si="18"/>
        <v>40000</v>
      </c>
      <c r="W114" s="3">
        <f t="shared" si="19"/>
        <v>16000</v>
      </c>
      <c r="X114" s="3">
        <f t="shared" si="11"/>
        <v>1250</v>
      </c>
      <c r="Y114" s="3">
        <f t="shared" si="12"/>
        <v>1600</v>
      </c>
      <c r="Z114" s="3">
        <f t="shared" si="13"/>
        <v>1800</v>
      </c>
      <c r="AA114" s="3">
        <v>0</v>
      </c>
      <c r="AB114" s="3">
        <f>ROUND(U114 - (V114+W114+X114+Y114) - (U114/Q114 * 2),0)</f>
        <v>34483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f>SUM(V114+W114+X114+Y114+AB114)</f>
        <v>93333</v>
      </c>
      <c r="AK114" s="3">
        <f>SUM(AJ114-AA114)</f>
        <v>93333</v>
      </c>
      <c r="AL114" s="3">
        <f>IF(V114&lt;=15000,V114*12%,1800)</f>
        <v>1800</v>
      </c>
      <c r="AM114" s="3">
        <v>0</v>
      </c>
      <c r="AN114" s="3">
        <f t="shared" si="14"/>
        <v>1800</v>
      </c>
      <c r="AO114" s="12">
        <v>200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3">
        <f t="shared" si="16"/>
        <v>200</v>
      </c>
      <c r="AV114" s="3">
        <f>SUM(AJ114 - AN114 - AU114)</f>
        <v>91333</v>
      </c>
      <c r="AW114" s="11">
        <v>0</v>
      </c>
      <c r="AX114" s="11">
        <v>0</v>
      </c>
      <c r="AY114" s="11">
        <v>0</v>
      </c>
      <c r="AZ114" s="11">
        <v>0</v>
      </c>
      <c r="BA114" s="3">
        <f t="shared" si="15"/>
        <v>91333</v>
      </c>
    </row>
    <row r="115" spans="1:53" x14ac:dyDescent="0.25">
      <c r="A115" s="1" t="s">
        <v>113</v>
      </c>
      <c r="B115" s="9" t="s">
        <v>1299</v>
      </c>
      <c r="C115" s="9" t="s">
        <v>1295</v>
      </c>
      <c r="D115" s="9" t="s">
        <v>1300</v>
      </c>
      <c r="E115" s="9" t="s">
        <v>1012</v>
      </c>
      <c r="F115" s="10">
        <v>44385</v>
      </c>
      <c r="G115" s="9" t="s">
        <v>1019</v>
      </c>
      <c r="I115" s="9" t="s">
        <v>1014</v>
      </c>
      <c r="J115" s="9" t="s">
        <v>1031</v>
      </c>
      <c r="K115" s="8" t="s">
        <v>1006</v>
      </c>
      <c r="L115" s="8" t="s">
        <v>1007</v>
      </c>
      <c r="M115" s="8" t="s">
        <v>2933</v>
      </c>
      <c r="N115" s="8" t="s">
        <v>2937</v>
      </c>
      <c r="O115" s="1" t="s">
        <v>2934</v>
      </c>
      <c r="P115">
        <v>30</v>
      </c>
      <c r="Q115">
        <v>30</v>
      </c>
      <c r="R115">
        <v>0</v>
      </c>
      <c r="S115">
        <f t="shared" si="17"/>
        <v>30</v>
      </c>
      <c r="T115" s="1" t="s">
        <v>2935</v>
      </c>
      <c r="U115" s="1" t="s">
        <v>2932</v>
      </c>
      <c r="V115" s="3">
        <f t="shared" si="18"/>
        <v>40000</v>
      </c>
      <c r="W115" s="3">
        <f t="shared" si="19"/>
        <v>16000</v>
      </c>
      <c r="X115" s="3">
        <f t="shared" si="11"/>
        <v>1250</v>
      </c>
      <c r="Y115" s="3">
        <f t="shared" si="12"/>
        <v>1600</v>
      </c>
      <c r="Z115" s="3">
        <f t="shared" si="13"/>
        <v>1800</v>
      </c>
      <c r="AA115" s="3">
        <v>0</v>
      </c>
      <c r="AB115" s="3">
        <f>ROUND(U115 - (V115+W115+X115+Y115) - (U115/Q115 * 2),0)</f>
        <v>34483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f>SUM(V115+W115+X115+Y115+AB115)</f>
        <v>93333</v>
      </c>
      <c r="AK115" s="3">
        <f>SUM(AJ115-AA115)</f>
        <v>93333</v>
      </c>
      <c r="AL115" s="3">
        <f>IF(V115&lt;=15000,V115*12%,1800)</f>
        <v>1800</v>
      </c>
      <c r="AM115" s="3">
        <v>0</v>
      </c>
      <c r="AN115" s="3">
        <f t="shared" si="14"/>
        <v>1800</v>
      </c>
      <c r="AO115" s="12">
        <v>200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3">
        <f t="shared" si="16"/>
        <v>200</v>
      </c>
      <c r="AV115" s="3">
        <f>SUM(AJ115 - AN115 - AU115)</f>
        <v>91333</v>
      </c>
      <c r="AW115" s="11">
        <v>0</v>
      </c>
      <c r="AX115" s="11">
        <v>0</v>
      </c>
      <c r="AY115" s="11">
        <v>0</v>
      </c>
      <c r="AZ115" s="11">
        <v>0</v>
      </c>
      <c r="BA115" s="3">
        <f t="shared" si="15"/>
        <v>91333</v>
      </c>
    </row>
    <row r="116" spans="1:53" x14ac:dyDescent="0.25">
      <c r="A116" s="1" t="s">
        <v>114</v>
      </c>
      <c r="B116" s="9" t="s">
        <v>1297</v>
      </c>
      <c r="C116" s="9" t="s">
        <v>1115</v>
      </c>
      <c r="D116" s="9" t="s">
        <v>1298</v>
      </c>
      <c r="E116" s="9" t="s">
        <v>1008</v>
      </c>
      <c r="F116" s="10">
        <v>44431</v>
      </c>
      <c r="G116" s="9" t="s">
        <v>1019</v>
      </c>
      <c r="I116" s="9" t="s">
        <v>1042</v>
      </c>
      <c r="J116" s="9" t="s">
        <v>1048</v>
      </c>
      <c r="K116" s="8" t="s">
        <v>1006</v>
      </c>
      <c r="L116" s="8" t="s">
        <v>1007</v>
      </c>
      <c r="M116" s="8" t="s">
        <v>2933</v>
      </c>
      <c r="N116" s="8" t="s">
        <v>2937</v>
      </c>
      <c r="O116" s="1" t="s">
        <v>2934</v>
      </c>
      <c r="P116">
        <v>30</v>
      </c>
      <c r="Q116">
        <v>30</v>
      </c>
      <c r="R116">
        <v>0</v>
      </c>
      <c r="S116">
        <f t="shared" si="17"/>
        <v>30</v>
      </c>
      <c r="T116" s="1" t="s">
        <v>2935</v>
      </c>
      <c r="U116" s="1" t="s">
        <v>2932</v>
      </c>
      <c r="V116" s="3">
        <f t="shared" si="18"/>
        <v>40000</v>
      </c>
      <c r="W116" s="3">
        <f t="shared" si="19"/>
        <v>16000</v>
      </c>
      <c r="X116" s="3">
        <f t="shared" si="11"/>
        <v>1250</v>
      </c>
      <c r="Y116" s="3">
        <f t="shared" si="12"/>
        <v>1600</v>
      </c>
      <c r="Z116" s="3">
        <f t="shared" si="13"/>
        <v>1800</v>
      </c>
      <c r="AA116" s="3">
        <v>0</v>
      </c>
      <c r="AB116" s="3">
        <f>ROUND(U116 - (V116+W116+X116+Y116) - (U116/Q116 * 2),0)</f>
        <v>34483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f>SUM(V116+W116+X116+Y116+AB116)</f>
        <v>93333</v>
      </c>
      <c r="AK116" s="3">
        <f>SUM(AJ116-AA116)</f>
        <v>93333</v>
      </c>
      <c r="AL116" s="3">
        <f>IF(V116&lt;=15000,V116*12%,1800)</f>
        <v>1800</v>
      </c>
      <c r="AM116" s="3">
        <v>0</v>
      </c>
      <c r="AN116" s="3">
        <f t="shared" si="14"/>
        <v>1800</v>
      </c>
      <c r="AO116" s="12">
        <v>200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3">
        <f t="shared" si="16"/>
        <v>200</v>
      </c>
      <c r="AV116" s="3">
        <f>SUM(AJ116 - AN116 - AU116)</f>
        <v>91333</v>
      </c>
      <c r="AW116" s="11">
        <v>0</v>
      </c>
      <c r="AX116" s="11">
        <v>0</v>
      </c>
      <c r="AY116" s="11">
        <v>0</v>
      </c>
      <c r="AZ116" s="11">
        <v>0</v>
      </c>
      <c r="BA116" s="3">
        <f t="shared" si="15"/>
        <v>91333</v>
      </c>
    </row>
    <row r="117" spans="1:53" x14ac:dyDescent="0.25">
      <c r="A117" s="1" t="s">
        <v>115</v>
      </c>
      <c r="B117" s="9" t="s">
        <v>1294</v>
      </c>
      <c r="C117" s="9" t="s">
        <v>1295</v>
      </c>
      <c r="D117" s="9" t="s">
        <v>1296</v>
      </c>
      <c r="E117" s="9" t="s">
        <v>1008</v>
      </c>
      <c r="F117" s="10">
        <v>45819</v>
      </c>
      <c r="G117" s="9" t="s">
        <v>1019</v>
      </c>
      <c r="I117" s="9" t="s">
        <v>1014</v>
      </c>
      <c r="J117" s="9" t="s">
        <v>1031</v>
      </c>
      <c r="K117" s="8" t="s">
        <v>1006</v>
      </c>
      <c r="L117" s="8" t="s">
        <v>1007</v>
      </c>
      <c r="M117" s="8" t="s">
        <v>2933</v>
      </c>
      <c r="N117" s="8" t="s">
        <v>2937</v>
      </c>
      <c r="O117" s="1" t="s">
        <v>2934</v>
      </c>
      <c r="P117">
        <v>30</v>
      </c>
      <c r="Q117">
        <v>30</v>
      </c>
      <c r="R117">
        <v>0</v>
      </c>
      <c r="S117">
        <f t="shared" si="17"/>
        <v>30</v>
      </c>
      <c r="T117" s="1" t="s">
        <v>2935</v>
      </c>
      <c r="U117" s="1" t="s">
        <v>2932</v>
      </c>
      <c r="V117" s="3">
        <f t="shared" si="18"/>
        <v>40000</v>
      </c>
      <c r="W117" s="3">
        <f t="shared" si="19"/>
        <v>16000</v>
      </c>
      <c r="X117" s="3">
        <f t="shared" si="11"/>
        <v>1250</v>
      </c>
      <c r="Y117" s="3">
        <f t="shared" si="12"/>
        <v>1600</v>
      </c>
      <c r="Z117" s="3">
        <f t="shared" si="13"/>
        <v>1800</v>
      </c>
      <c r="AA117" s="3">
        <v>0</v>
      </c>
      <c r="AB117" s="3">
        <f>ROUND(U117 - (V117+W117+X117+Y117) - (U117/Q117 * 2),0)</f>
        <v>34483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f>SUM(V117+W117+X117+Y117+AB117)</f>
        <v>93333</v>
      </c>
      <c r="AK117" s="3">
        <f>SUM(AJ117-AA117)</f>
        <v>93333</v>
      </c>
      <c r="AL117" s="3">
        <f>IF(V117&lt;=15000,V117*12%,1800)</f>
        <v>1800</v>
      </c>
      <c r="AM117" s="3">
        <v>0</v>
      </c>
      <c r="AN117" s="3">
        <f t="shared" si="14"/>
        <v>1800</v>
      </c>
      <c r="AO117" s="12">
        <v>200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3">
        <f t="shared" si="16"/>
        <v>200</v>
      </c>
      <c r="AV117" s="3">
        <f>SUM(AJ117 - AN117 - AU117)</f>
        <v>91333</v>
      </c>
      <c r="AW117" s="11">
        <v>0</v>
      </c>
      <c r="AX117" s="11">
        <v>0</v>
      </c>
      <c r="AY117" s="11">
        <v>0</v>
      </c>
      <c r="AZ117" s="11">
        <v>0</v>
      </c>
      <c r="BA117" s="3">
        <f t="shared" si="15"/>
        <v>91333</v>
      </c>
    </row>
    <row r="118" spans="1:53" x14ac:dyDescent="0.25">
      <c r="A118" s="1" t="s">
        <v>116</v>
      </c>
      <c r="B118" s="9" t="s">
        <v>1292</v>
      </c>
      <c r="C118" s="9" t="s">
        <v>1216</v>
      </c>
      <c r="D118" s="9" t="s">
        <v>1293</v>
      </c>
      <c r="E118" s="9" t="s">
        <v>1012</v>
      </c>
      <c r="F118" s="10">
        <v>44386</v>
      </c>
      <c r="G118" s="9" t="s">
        <v>1019</v>
      </c>
      <c r="I118" s="9" t="s">
        <v>1035</v>
      </c>
      <c r="J118" s="9" t="s">
        <v>1021</v>
      </c>
      <c r="K118" s="8" t="s">
        <v>1006</v>
      </c>
      <c r="L118" s="8" t="s">
        <v>1007</v>
      </c>
      <c r="M118" s="8" t="s">
        <v>2933</v>
      </c>
      <c r="N118" s="8" t="s">
        <v>2937</v>
      </c>
      <c r="O118" s="1" t="s">
        <v>2934</v>
      </c>
      <c r="P118">
        <v>30</v>
      </c>
      <c r="Q118">
        <v>30</v>
      </c>
      <c r="R118">
        <v>0</v>
      </c>
      <c r="S118">
        <f t="shared" si="17"/>
        <v>30</v>
      </c>
      <c r="T118" s="1" t="s">
        <v>2935</v>
      </c>
      <c r="U118" s="1" t="s">
        <v>2932</v>
      </c>
      <c r="V118" s="3">
        <f t="shared" si="18"/>
        <v>40000</v>
      </c>
      <c r="W118" s="3">
        <f t="shared" si="19"/>
        <v>16000</v>
      </c>
      <c r="X118" s="3">
        <f t="shared" si="11"/>
        <v>1250</v>
      </c>
      <c r="Y118" s="3">
        <f t="shared" si="12"/>
        <v>1600</v>
      </c>
      <c r="Z118" s="3">
        <f t="shared" si="13"/>
        <v>1800</v>
      </c>
      <c r="AA118" s="3">
        <v>0</v>
      </c>
      <c r="AB118" s="3">
        <f>ROUND(U118 - (V118+W118+X118+Y118) - (U118/Q118 * 2),0)</f>
        <v>34483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f>SUM(V118+W118+X118+Y118+AB118)</f>
        <v>93333</v>
      </c>
      <c r="AK118" s="3">
        <f>SUM(AJ118-AA118)</f>
        <v>93333</v>
      </c>
      <c r="AL118" s="3">
        <f>IF(V118&lt;=15000,V118*12%,1800)</f>
        <v>1800</v>
      </c>
      <c r="AM118" s="3">
        <v>0</v>
      </c>
      <c r="AN118" s="3">
        <f t="shared" si="14"/>
        <v>1800</v>
      </c>
      <c r="AO118" s="12">
        <v>200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3">
        <f t="shared" si="16"/>
        <v>200</v>
      </c>
      <c r="AV118" s="3">
        <f>SUM(AJ118 - AN118 - AU118)</f>
        <v>91333</v>
      </c>
      <c r="AW118" s="11">
        <v>0</v>
      </c>
      <c r="AX118" s="11">
        <v>0</v>
      </c>
      <c r="AY118" s="11">
        <v>0</v>
      </c>
      <c r="AZ118" s="11">
        <v>0</v>
      </c>
      <c r="BA118" s="3">
        <f t="shared" si="15"/>
        <v>91333</v>
      </c>
    </row>
    <row r="119" spans="1:53" x14ac:dyDescent="0.25">
      <c r="A119" s="1" t="s">
        <v>117</v>
      </c>
      <c r="B119" s="9" t="s">
        <v>1290</v>
      </c>
      <c r="C119" s="9" t="s">
        <v>1023</v>
      </c>
      <c r="D119" s="9" t="s">
        <v>1291</v>
      </c>
      <c r="E119" s="9" t="s">
        <v>1012</v>
      </c>
      <c r="F119" s="10">
        <v>44391</v>
      </c>
      <c r="G119" s="9" t="s">
        <v>1019</v>
      </c>
      <c r="I119" s="9" t="s">
        <v>1014</v>
      </c>
      <c r="J119" s="9" t="s">
        <v>1021</v>
      </c>
      <c r="K119" s="8" t="s">
        <v>1006</v>
      </c>
      <c r="L119" s="8" t="s">
        <v>1007</v>
      </c>
      <c r="M119" s="8" t="s">
        <v>2933</v>
      </c>
      <c r="N119" s="8" t="s">
        <v>2937</v>
      </c>
      <c r="O119" s="1" t="s">
        <v>2934</v>
      </c>
      <c r="P119">
        <v>30</v>
      </c>
      <c r="Q119">
        <v>30</v>
      </c>
      <c r="R119">
        <v>0</v>
      </c>
      <c r="S119">
        <f t="shared" si="17"/>
        <v>30</v>
      </c>
      <c r="T119" s="1" t="s">
        <v>2935</v>
      </c>
      <c r="U119" s="1" t="s">
        <v>2932</v>
      </c>
      <c r="V119" s="3">
        <f t="shared" si="18"/>
        <v>40000</v>
      </c>
      <c r="W119" s="3">
        <f t="shared" si="19"/>
        <v>16000</v>
      </c>
      <c r="X119" s="3">
        <f t="shared" si="11"/>
        <v>1250</v>
      </c>
      <c r="Y119" s="3">
        <f t="shared" si="12"/>
        <v>1600</v>
      </c>
      <c r="Z119" s="3">
        <f t="shared" si="13"/>
        <v>1800</v>
      </c>
      <c r="AA119" s="3">
        <v>0</v>
      </c>
      <c r="AB119" s="3">
        <f>ROUND(U119 - (V119+W119+X119+Y119) - (U119/Q119 * 2),0)</f>
        <v>34483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f>SUM(V119+W119+X119+Y119+AB119)</f>
        <v>93333</v>
      </c>
      <c r="AK119" s="3">
        <f>SUM(AJ119-AA119)</f>
        <v>93333</v>
      </c>
      <c r="AL119" s="3">
        <f>IF(V119&lt;=15000,V119*12%,1800)</f>
        <v>1800</v>
      </c>
      <c r="AM119" s="3">
        <v>0</v>
      </c>
      <c r="AN119" s="3">
        <f t="shared" si="14"/>
        <v>1800</v>
      </c>
      <c r="AO119" s="12">
        <v>200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3">
        <f t="shared" si="16"/>
        <v>200</v>
      </c>
      <c r="AV119" s="3">
        <f>SUM(AJ119 - AN119 - AU119)</f>
        <v>91333</v>
      </c>
      <c r="AW119" s="11">
        <v>0</v>
      </c>
      <c r="AX119" s="11">
        <v>0</v>
      </c>
      <c r="AY119" s="11">
        <v>0</v>
      </c>
      <c r="AZ119" s="11">
        <v>0</v>
      </c>
      <c r="BA119" s="3">
        <f t="shared" si="15"/>
        <v>91333</v>
      </c>
    </row>
    <row r="120" spans="1:53" x14ac:dyDescent="0.25">
      <c r="A120" s="1" t="s">
        <v>118</v>
      </c>
      <c r="B120" s="9" t="s">
        <v>1288</v>
      </c>
      <c r="C120" s="9" t="s">
        <v>1038</v>
      </c>
      <c r="D120" s="9" t="s">
        <v>1289</v>
      </c>
      <c r="E120" s="9" t="s">
        <v>1012</v>
      </c>
      <c r="F120" s="10">
        <v>44438</v>
      </c>
      <c r="G120" s="9" t="s">
        <v>1019</v>
      </c>
      <c r="I120" s="9" t="s">
        <v>1014</v>
      </c>
      <c r="J120" s="9" t="s">
        <v>1031</v>
      </c>
      <c r="K120" s="8" t="s">
        <v>1006</v>
      </c>
      <c r="L120" s="8" t="s">
        <v>1007</v>
      </c>
      <c r="M120" s="8" t="s">
        <v>2933</v>
      </c>
      <c r="N120" s="8" t="s">
        <v>2937</v>
      </c>
      <c r="O120" s="1" t="s">
        <v>2934</v>
      </c>
      <c r="P120">
        <v>30</v>
      </c>
      <c r="Q120">
        <v>30</v>
      </c>
      <c r="R120">
        <v>0</v>
      </c>
      <c r="S120">
        <f t="shared" si="17"/>
        <v>30</v>
      </c>
      <c r="T120" s="1" t="s">
        <v>2935</v>
      </c>
      <c r="U120" s="1" t="s">
        <v>2932</v>
      </c>
      <c r="V120" s="3">
        <f t="shared" si="18"/>
        <v>40000</v>
      </c>
      <c r="W120" s="3">
        <f t="shared" si="19"/>
        <v>16000</v>
      </c>
      <c r="X120" s="3">
        <f t="shared" si="11"/>
        <v>1250</v>
      </c>
      <c r="Y120" s="3">
        <f t="shared" si="12"/>
        <v>1600</v>
      </c>
      <c r="Z120" s="3">
        <f t="shared" si="13"/>
        <v>1800</v>
      </c>
      <c r="AA120" s="3">
        <v>0</v>
      </c>
      <c r="AB120" s="3">
        <f>ROUND(U120 - (V120+W120+X120+Y120) - (U120/Q120 * 2),0)</f>
        <v>34483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f>SUM(V120+W120+X120+Y120+AB120)</f>
        <v>93333</v>
      </c>
      <c r="AK120" s="3">
        <f>SUM(AJ120-AA120)</f>
        <v>93333</v>
      </c>
      <c r="AL120" s="3">
        <f>IF(V120&lt;=15000,V120*12%,1800)</f>
        <v>1800</v>
      </c>
      <c r="AM120" s="3">
        <v>0</v>
      </c>
      <c r="AN120" s="3">
        <f t="shared" si="14"/>
        <v>1800</v>
      </c>
      <c r="AO120" s="12">
        <v>200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3">
        <f t="shared" si="16"/>
        <v>200</v>
      </c>
      <c r="AV120" s="3">
        <f>SUM(AJ120 - AN120 - AU120)</f>
        <v>91333</v>
      </c>
      <c r="AW120" s="11">
        <v>0</v>
      </c>
      <c r="AX120" s="11">
        <v>0</v>
      </c>
      <c r="AY120" s="11">
        <v>0</v>
      </c>
      <c r="AZ120" s="11">
        <v>0</v>
      </c>
      <c r="BA120" s="3">
        <f t="shared" si="15"/>
        <v>91333</v>
      </c>
    </row>
    <row r="121" spans="1:53" x14ac:dyDescent="0.25">
      <c r="A121" s="1" t="s">
        <v>119</v>
      </c>
      <c r="B121" s="9" t="s">
        <v>1286</v>
      </c>
      <c r="C121" s="9" t="s">
        <v>1010</v>
      </c>
      <c r="D121" s="9" t="s">
        <v>1287</v>
      </c>
      <c r="E121" s="9" t="s">
        <v>1012</v>
      </c>
      <c r="F121" s="10">
        <v>45047</v>
      </c>
      <c r="G121" s="9" t="s">
        <v>1019</v>
      </c>
      <c r="I121" s="9" t="s">
        <v>1014</v>
      </c>
      <c r="J121" s="9" t="s">
        <v>1015</v>
      </c>
      <c r="K121" s="8" t="s">
        <v>1006</v>
      </c>
      <c r="L121" s="8" t="s">
        <v>1007</v>
      </c>
      <c r="M121" s="8" t="s">
        <v>2933</v>
      </c>
      <c r="N121" s="8" t="s">
        <v>2937</v>
      </c>
      <c r="O121" s="1" t="s">
        <v>2934</v>
      </c>
      <c r="P121">
        <v>30</v>
      </c>
      <c r="Q121">
        <v>30</v>
      </c>
      <c r="R121">
        <v>0</v>
      </c>
      <c r="S121">
        <f t="shared" si="17"/>
        <v>30</v>
      </c>
      <c r="T121" s="1" t="s">
        <v>2935</v>
      </c>
      <c r="U121" s="1" t="s">
        <v>2932</v>
      </c>
      <c r="V121" s="3">
        <f t="shared" si="18"/>
        <v>40000</v>
      </c>
      <c r="W121" s="3">
        <f t="shared" si="19"/>
        <v>16000</v>
      </c>
      <c r="X121" s="3">
        <f t="shared" si="11"/>
        <v>1250</v>
      </c>
      <c r="Y121" s="3">
        <f t="shared" si="12"/>
        <v>1600</v>
      </c>
      <c r="Z121" s="3">
        <f t="shared" si="13"/>
        <v>1800</v>
      </c>
      <c r="AA121" s="3">
        <v>0</v>
      </c>
      <c r="AB121" s="3">
        <f>ROUND(U121 - (V121+W121+X121+Y121) - (U121/Q121 * 2),0)</f>
        <v>34483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f>SUM(V121+W121+X121+Y121+AB121)</f>
        <v>93333</v>
      </c>
      <c r="AK121" s="3">
        <f>SUM(AJ121-AA121)</f>
        <v>93333</v>
      </c>
      <c r="AL121" s="3">
        <f>IF(V121&lt;=15000,V121*12%,1800)</f>
        <v>1800</v>
      </c>
      <c r="AM121" s="3">
        <v>0</v>
      </c>
      <c r="AN121" s="3">
        <f t="shared" si="14"/>
        <v>1800</v>
      </c>
      <c r="AO121" s="12">
        <v>200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3">
        <f t="shared" si="16"/>
        <v>200</v>
      </c>
      <c r="AV121" s="3">
        <f>SUM(AJ121 - AN121 - AU121)</f>
        <v>91333</v>
      </c>
      <c r="AW121" s="11">
        <v>0</v>
      </c>
      <c r="AX121" s="11">
        <v>0</v>
      </c>
      <c r="AY121" s="11">
        <v>0</v>
      </c>
      <c r="AZ121" s="11">
        <v>0</v>
      </c>
      <c r="BA121" s="3">
        <f t="shared" si="15"/>
        <v>91333</v>
      </c>
    </row>
    <row r="122" spans="1:53" x14ac:dyDescent="0.25">
      <c r="A122" s="1" t="s">
        <v>120</v>
      </c>
      <c r="B122" s="9" t="s">
        <v>1283</v>
      </c>
      <c r="C122" s="9" t="s">
        <v>1284</v>
      </c>
      <c r="D122" s="9" t="s">
        <v>1285</v>
      </c>
      <c r="E122" s="9" t="s">
        <v>1012</v>
      </c>
      <c r="F122" s="10">
        <v>45047</v>
      </c>
      <c r="G122" s="9" t="s">
        <v>1019</v>
      </c>
      <c r="I122" s="9" t="s">
        <v>1014</v>
      </c>
      <c r="J122" s="9" t="s">
        <v>1021</v>
      </c>
      <c r="K122" s="8" t="s">
        <v>1006</v>
      </c>
      <c r="L122" s="8" t="s">
        <v>1007</v>
      </c>
      <c r="M122" s="8" t="s">
        <v>2933</v>
      </c>
      <c r="N122" s="8" t="s">
        <v>2937</v>
      </c>
      <c r="O122" s="1" t="s">
        <v>2934</v>
      </c>
      <c r="P122">
        <v>30</v>
      </c>
      <c r="Q122">
        <v>30</v>
      </c>
      <c r="R122">
        <v>0</v>
      </c>
      <c r="S122">
        <f t="shared" si="17"/>
        <v>30</v>
      </c>
      <c r="T122" s="1" t="s">
        <v>2935</v>
      </c>
      <c r="U122" s="1" t="s">
        <v>2932</v>
      </c>
      <c r="V122" s="3">
        <f t="shared" si="18"/>
        <v>40000</v>
      </c>
      <c r="W122" s="3">
        <f t="shared" si="19"/>
        <v>16000</v>
      </c>
      <c r="X122" s="3">
        <f t="shared" si="11"/>
        <v>1250</v>
      </c>
      <c r="Y122" s="3">
        <f t="shared" si="12"/>
        <v>1600</v>
      </c>
      <c r="Z122" s="3">
        <f t="shared" si="13"/>
        <v>1800</v>
      </c>
      <c r="AA122" s="3">
        <v>0</v>
      </c>
      <c r="AB122" s="3">
        <f>ROUND(U122 - (V122+W122+X122+Y122) - (U122/Q122 * 2),0)</f>
        <v>34483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f>SUM(V122+W122+X122+Y122+AB122)</f>
        <v>93333</v>
      </c>
      <c r="AK122" s="3">
        <f>SUM(AJ122-AA122)</f>
        <v>93333</v>
      </c>
      <c r="AL122" s="3">
        <f>IF(V122&lt;=15000,V122*12%,1800)</f>
        <v>1800</v>
      </c>
      <c r="AM122" s="3">
        <v>0</v>
      </c>
      <c r="AN122" s="3">
        <f t="shared" si="14"/>
        <v>1800</v>
      </c>
      <c r="AO122" s="12">
        <v>200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3">
        <f t="shared" si="16"/>
        <v>200</v>
      </c>
      <c r="AV122" s="3">
        <f>SUM(AJ122 - AN122 - AU122)</f>
        <v>91333</v>
      </c>
      <c r="AW122" s="11">
        <v>0</v>
      </c>
      <c r="AX122" s="11">
        <v>0</v>
      </c>
      <c r="AY122" s="11">
        <v>0</v>
      </c>
      <c r="AZ122" s="11">
        <v>0</v>
      </c>
      <c r="BA122" s="3">
        <f t="shared" si="15"/>
        <v>91333</v>
      </c>
    </row>
    <row r="123" spans="1:53" x14ac:dyDescent="0.25">
      <c r="A123" s="1" t="s">
        <v>121</v>
      </c>
      <c r="B123" s="9" t="s">
        <v>1281</v>
      </c>
      <c r="C123" s="9" t="s">
        <v>1063</v>
      </c>
      <c r="D123" s="9" t="s">
        <v>1282</v>
      </c>
      <c r="E123" s="9" t="s">
        <v>1012</v>
      </c>
      <c r="F123" s="10">
        <v>45047</v>
      </c>
      <c r="G123" s="9" t="s">
        <v>1013</v>
      </c>
      <c r="I123" s="9" t="s">
        <v>1020</v>
      </c>
      <c r="J123" s="9" t="s">
        <v>1015</v>
      </c>
      <c r="K123" s="8" t="s">
        <v>1006</v>
      </c>
      <c r="L123" s="8" t="s">
        <v>1007</v>
      </c>
      <c r="M123" s="8" t="s">
        <v>2933</v>
      </c>
      <c r="N123" s="8" t="s">
        <v>2937</v>
      </c>
      <c r="O123" s="1" t="s">
        <v>2934</v>
      </c>
      <c r="P123">
        <v>30</v>
      </c>
      <c r="Q123">
        <v>30</v>
      </c>
      <c r="R123">
        <v>0</v>
      </c>
      <c r="S123">
        <f t="shared" si="17"/>
        <v>30</v>
      </c>
      <c r="T123" s="1" t="s">
        <v>2935</v>
      </c>
      <c r="U123" s="1" t="s">
        <v>2932</v>
      </c>
      <c r="V123" s="3">
        <f t="shared" si="18"/>
        <v>40000</v>
      </c>
      <c r="W123" s="3">
        <f t="shared" si="19"/>
        <v>16000</v>
      </c>
      <c r="X123" s="3">
        <f t="shared" si="11"/>
        <v>1250</v>
      </c>
      <c r="Y123" s="3">
        <f t="shared" si="12"/>
        <v>1600</v>
      </c>
      <c r="Z123" s="3">
        <f t="shared" si="13"/>
        <v>1800</v>
      </c>
      <c r="AA123" s="3">
        <v>0</v>
      </c>
      <c r="AB123" s="3">
        <f>ROUND(U123 - (V123+W123+X123+Y123) - (U123/Q123 * 2),0)</f>
        <v>34483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f>SUM(V123+W123+X123+Y123+AB123)</f>
        <v>93333</v>
      </c>
      <c r="AK123" s="3">
        <f>SUM(AJ123-AA123)</f>
        <v>93333</v>
      </c>
      <c r="AL123" s="3">
        <f>IF(V123&lt;=15000,V123*12%,1800)</f>
        <v>1800</v>
      </c>
      <c r="AM123" s="3">
        <v>0</v>
      </c>
      <c r="AN123" s="3">
        <f t="shared" si="14"/>
        <v>1800</v>
      </c>
      <c r="AO123" s="12">
        <v>200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3">
        <f t="shared" si="16"/>
        <v>200</v>
      </c>
      <c r="AV123" s="3">
        <f>SUM(AJ123 - AN123 - AU123)</f>
        <v>91333</v>
      </c>
      <c r="AW123" s="11">
        <v>0</v>
      </c>
      <c r="AX123" s="11">
        <v>0</v>
      </c>
      <c r="AY123" s="11">
        <v>0</v>
      </c>
      <c r="AZ123" s="11">
        <v>0</v>
      </c>
      <c r="BA123" s="3">
        <f t="shared" si="15"/>
        <v>91333</v>
      </c>
    </row>
    <row r="124" spans="1:53" x14ac:dyDescent="0.25">
      <c r="A124" s="1" t="s">
        <v>122</v>
      </c>
      <c r="B124" s="9" t="s">
        <v>1279</v>
      </c>
      <c r="C124" s="9" t="s">
        <v>1026</v>
      </c>
      <c r="D124" s="9" t="s">
        <v>1280</v>
      </c>
      <c r="E124" s="9" t="s">
        <v>1012</v>
      </c>
      <c r="F124" s="10">
        <v>45047</v>
      </c>
      <c r="G124" s="9" t="s">
        <v>1019</v>
      </c>
      <c r="I124" s="9" t="s">
        <v>1014</v>
      </c>
      <c r="J124" s="9" t="s">
        <v>1015</v>
      </c>
      <c r="K124" s="8" t="s">
        <v>1006</v>
      </c>
      <c r="L124" s="8" t="s">
        <v>1007</v>
      </c>
      <c r="M124" s="8" t="s">
        <v>2933</v>
      </c>
      <c r="N124" s="8" t="s">
        <v>2937</v>
      </c>
      <c r="O124" s="1" t="s">
        <v>2934</v>
      </c>
      <c r="P124">
        <v>30</v>
      </c>
      <c r="Q124">
        <v>30</v>
      </c>
      <c r="R124">
        <v>0</v>
      </c>
      <c r="S124">
        <f t="shared" si="17"/>
        <v>30</v>
      </c>
      <c r="T124" s="1" t="s">
        <v>2935</v>
      </c>
      <c r="U124" s="1" t="s">
        <v>2932</v>
      </c>
      <c r="V124" s="3">
        <f t="shared" si="18"/>
        <v>40000</v>
      </c>
      <c r="W124" s="3">
        <f t="shared" si="19"/>
        <v>16000</v>
      </c>
      <c r="X124" s="3">
        <f t="shared" si="11"/>
        <v>1250</v>
      </c>
      <c r="Y124" s="3">
        <f t="shared" si="12"/>
        <v>1600</v>
      </c>
      <c r="Z124" s="3">
        <f t="shared" si="13"/>
        <v>1800</v>
      </c>
      <c r="AA124" s="3">
        <v>0</v>
      </c>
      <c r="AB124" s="3">
        <f>ROUND(U124 - (V124+W124+X124+Y124) - (U124/Q124 * 2),0)</f>
        <v>34483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f>SUM(V124+W124+X124+Y124+AB124)</f>
        <v>93333</v>
      </c>
      <c r="AK124" s="3">
        <f>SUM(AJ124-AA124)</f>
        <v>93333</v>
      </c>
      <c r="AL124" s="3">
        <f>IF(V124&lt;=15000,V124*12%,1800)</f>
        <v>1800</v>
      </c>
      <c r="AM124" s="3">
        <v>0</v>
      </c>
      <c r="AN124" s="3">
        <f t="shared" si="14"/>
        <v>1800</v>
      </c>
      <c r="AO124" s="12">
        <v>200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3">
        <f t="shared" si="16"/>
        <v>200</v>
      </c>
      <c r="AV124" s="3">
        <f>SUM(AJ124 - AN124 - AU124)</f>
        <v>91333</v>
      </c>
      <c r="AW124" s="11">
        <v>0</v>
      </c>
      <c r="AX124" s="11">
        <v>0</v>
      </c>
      <c r="AY124" s="11">
        <v>0</v>
      </c>
      <c r="AZ124" s="11">
        <v>0</v>
      </c>
      <c r="BA124" s="3">
        <f t="shared" si="15"/>
        <v>91333</v>
      </c>
    </row>
    <row r="125" spans="1:53" x14ac:dyDescent="0.25">
      <c r="A125" s="1" t="s">
        <v>123</v>
      </c>
      <c r="B125" s="9" t="s">
        <v>1277</v>
      </c>
      <c r="C125" s="9" t="s">
        <v>1010</v>
      </c>
      <c r="D125" s="9" t="s">
        <v>1278</v>
      </c>
      <c r="E125" s="9" t="s">
        <v>1012</v>
      </c>
      <c r="F125" s="10">
        <v>45047</v>
      </c>
      <c r="G125" s="9" t="s">
        <v>1013</v>
      </c>
      <c r="I125" s="9" t="s">
        <v>1020</v>
      </c>
      <c r="J125" s="9" t="s">
        <v>1015</v>
      </c>
      <c r="K125" s="8" t="s">
        <v>1006</v>
      </c>
      <c r="L125" s="8" t="s">
        <v>1007</v>
      </c>
      <c r="M125" s="8" t="s">
        <v>2933</v>
      </c>
      <c r="N125" s="8" t="s">
        <v>2937</v>
      </c>
      <c r="O125" s="1" t="s">
        <v>2934</v>
      </c>
      <c r="P125">
        <v>30</v>
      </c>
      <c r="Q125">
        <v>30</v>
      </c>
      <c r="R125">
        <v>0</v>
      </c>
      <c r="S125">
        <f t="shared" si="17"/>
        <v>30</v>
      </c>
      <c r="T125" s="1" t="s">
        <v>2935</v>
      </c>
      <c r="U125" s="1" t="s">
        <v>2932</v>
      </c>
      <c r="V125" s="3">
        <f t="shared" si="18"/>
        <v>40000</v>
      </c>
      <c r="W125" s="3">
        <f t="shared" si="19"/>
        <v>16000</v>
      </c>
      <c r="X125" s="3">
        <f t="shared" si="11"/>
        <v>1250</v>
      </c>
      <c r="Y125" s="3">
        <f t="shared" si="12"/>
        <v>1600</v>
      </c>
      <c r="Z125" s="3">
        <f t="shared" si="13"/>
        <v>1800</v>
      </c>
      <c r="AA125" s="3">
        <v>0</v>
      </c>
      <c r="AB125" s="3">
        <f>ROUND(U125 - (V125+W125+X125+Y125) - (U125/Q125 * 2),0)</f>
        <v>34483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f>SUM(V125+W125+X125+Y125+AB125)</f>
        <v>93333</v>
      </c>
      <c r="AK125" s="3">
        <f>SUM(AJ125-AA125)</f>
        <v>93333</v>
      </c>
      <c r="AL125" s="3">
        <f>IF(V125&lt;=15000,V125*12%,1800)</f>
        <v>1800</v>
      </c>
      <c r="AM125" s="3">
        <v>0</v>
      </c>
      <c r="AN125" s="3">
        <f t="shared" si="14"/>
        <v>1800</v>
      </c>
      <c r="AO125" s="12">
        <v>200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3">
        <f t="shared" si="16"/>
        <v>200</v>
      </c>
      <c r="AV125" s="3">
        <f>SUM(AJ125 - AN125 - AU125)</f>
        <v>91333</v>
      </c>
      <c r="AW125" s="11">
        <v>0</v>
      </c>
      <c r="AX125" s="11">
        <v>0</v>
      </c>
      <c r="AY125" s="11">
        <v>0</v>
      </c>
      <c r="AZ125" s="11">
        <v>0</v>
      </c>
      <c r="BA125" s="3">
        <f t="shared" si="15"/>
        <v>91333</v>
      </c>
    </row>
    <row r="126" spans="1:53" x14ac:dyDescent="0.25">
      <c r="A126" s="1" t="s">
        <v>124</v>
      </c>
      <c r="B126" s="9" t="s">
        <v>1275</v>
      </c>
      <c r="C126" s="9" t="s">
        <v>1029</v>
      </c>
      <c r="D126" s="9" t="s">
        <v>1276</v>
      </c>
      <c r="E126" s="9" t="s">
        <v>1008</v>
      </c>
      <c r="F126" s="10">
        <v>45700</v>
      </c>
      <c r="G126" s="9" t="s">
        <v>1019</v>
      </c>
      <c r="I126" s="9" t="s">
        <v>1020</v>
      </c>
      <c r="J126" s="9" t="s">
        <v>1031</v>
      </c>
      <c r="K126" s="8" t="s">
        <v>1006</v>
      </c>
      <c r="L126" s="8" t="s">
        <v>1007</v>
      </c>
      <c r="M126" s="8" t="s">
        <v>2933</v>
      </c>
      <c r="N126" s="8" t="s">
        <v>2937</v>
      </c>
      <c r="O126" s="1" t="s">
        <v>2934</v>
      </c>
      <c r="P126">
        <v>30</v>
      </c>
      <c r="Q126">
        <v>30</v>
      </c>
      <c r="R126">
        <v>0</v>
      </c>
      <c r="S126">
        <f t="shared" si="17"/>
        <v>30</v>
      </c>
      <c r="T126" s="1" t="s">
        <v>2935</v>
      </c>
      <c r="U126" s="1" t="s">
        <v>2932</v>
      </c>
      <c r="V126" s="3">
        <f t="shared" si="18"/>
        <v>40000</v>
      </c>
      <c r="W126" s="3">
        <f t="shared" si="19"/>
        <v>16000</v>
      </c>
      <c r="X126" s="3">
        <f t="shared" si="11"/>
        <v>1250</v>
      </c>
      <c r="Y126" s="3">
        <f t="shared" si="12"/>
        <v>1600</v>
      </c>
      <c r="Z126" s="3">
        <f t="shared" si="13"/>
        <v>1800</v>
      </c>
      <c r="AA126" s="3">
        <v>0</v>
      </c>
      <c r="AB126" s="3">
        <f>ROUND(U126 - (V126+W126+X126+Y126) - (U126/Q126 * 2),0)</f>
        <v>34483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f>SUM(V126+W126+X126+Y126+AB126)</f>
        <v>93333</v>
      </c>
      <c r="AK126" s="3">
        <f>SUM(AJ126-AA126)</f>
        <v>93333</v>
      </c>
      <c r="AL126" s="3">
        <f>IF(V126&lt;=15000,V126*12%,1800)</f>
        <v>1800</v>
      </c>
      <c r="AM126" s="3">
        <v>0</v>
      </c>
      <c r="AN126" s="3">
        <f t="shared" si="14"/>
        <v>1800</v>
      </c>
      <c r="AO126" s="12">
        <v>200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3">
        <f t="shared" si="16"/>
        <v>200</v>
      </c>
      <c r="AV126" s="3">
        <f>SUM(AJ126 - AN126 - AU126)</f>
        <v>91333</v>
      </c>
      <c r="AW126" s="11">
        <v>0</v>
      </c>
      <c r="AX126" s="11">
        <v>0</v>
      </c>
      <c r="AY126" s="11">
        <v>0</v>
      </c>
      <c r="AZ126" s="11">
        <v>0</v>
      </c>
      <c r="BA126" s="3">
        <f t="shared" si="15"/>
        <v>91333</v>
      </c>
    </row>
    <row r="127" spans="1:53" x14ac:dyDescent="0.25">
      <c r="A127" s="1" t="s">
        <v>125</v>
      </c>
      <c r="B127" s="9" t="s">
        <v>1346</v>
      </c>
      <c r="C127" s="9" t="s">
        <v>1063</v>
      </c>
      <c r="D127" s="9" t="s">
        <v>1347</v>
      </c>
      <c r="E127" s="9" t="s">
        <v>1012</v>
      </c>
      <c r="F127" s="10">
        <v>45049</v>
      </c>
      <c r="G127" s="9" t="s">
        <v>1013</v>
      </c>
      <c r="I127" s="9" t="s">
        <v>1020</v>
      </c>
      <c r="J127" s="9" t="s">
        <v>1015</v>
      </c>
      <c r="K127" s="8" t="s">
        <v>1006</v>
      </c>
      <c r="L127" s="8" t="s">
        <v>1007</v>
      </c>
      <c r="M127" s="8" t="s">
        <v>2933</v>
      </c>
      <c r="N127" s="8" t="s">
        <v>2937</v>
      </c>
      <c r="O127" s="1" t="s">
        <v>2934</v>
      </c>
      <c r="P127">
        <v>30</v>
      </c>
      <c r="Q127">
        <v>30</v>
      </c>
      <c r="R127">
        <v>0</v>
      </c>
      <c r="S127">
        <f t="shared" si="17"/>
        <v>30</v>
      </c>
      <c r="T127" s="1" t="s">
        <v>2935</v>
      </c>
      <c r="U127" s="1" t="s">
        <v>2932</v>
      </c>
      <c r="V127" s="3">
        <f t="shared" si="18"/>
        <v>40000</v>
      </c>
      <c r="W127" s="3">
        <f t="shared" si="19"/>
        <v>16000</v>
      </c>
      <c r="X127" s="3">
        <f t="shared" si="11"/>
        <v>1250</v>
      </c>
      <c r="Y127" s="3">
        <f t="shared" si="12"/>
        <v>1600</v>
      </c>
      <c r="Z127" s="3">
        <f t="shared" si="13"/>
        <v>1800</v>
      </c>
      <c r="AA127" s="3">
        <v>0</v>
      </c>
      <c r="AB127" s="3">
        <f>ROUND(U127 - (V127+W127+X127+Y127) - (U127/Q127 * 2),0)</f>
        <v>34483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f>SUM(V127+W127+X127+Y127+AB127)</f>
        <v>93333</v>
      </c>
      <c r="AK127" s="3">
        <f>SUM(AJ127-AA127)</f>
        <v>93333</v>
      </c>
      <c r="AL127" s="3">
        <f>IF(V127&lt;=15000,V127*12%,1800)</f>
        <v>1800</v>
      </c>
      <c r="AM127" s="3">
        <v>0</v>
      </c>
      <c r="AN127" s="3">
        <f t="shared" si="14"/>
        <v>1800</v>
      </c>
      <c r="AO127" s="12">
        <v>200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3">
        <f t="shared" si="16"/>
        <v>200</v>
      </c>
      <c r="AV127" s="3">
        <f>SUM(AJ127 - AN127 - AU127)</f>
        <v>91333</v>
      </c>
      <c r="AW127" s="11">
        <v>0</v>
      </c>
      <c r="AX127" s="11">
        <v>0</v>
      </c>
      <c r="AY127" s="11">
        <v>0</v>
      </c>
      <c r="AZ127" s="11">
        <v>0</v>
      </c>
      <c r="BA127" s="3">
        <f t="shared" si="15"/>
        <v>91333</v>
      </c>
    </row>
    <row r="128" spans="1:53" x14ac:dyDescent="0.25">
      <c r="A128" s="1" t="s">
        <v>126</v>
      </c>
      <c r="B128" s="9" t="s">
        <v>1344</v>
      </c>
      <c r="C128" s="9" t="s">
        <v>1339</v>
      </c>
      <c r="D128" s="9" t="s">
        <v>1345</v>
      </c>
      <c r="E128" s="9" t="s">
        <v>1012</v>
      </c>
      <c r="F128" s="10">
        <v>45049</v>
      </c>
      <c r="G128" s="9" t="s">
        <v>1019</v>
      </c>
      <c r="I128" s="9" t="s">
        <v>1020</v>
      </c>
      <c r="J128" s="9" t="s">
        <v>1021</v>
      </c>
      <c r="K128" s="8" t="s">
        <v>1006</v>
      </c>
      <c r="L128" s="8" t="s">
        <v>1007</v>
      </c>
      <c r="M128" s="8" t="s">
        <v>2933</v>
      </c>
      <c r="N128" s="8" t="s">
        <v>2937</v>
      </c>
      <c r="O128" s="1" t="s">
        <v>2934</v>
      </c>
      <c r="P128">
        <v>30</v>
      </c>
      <c r="Q128">
        <v>30</v>
      </c>
      <c r="R128">
        <v>0</v>
      </c>
      <c r="S128">
        <f t="shared" si="17"/>
        <v>30</v>
      </c>
      <c r="T128" s="1" t="s">
        <v>2935</v>
      </c>
      <c r="U128" s="1" t="s">
        <v>2932</v>
      </c>
      <c r="V128" s="3">
        <f t="shared" si="18"/>
        <v>40000</v>
      </c>
      <c r="W128" s="3">
        <f t="shared" si="19"/>
        <v>16000</v>
      </c>
      <c r="X128" s="3">
        <f t="shared" si="11"/>
        <v>1250</v>
      </c>
      <c r="Y128" s="3">
        <f t="shared" si="12"/>
        <v>1600</v>
      </c>
      <c r="Z128" s="3">
        <f t="shared" si="13"/>
        <v>1800</v>
      </c>
      <c r="AA128" s="3">
        <v>0</v>
      </c>
      <c r="AB128" s="3">
        <f>ROUND(U128 - (V128+W128+X128+Y128) - (U128/Q128 * 2),0)</f>
        <v>34483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f>SUM(V128+W128+X128+Y128+AB128)</f>
        <v>93333</v>
      </c>
      <c r="AK128" s="3">
        <f>SUM(AJ128-AA128)</f>
        <v>93333</v>
      </c>
      <c r="AL128" s="3">
        <f>IF(V128&lt;=15000,V128*12%,1800)</f>
        <v>1800</v>
      </c>
      <c r="AM128" s="3">
        <v>0</v>
      </c>
      <c r="AN128" s="3">
        <f t="shared" si="14"/>
        <v>1800</v>
      </c>
      <c r="AO128" s="12">
        <v>200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3">
        <f t="shared" si="16"/>
        <v>200</v>
      </c>
      <c r="AV128" s="3">
        <f>SUM(AJ128 - AN128 - AU128)</f>
        <v>91333</v>
      </c>
      <c r="AW128" s="11">
        <v>0</v>
      </c>
      <c r="AX128" s="11">
        <v>0</v>
      </c>
      <c r="AY128" s="11">
        <v>0</v>
      </c>
      <c r="AZ128" s="11">
        <v>0</v>
      </c>
      <c r="BA128" s="3">
        <f t="shared" si="15"/>
        <v>91333</v>
      </c>
    </row>
    <row r="129" spans="1:53" x14ac:dyDescent="0.25">
      <c r="A129" s="1" t="s">
        <v>127</v>
      </c>
      <c r="B129" s="9" t="s">
        <v>1341</v>
      </c>
      <c r="C129" s="9" t="s">
        <v>1342</v>
      </c>
      <c r="D129" s="9" t="s">
        <v>1343</v>
      </c>
      <c r="E129" s="9" t="s">
        <v>1012</v>
      </c>
      <c r="F129" s="10">
        <v>45056</v>
      </c>
      <c r="G129" s="9" t="s">
        <v>1019</v>
      </c>
      <c r="I129" s="9" t="s">
        <v>1035</v>
      </c>
      <c r="J129" s="9" t="s">
        <v>1036</v>
      </c>
      <c r="K129" s="8" t="s">
        <v>1006</v>
      </c>
      <c r="L129" s="8" t="s">
        <v>1007</v>
      </c>
      <c r="M129" s="8" t="s">
        <v>2933</v>
      </c>
      <c r="N129" s="8" t="s">
        <v>2937</v>
      </c>
      <c r="O129" s="1" t="s">
        <v>2934</v>
      </c>
      <c r="P129">
        <v>30</v>
      </c>
      <c r="Q129">
        <v>30</v>
      </c>
      <c r="R129">
        <v>0</v>
      </c>
      <c r="S129">
        <f t="shared" si="17"/>
        <v>30</v>
      </c>
      <c r="T129" s="1" t="s">
        <v>2935</v>
      </c>
      <c r="U129" s="1" t="s">
        <v>2932</v>
      </c>
      <c r="V129" s="3">
        <f t="shared" si="18"/>
        <v>40000</v>
      </c>
      <c r="W129" s="3">
        <f t="shared" si="19"/>
        <v>16000</v>
      </c>
      <c r="X129" s="3">
        <f t="shared" si="11"/>
        <v>1250</v>
      </c>
      <c r="Y129" s="3">
        <f t="shared" si="12"/>
        <v>1600</v>
      </c>
      <c r="Z129" s="3">
        <f t="shared" si="13"/>
        <v>1800</v>
      </c>
      <c r="AA129" s="3">
        <v>0</v>
      </c>
      <c r="AB129" s="3">
        <f>ROUND(U129 - (V129+W129+X129+Y129) - (U129/Q129 * 2),0)</f>
        <v>34483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f>SUM(V129+W129+X129+Y129+AB129)</f>
        <v>93333</v>
      </c>
      <c r="AK129" s="3">
        <f>SUM(AJ129-AA129)</f>
        <v>93333</v>
      </c>
      <c r="AL129" s="3">
        <f>IF(V129&lt;=15000,V129*12%,1800)</f>
        <v>1800</v>
      </c>
      <c r="AM129" s="3">
        <v>0</v>
      </c>
      <c r="AN129" s="3">
        <f t="shared" si="14"/>
        <v>1800</v>
      </c>
      <c r="AO129" s="12">
        <v>200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3">
        <f t="shared" si="16"/>
        <v>200</v>
      </c>
      <c r="AV129" s="3">
        <f>SUM(AJ129 - AN129 - AU129)</f>
        <v>91333</v>
      </c>
      <c r="AW129" s="11">
        <v>0</v>
      </c>
      <c r="AX129" s="11">
        <v>0</v>
      </c>
      <c r="AY129" s="11">
        <v>0</v>
      </c>
      <c r="AZ129" s="11">
        <v>0</v>
      </c>
      <c r="BA129" s="3">
        <f t="shared" si="15"/>
        <v>91333</v>
      </c>
    </row>
    <row r="130" spans="1:53" x14ac:dyDescent="0.25">
      <c r="A130" s="1" t="s">
        <v>128</v>
      </c>
      <c r="B130" s="9" t="s">
        <v>1338</v>
      </c>
      <c r="C130" s="9" t="s">
        <v>1339</v>
      </c>
      <c r="D130" s="9" t="s">
        <v>1340</v>
      </c>
      <c r="E130" s="9" t="s">
        <v>1012</v>
      </c>
      <c r="F130" s="10">
        <v>45050</v>
      </c>
      <c r="G130" s="9" t="s">
        <v>1019</v>
      </c>
      <c r="I130" s="9" t="s">
        <v>1020</v>
      </c>
      <c r="J130" s="9" t="s">
        <v>1021</v>
      </c>
      <c r="K130" s="8" t="s">
        <v>1006</v>
      </c>
      <c r="L130" s="8" t="s">
        <v>1007</v>
      </c>
      <c r="M130" s="8" t="s">
        <v>2933</v>
      </c>
      <c r="N130" s="8" t="s">
        <v>2937</v>
      </c>
      <c r="O130" s="1" t="s">
        <v>2934</v>
      </c>
      <c r="P130">
        <v>30</v>
      </c>
      <c r="Q130">
        <v>30</v>
      </c>
      <c r="R130">
        <v>0</v>
      </c>
      <c r="S130">
        <f t="shared" si="17"/>
        <v>30</v>
      </c>
      <c r="T130" s="1" t="s">
        <v>2935</v>
      </c>
      <c r="U130" s="1" t="s">
        <v>2932</v>
      </c>
      <c r="V130" s="3">
        <f t="shared" si="18"/>
        <v>40000</v>
      </c>
      <c r="W130" s="3">
        <f t="shared" si="19"/>
        <v>16000</v>
      </c>
      <c r="X130" s="3">
        <f t="shared" si="11"/>
        <v>1250</v>
      </c>
      <c r="Y130" s="3">
        <f t="shared" si="12"/>
        <v>1600</v>
      </c>
      <c r="Z130" s="3">
        <f t="shared" si="13"/>
        <v>1800</v>
      </c>
      <c r="AA130" s="3">
        <v>0</v>
      </c>
      <c r="AB130" s="3">
        <f>ROUND(U130 - (V130+W130+X130+Y130) - (U130/Q130 * 2),0)</f>
        <v>34483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f>SUM(V130+W130+X130+Y130+AB130)</f>
        <v>93333</v>
      </c>
      <c r="AK130" s="3">
        <f>SUM(AJ130-AA130)</f>
        <v>93333</v>
      </c>
      <c r="AL130" s="3">
        <f>IF(V130&lt;=15000,V130*12%,1800)</f>
        <v>1800</v>
      </c>
      <c r="AM130" s="3">
        <v>0</v>
      </c>
      <c r="AN130" s="3">
        <f t="shared" si="14"/>
        <v>1800</v>
      </c>
      <c r="AO130" s="12">
        <v>200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3">
        <f t="shared" si="16"/>
        <v>200</v>
      </c>
      <c r="AV130" s="3">
        <f>SUM(AJ130 - AN130 - AU130)</f>
        <v>91333</v>
      </c>
      <c r="AW130" s="11">
        <v>0</v>
      </c>
      <c r="AX130" s="11">
        <v>0</v>
      </c>
      <c r="AY130" s="11">
        <v>0</v>
      </c>
      <c r="AZ130" s="11">
        <v>0</v>
      </c>
      <c r="BA130" s="3">
        <f t="shared" si="15"/>
        <v>91333</v>
      </c>
    </row>
    <row r="131" spans="1:53" x14ac:dyDescent="0.25">
      <c r="A131" s="1" t="s">
        <v>129</v>
      </c>
      <c r="B131" s="9" t="s">
        <v>1335</v>
      </c>
      <c r="C131" s="9" t="s">
        <v>1336</v>
      </c>
      <c r="D131" s="9" t="s">
        <v>1337</v>
      </c>
      <c r="E131" s="9" t="s">
        <v>1012</v>
      </c>
      <c r="F131" s="10">
        <v>45054</v>
      </c>
      <c r="G131" s="9" t="s">
        <v>1019</v>
      </c>
      <c r="I131" s="9" t="s">
        <v>1020</v>
      </c>
      <c r="J131" s="9" t="s">
        <v>1031</v>
      </c>
      <c r="K131" s="8" t="s">
        <v>1006</v>
      </c>
      <c r="L131" s="8" t="s">
        <v>1007</v>
      </c>
      <c r="M131" s="8" t="s">
        <v>2933</v>
      </c>
      <c r="N131" s="8" t="s">
        <v>2937</v>
      </c>
      <c r="O131" s="1" t="s">
        <v>2934</v>
      </c>
      <c r="P131">
        <v>30</v>
      </c>
      <c r="Q131">
        <v>30</v>
      </c>
      <c r="R131">
        <v>0</v>
      </c>
      <c r="S131">
        <f t="shared" si="17"/>
        <v>30</v>
      </c>
      <c r="T131" s="1" t="s">
        <v>2935</v>
      </c>
      <c r="U131" s="1" t="s">
        <v>2932</v>
      </c>
      <c r="V131" s="3">
        <f t="shared" si="18"/>
        <v>40000</v>
      </c>
      <c r="W131" s="3">
        <f t="shared" si="19"/>
        <v>16000</v>
      </c>
      <c r="X131" s="3">
        <f t="shared" ref="X131:X194" si="20">ROUND(1250 - ((1250/Q131)*R131),0)</f>
        <v>1250</v>
      </c>
      <c r="Y131" s="3">
        <f t="shared" ref="Y131:Y194" si="21">ROUND(1600 - (1600/Q131) *R131,0)</f>
        <v>1600</v>
      </c>
      <c r="Z131" s="3">
        <f t="shared" ref="Z131:Z194" si="22">IF(V131&lt;=15000,V131*12%,1800)</f>
        <v>1800</v>
      </c>
      <c r="AA131" s="3">
        <v>0</v>
      </c>
      <c r="AB131" s="3">
        <f>ROUND(U131 - (V131+W131+X131+Y131) - (U131/Q131 * 2),0)</f>
        <v>34483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f>SUM(V131+W131+X131+Y131+AB131)</f>
        <v>93333</v>
      </c>
      <c r="AK131" s="3">
        <f>SUM(AJ131-AA131)</f>
        <v>93333</v>
      </c>
      <c r="AL131" s="3">
        <f>IF(V131&lt;=15000,V131*12%,1800)</f>
        <v>1800</v>
      </c>
      <c r="AM131" s="3">
        <v>0</v>
      </c>
      <c r="AN131" s="3">
        <f t="shared" ref="AN131:AN194" si="23">SUM(AL131+AM131)</f>
        <v>1800</v>
      </c>
      <c r="AO131" s="12">
        <v>200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3">
        <f t="shared" si="16"/>
        <v>200</v>
      </c>
      <c r="AV131" s="3">
        <f>SUM(AJ131 - AN131 - AU131)</f>
        <v>91333</v>
      </c>
      <c r="AW131" s="11">
        <v>0</v>
      </c>
      <c r="AX131" s="11">
        <v>0</v>
      </c>
      <c r="AY131" s="11">
        <v>0</v>
      </c>
      <c r="AZ131" s="11">
        <v>0</v>
      </c>
      <c r="BA131" s="3">
        <f t="shared" ref="BA131:BA194" si="24">AV131+AW131+AX131+AZ131</f>
        <v>91333</v>
      </c>
    </row>
    <row r="132" spans="1:53" x14ac:dyDescent="0.25">
      <c r="A132" s="1" t="s">
        <v>130</v>
      </c>
      <c r="B132" s="9" t="s">
        <v>1333</v>
      </c>
      <c r="C132" s="9" t="s">
        <v>1029</v>
      </c>
      <c r="D132" s="9" t="s">
        <v>1334</v>
      </c>
      <c r="E132" s="9" t="s">
        <v>1008</v>
      </c>
      <c r="F132" s="10">
        <v>45684</v>
      </c>
      <c r="G132" s="9" t="s">
        <v>1019</v>
      </c>
      <c r="I132" s="9" t="s">
        <v>1020</v>
      </c>
      <c r="J132" s="9" t="s">
        <v>1031</v>
      </c>
      <c r="K132" s="8" t="s">
        <v>1006</v>
      </c>
      <c r="L132" s="8" t="s">
        <v>1007</v>
      </c>
      <c r="M132" s="8" t="s">
        <v>2933</v>
      </c>
      <c r="N132" s="8" t="s">
        <v>2937</v>
      </c>
      <c r="O132" s="1" t="s">
        <v>2934</v>
      </c>
      <c r="P132">
        <v>30</v>
      </c>
      <c r="Q132">
        <v>30</v>
      </c>
      <c r="R132">
        <v>0</v>
      </c>
      <c r="S132">
        <f t="shared" si="17"/>
        <v>30</v>
      </c>
      <c r="T132" s="1" t="s">
        <v>2935</v>
      </c>
      <c r="U132" s="1" t="s">
        <v>2932</v>
      </c>
      <c r="V132" s="3">
        <f t="shared" si="18"/>
        <v>40000</v>
      </c>
      <c r="W132" s="3">
        <f t="shared" si="19"/>
        <v>16000</v>
      </c>
      <c r="X132" s="3">
        <f t="shared" si="20"/>
        <v>1250</v>
      </c>
      <c r="Y132" s="3">
        <f t="shared" si="21"/>
        <v>1600</v>
      </c>
      <c r="Z132" s="3">
        <f t="shared" si="22"/>
        <v>1800</v>
      </c>
      <c r="AA132" s="3">
        <v>0</v>
      </c>
      <c r="AB132" s="3">
        <f>ROUND(U132 - (V132+W132+X132+Y132) - (U132/Q132 * 2),0)</f>
        <v>34483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f>SUM(V132+W132+X132+Y132+AB132)</f>
        <v>93333</v>
      </c>
      <c r="AK132" s="3">
        <f>SUM(AJ132-AA132)</f>
        <v>93333</v>
      </c>
      <c r="AL132" s="3">
        <f>IF(V132&lt;=15000,V132*12%,1800)</f>
        <v>1800</v>
      </c>
      <c r="AM132" s="3">
        <v>0</v>
      </c>
      <c r="AN132" s="3">
        <f t="shared" si="23"/>
        <v>1800</v>
      </c>
      <c r="AO132" s="12">
        <v>200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3">
        <f t="shared" ref="AU132:AU195" si="25">SUM(AO132:AT132)</f>
        <v>200</v>
      </c>
      <c r="AV132" s="3">
        <f>SUM(AJ132 - AN132 - AU132)</f>
        <v>91333</v>
      </c>
      <c r="AW132" s="11">
        <v>0</v>
      </c>
      <c r="AX132" s="11">
        <v>0</v>
      </c>
      <c r="AY132" s="11">
        <v>0</v>
      </c>
      <c r="AZ132" s="11">
        <v>0</v>
      </c>
      <c r="BA132" s="3">
        <f t="shared" si="24"/>
        <v>91333</v>
      </c>
    </row>
    <row r="133" spans="1:53" x14ac:dyDescent="0.25">
      <c r="A133" s="1" t="s">
        <v>131</v>
      </c>
      <c r="B133" s="9" t="s">
        <v>1331</v>
      </c>
      <c r="C133" s="9" t="s">
        <v>1067</v>
      </c>
      <c r="D133" s="9" t="s">
        <v>1332</v>
      </c>
      <c r="E133" s="9" t="s">
        <v>1008</v>
      </c>
      <c r="F133" s="10">
        <v>45061</v>
      </c>
      <c r="G133" s="9" t="s">
        <v>1013</v>
      </c>
      <c r="I133" s="9" t="s">
        <v>1042</v>
      </c>
      <c r="J133" s="9" t="s">
        <v>1048</v>
      </c>
      <c r="K133" s="8" t="s">
        <v>1006</v>
      </c>
      <c r="L133" s="8" t="s">
        <v>1007</v>
      </c>
      <c r="M133" s="8" t="s">
        <v>2933</v>
      </c>
      <c r="N133" s="8" t="s">
        <v>2937</v>
      </c>
      <c r="O133" s="1" t="s">
        <v>2934</v>
      </c>
      <c r="P133">
        <v>30</v>
      </c>
      <c r="Q133">
        <v>30</v>
      </c>
      <c r="R133">
        <v>0</v>
      </c>
      <c r="S133">
        <f t="shared" ref="S133:S196" si="26">SUM(Q133-R133)</f>
        <v>30</v>
      </c>
      <c r="T133" s="1" t="s">
        <v>2935</v>
      </c>
      <c r="U133" s="1" t="s">
        <v>2932</v>
      </c>
      <c r="V133" s="3">
        <f t="shared" ref="V133:V196" si="27">ROUND((U133*40%) / Q133  * S133,0)</f>
        <v>40000</v>
      </c>
      <c r="W133" s="3">
        <f t="shared" ref="W133:W196" si="28">ROUND((U133*16%) / Q133  * S133,0)</f>
        <v>16000</v>
      </c>
      <c r="X133" s="3">
        <f t="shared" si="20"/>
        <v>1250</v>
      </c>
      <c r="Y133" s="3">
        <f t="shared" si="21"/>
        <v>1600</v>
      </c>
      <c r="Z133" s="3">
        <f t="shared" si="22"/>
        <v>1800</v>
      </c>
      <c r="AA133" s="3">
        <v>0</v>
      </c>
      <c r="AB133" s="3">
        <f>ROUND(U133 - (V133+W133+X133+Y133) - (U133/Q133 * 2),0)</f>
        <v>34483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f>SUM(V133+W133+X133+Y133+AB133)</f>
        <v>93333</v>
      </c>
      <c r="AK133" s="3">
        <f>SUM(AJ133-AA133)</f>
        <v>93333</v>
      </c>
      <c r="AL133" s="3">
        <f>IF(V133&lt;=15000,V133*12%,1800)</f>
        <v>1800</v>
      </c>
      <c r="AM133" s="3">
        <v>0</v>
      </c>
      <c r="AN133" s="3">
        <f t="shared" si="23"/>
        <v>1800</v>
      </c>
      <c r="AO133" s="12">
        <v>200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3">
        <f t="shared" si="25"/>
        <v>200</v>
      </c>
      <c r="AV133" s="3">
        <f>SUM(AJ133 - AN133 - AU133)</f>
        <v>91333</v>
      </c>
      <c r="AW133" s="11">
        <v>0</v>
      </c>
      <c r="AX133" s="11">
        <v>0</v>
      </c>
      <c r="AY133" s="11">
        <v>0</v>
      </c>
      <c r="AZ133" s="11">
        <v>0</v>
      </c>
      <c r="BA133" s="3">
        <f t="shared" si="24"/>
        <v>91333</v>
      </c>
    </row>
    <row r="134" spans="1:53" x14ac:dyDescent="0.25">
      <c r="A134" s="1" t="s">
        <v>132</v>
      </c>
      <c r="B134" s="9" t="s">
        <v>1329</v>
      </c>
      <c r="C134" s="9" t="s">
        <v>1075</v>
      </c>
      <c r="D134" s="9" t="s">
        <v>1330</v>
      </c>
      <c r="E134" s="9" t="s">
        <v>1012</v>
      </c>
      <c r="F134" s="10">
        <v>45054</v>
      </c>
      <c r="G134" s="9" t="s">
        <v>1013</v>
      </c>
      <c r="I134" s="9" t="s">
        <v>1014</v>
      </c>
      <c r="J134" s="9" t="s">
        <v>1015</v>
      </c>
      <c r="K134" s="8" t="s">
        <v>1006</v>
      </c>
      <c r="L134" s="8" t="s">
        <v>1007</v>
      </c>
      <c r="M134" s="8" t="s">
        <v>2933</v>
      </c>
      <c r="N134" s="8" t="s">
        <v>2937</v>
      </c>
      <c r="O134" s="1" t="s">
        <v>2934</v>
      </c>
      <c r="P134">
        <v>30</v>
      </c>
      <c r="Q134">
        <v>30</v>
      </c>
      <c r="R134">
        <v>0</v>
      </c>
      <c r="S134">
        <f t="shared" si="26"/>
        <v>30</v>
      </c>
      <c r="T134" s="1" t="s">
        <v>2935</v>
      </c>
      <c r="U134" s="1" t="s">
        <v>2932</v>
      </c>
      <c r="V134" s="3">
        <f t="shared" si="27"/>
        <v>40000</v>
      </c>
      <c r="W134" s="3">
        <f t="shared" si="28"/>
        <v>16000</v>
      </c>
      <c r="X134" s="3">
        <f t="shared" si="20"/>
        <v>1250</v>
      </c>
      <c r="Y134" s="3">
        <f t="shared" si="21"/>
        <v>1600</v>
      </c>
      <c r="Z134" s="3">
        <f t="shared" si="22"/>
        <v>1800</v>
      </c>
      <c r="AA134" s="3">
        <v>0</v>
      </c>
      <c r="AB134" s="3">
        <f>ROUND(U134 - (V134+W134+X134+Y134) - (U134/Q134 * 2),0)</f>
        <v>34483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f>SUM(V134+W134+X134+Y134+AB134)</f>
        <v>93333</v>
      </c>
      <c r="AK134" s="3">
        <f>SUM(AJ134-AA134)</f>
        <v>93333</v>
      </c>
      <c r="AL134" s="3">
        <f>IF(V134&lt;=15000,V134*12%,1800)</f>
        <v>1800</v>
      </c>
      <c r="AM134" s="3">
        <v>0</v>
      </c>
      <c r="AN134" s="3">
        <f t="shared" si="23"/>
        <v>1800</v>
      </c>
      <c r="AO134" s="12">
        <v>200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3">
        <f t="shared" si="25"/>
        <v>200</v>
      </c>
      <c r="AV134" s="3">
        <f>SUM(AJ134 - AN134 - AU134)</f>
        <v>91333</v>
      </c>
      <c r="AW134" s="11">
        <v>0</v>
      </c>
      <c r="AX134" s="11">
        <v>0</v>
      </c>
      <c r="AY134" s="11">
        <v>0</v>
      </c>
      <c r="AZ134" s="11">
        <v>0</v>
      </c>
      <c r="BA134" s="3">
        <f t="shared" si="24"/>
        <v>91333</v>
      </c>
    </row>
    <row r="135" spans="1:53" x14ac:dyDescent="0.25">
      <c r="A135" s="1" t="s">
        <v>133</v>
      </c>
      <c r="B135" s="9" t="s">
        <v>1326</v>
      </c>
      <c r="C135" s="9" t="s">
        <v>1327</v>
      </c>
      <c r="D135" s="9" t="s">
        <v>1328</v>
      </c>
      <c r="E135" s="9" t="s">
        <v>1012</v>
      </c>
      <c r="F135" s="10">
        <v>45057</v>
      </c>
      <c r="G135" s="9" t="s">
        <v>1019</v>
      </c>
      <c r="I135" s="9" t="s">
        <v>1020</v>
      </c>
      <c r="J135" s="9" t="s">
        <v>1015</v>
      </c>
      <c r="K135" s="8" t="s">
        <v>1006</v>
      </c>
      <c r="L135" s="8" t="s">
        <v>1007</v>
      </c>
      <c r="M135" s="8" t="s">
        <v>2933</v>
      </c>
      <c r="N135" s="8" t="s">
        <v>2937</v>
      </c>
      <c r="O135" s="1" t="s">
        <v>2934</v>
      </c>
      <c r="P135">
        <v>30</v>
      </c>
      <c r="Q135">
        <v>30</v>
      </c>
      <c r="R135">
        <v>0</v>
      </c>
      <c r="S135">
        <f t="shared" si="26"/>
        <v>30</v>
      </c>
      <c r="T135" s="1" t="s">
        <v>2935</v>
      </c>
      <c r="U135" s="1" t="s">
        <v>2932</v>
      </c>
      <c r="V135" s="3">
        <f t="shared" si="27"/>
        <v>40000</v>
      </c>
      <c r="W135" s="3">
        <f t="shared" si="28"/>
        <v>16000</v>
      </c>
      <c r="X135" s="3">
        <f t="shared" si="20"/>
        <v>1250</v>
      </c>
      <c r="Y135" s="3">
        <f t="shared" si="21"/>
        <v>1600</v>
      </c>
      <c r="Z135" s="3">
        <f t="shared" si="22"/>
        <v>1800</v>
      </c>
      <c r="AA135" s="3">
        <v>0</v>
      </c>
      <c r="AB135" s="3">
        <f>ROUND(U135 - (V135+W135+X135+Y135) - (U135/Q135 * 2),0)</f>
        <v>34483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f>SUM(V135+W135+X135+Y135+AB135)</f>
        <v>93333</v>
      </c>
      <c r="AK135" s="3">
        <f>SUM(AJ135-AA135)</f>
        <v>93333</v>
      </c>
      <c r="AL135" s="3">
        <f>IF(V135&lt;=15000,V135*12%,1800)</f>
        <v>1800</v>
      </c>
      <c r="AM135" s="3">
        <v>0</v>
      </c>
      <c r="AN135" s="3">
        <f t="shared" si="23"/>
        <v>1800</v>
      </c>
      <c r="AO135" s="12">
        <v>200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3">
        <f t="shared" si="25"/>
        <v>200</v>
      </c>
      <c r="AV135" s="3">
        <f>SUM(AJ135 - AN135 - AU135)</f>
        <v>91333</v>
      </c>
      <c r="AW135" s="11">
        <v>0</v>
      </c>
      <c r="AX135" s="11">
        <v>0</v>
      </c>
      <c r="AY135" s="11">
        <v>0</v>
      </c>
      <c r="AZ135" s="11">
        <v>0</v>
      </c>
      <c r="BA135" s="3">
        <f t="shared" si="24"/>
        <v>91333</v>
      </c>
    </row>
    <row r="136" spans="1:53" x14ac:dyDescent="0.25">
      <c r="A136" s="1" t="s">
        <v>134</v>
      </c>
      <c r="B136" s="9" t="s">
        <v>1311</v>
      </c>
      <c r="C136" s="9" t="s">
        <v>1324</v>
      </c>
      <c r="D136" s="9" t="s">
        <v>1325</v>
      </c>
      <c r="E136" s="9" t="s">
        <v>1008</v>
      </c>
      <c r="F136" s="10">
        <v>45061</v>
      </c>
      <c r="G136" s="9" t="s">
        <v>1019</v>
      </c>
      <c r="I136" s="9" t="s">
        <v>1020</v>
      </c>
      <c r="J136" s="9" t="s">
        <v>1015</v>
      </c>
      <c r="K136" s="8" t="s">
        <v>1006</v>
      </c>
      <c r="L136" s="8" t="s">
        <v>1007</v>
      </c>
      <c r="M136" s="8" t="s">
        <v>2933</v>
      </c>
      <c r="N136" s="8" t="s">
        <v>2937</v>
      </c>
      <c r="O136" s="1" t="s">
        <v>2934</v>
      </c>
      <c r="P136">
        <v>30</v>
      </c>
      <c r="Q136">
        <v>30</v>
      </c>
      <c r="R136">
        <v>0</v>
      </c>
      <c r="S136">
        <f t="shared" si="26"/>
        <v>30</v>
      </c>
      <c r="T136" s="1" t="s">
        <v>2935</v>
      </c>
      <c r="U136" s="1" t="s">
        <v>2932</v>
      </c>
      <c r="V136" s="3">
        <f t="shared" si="27"/>
        <v>40000</v>
      </c>
      <c r="W136" s="3">
        <f t="shared" si="28"/>
        <v>16000</v>
      </c>
      <c r="X136" s="3">
        <f t="shared" si="20"/>
        <v>1250</v>
      </c>
      <c r="Y136" s="3">
        <f t="shared" si="21"/>
        <v>1600</v>
      </c>
      <c r="Z136" s="3">
        <f t="shared" si="22"/>
        <v>1800</v>
      </c>
      <c r="AA136" s="3">
        <v>0</v>
      </c>
      <c r="AB136" s="3">
        <f>ROUND(U136 - (V136+W136+X136+Y136) - (U136/Q136 * 2),0)</f>
        <v>34483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f>SUM(V136+W136+X136+Y136+AB136)</f>
        <v>93333</v>
      </c>
      <c r="AK136" s="3">
        <f>SUM(AJ136-AA136)</f>
        <v>93333</v>
      </c>
      <c r="AL136" s="3">
        <f>IF(V136&lt;=15000,V136*12%,1800)</f>
        <v>1800</v>
      </c>
      <c r="AM136" s="3">
        <v>0</v>
      </c>
      <c r="AN136" s="3">
        <f t="shared" si="23"/>
        <v>1800</v>
      </c>
      <c r="AO136" s="12">
        <v>200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3">
        <f t="shared" si="25"/>
        <v>200</v>
      </c>
      <c r="AV136" s="3">
        <f>SUM(AJ136 - AN136 - AU136)</f>
        <v>91333</v>
      </c>
      <c r="AW136" s="11">
        <v>0</v>
      </c>
      <c r="AX136" s="11">
        <v>0</v>
      </c>
      <c r="AY136" s="11">
        <v>0</v>
      </c>
      <c r="AZ136" s="11">
        <v>0</v>
      </c>
      <c r="BA136" s="3">
        <f t="shared" si="24"/>
        <v>91333</v>
      </c>
    </row>
    <row r="137" spans="1:53" x14ac:dyDescent="0.25">
      <c r="A137" s="1" t="s">
        <v>135</v>
      </c>
      <c r="B137" s="9" t="s">
        <v>1322</v>
      </c>
      <c r="C137" s="9" t="s">
        <v>1010</v>
      </c>
      <c r="D137" s="9" t="s">
        <v>1323</v>
      </c>
      <c r="E137" s="9" t="s">
        <v>1008</v>
      </c>
      <c r="F137" s="10">
        <v>45061</v>
      </c>
      <c r="G137" s="9" t="s">
        <v>1019</v>
      </c>
      <c r="I137" s="9" t="s">
        <v>1020</v>
      </c>
      <c r="J137" s="9" t="s">
        <v>1015</v>
      </c>
      <c r="K137" s="8" t="s">
        <v>1006</v>
      </c>
      <c r="L137" s="8" t="s">
        <v>1007</v>
      </c>
      <c r="M137" s="8" t="s">
        <v>2933</v>
      </c>
      <c r="N137" s="8" t="s">
        <v>2937</v>
      </c>
      <c r="O137" s="1" t="s">
        <v>2934</v>
      </c>
      <c r="P137">
        <v>30</v>
      </c>
      <c r="Q137">
        <v>30</v>
      </c>
      <c r="R137">
        <v>0</v>
      </c>
      <c r="S137">
        <f t="shared" si="26"/>
        <v>30</v>
      </c>
      <c r="T137" s="1" t="s">
        <v>2935</v>
      </c>
      <c r="U137" s="1" t="s">
        <v>2932</v>
      </c>
      <c r="V137" s="3">
        <f t="shared" si="27"/>
        <v>40000</v>
      </c>
      <c r="W137" s="3">
        <f t="shared" si="28"/>
        <v>16000</v>
      </c>
      <c r="X137" s="3">
        <f t="shared" si="20"/>
        <v>1250</v>
      </c>
      <c r="Y137" s="3">
        <f t="shared" si="21"/>
        <v>1600</v>
      </c>
      <c r="Z137" s="3">
        <f t="shared" si="22"/>
        <v>1800</v>
      </c>
      <c r="AA137" s="3">
        <v>0</v>
      </c>
      <c r="AB137" s="3">
        <f>ROUND(U137 - (V137+W137+X137+Y137) - (U137/Q137 * 2),0)</f>
        <v>34483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f>SUM(V137+W137+X137+Y137+AB137)</f>
        <v>93333</v>
      </c>
      <c r="AK137" s="3">
        <f>SUM(AJ137-AA137)</f>
        <v>93333</v>
      </c>
      <c r="AL137" s="3">
        <f>IF(V137&lt;=15000,V137*12%,1800)</f>
        <v>1800</v>
      </c>
      <c r="AM137" s="3">
        <v>0</v>
      </c>
      <c r="AN137" s="3">
        <f t="shared" si="23"/>
        <v>1800</v>
      </c>
      <c r="AO137" s="12">
        <v>200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3">
        <f t="shared" si="25"/>
        <v>200</v>
      </c>
      <c r="AV137" s="3">
        <f>SUM(AJ137 - AN137 - AU137)</f>
        <v>91333</v>
      </c>
      <c r="AW137" s="11">
        <v>0</v>
      </c>
      <c r="AX137" s="11">
        <v>0</v>
      </c>
      <c r="AY137" s="11">
        <v>0</v>
      </c>
      <c r="AZ137" s="11">
        <v>0</v>
      </c>
      <c r="BA137" s="3">
        <f t="shared" si="24"/>
        <v>91333</v>
      </c>
    </row>
    <row r="138" spans="1:53" x14ac:dyDescent="0.25">
      <c r="A138" s="1" t="s">
        <v>136</v>
      </c>
      <c r="B138" s="9" t="s">
        <v>1319</v>
      </c>
      <c r="C138" s="9" t="s">
        <v>1320</v>
      </c>
      <c r="D138" s="9" t="s">
        <v>1321</v>
      </c>
      <c r="E138" s="9" t="s">
        <v>1008</v>
      </c>
      <c r="F138" s="10">
        <v>45064</v>
      </c>
      <c r="G138" s="9" t="s">
        <v>1019</v>
      </c>
      <c r="I138" s="9" t="s">
        <v>1020</v>
      </c>
      <c r="J138" s="9" t="s">
        <v>1015</v>
      </c>
      <c r="K138" s="8" t="s">
        <v>1006</v>
      </c>
      <c r="L138" s="8" t="s">
        <v>1007</v>
      </c>
      <c r="M138" s="8" t="s">
        <v>2933</v>
      </c>
      <c r="N138" s="8" t="s">
        <v>2937</v>
      </c>
      <c r="O138" s="1" t="s">
        <v>2934</v>
      </c>
      <c r="P138">
        <v>30</v>
      </c>
      <c r="Q138">
        <v>30</v>
      </c>
      <c r="R138">
        <v>0</v>
      </c>
      <c r="S138">
        <f t="shared" si="26"/>
        <v>30</v>
      </c>
      <c r="T138" s="1" t="s">
        <v>2935</v>
      </c>
      <c r="U138" s="1" t="s">
        <v>2932</v>
      </c>
      <c r="V138" s="3">
        <f t="shared" si="27"/>
        <v>40000</v>
      </c>
      <c r="W138" s="3">
        <f t="shared" si="28"/>
        <v>16000</v>
      </c>
      <c r="X138" s="3">
        <f t="shared" si="20"/>
        <v>1250</v>
      </c>
      <c r="Y138" s="3">
        <f t="shared" si="21"/>
        <v>1600</v>
      </c>
      <c r="Z138" s="3">
        <f t="shared" si="22"/>
        <v>1800</v>
      </c>
      <c r="AA138" s="3">
        <v>0</v>
      </c>
      <c r="AB138" s="3">
        <f>ROUND(U138 - (V138+W138+X138+Y138) - (U138/Q138 * 2),0)</f>
        <v>34483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f>SUM(V138+W138+X138+Y138+AB138)</f>
        <v>93333</v>
      </c>
      <c r="AK138" s="3">
        <f>SUM(AJ138-AA138)</f>
        <v>93333</v>
      </c>
      <c r="AL138" s="3">
        <f>IF(V138&lt;=15000,V138*12%,1800)</f>
        <v>1800</v>
      </c>
      <c r="AM138" s="3">
        <v>0</v>
      </c>
      <c r="AN138" s="3">
        <f t="shared" si="23"/>
        <v>1800</v>
      </c>
      <c r="AO138" s="12">
        <v>200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3">
        <f t="shared" si="25"/>
        <v>200</v>
      </c>
      <c r="AV138" s="3">
        <f>SUM(AJ138 - AN138 - AU138)</f>
        <v>91333</v>
      </c>
      <c r="AW138" s="11">
        <v>0</v>
      </c>
      <c r="AX138" s="11">
        <v>0</v>
      </c>
      <c r="AY138" s="11">
        <v>0</v>
      </c>
      <c r="AZ138" s="11">
        <v>0</v>
      </c>
      <c r="BA138" s="3">
        <f t="shared" si="24"/>
        <v>91333</v>
      </c>
    </row>
    <row r="139" spans="1:53" x14ac:dyDescent="0.25">
      <c r="A139" s="1" t="s">
        <v>137</v>
      </c>
      <c r="B139" s="9" t="s">
        <v>1317</v>
      </c>
      <c r="C139" s="9" t="s">
        <v>1063</v>
      </c>
      <c r="D139" s="9" t="s">
        <v>1318</v>
      </c>
      <c r="E139" s="9" t="s">
        <v>1012</v>
      </c>
      <c r="F139" s="10">
        <v>45068</v>
      </c>
      <c r="G139" s="9" t="s">
        <v>1013</v>
      </c>
      <c r="I139" s="9" t="s">
        <v>1014</v>
      </c>
      <c r="J139" s="9" t="s">
        <v>1015</v>
      </c>
      <c r="K139" s="8" t="s">
        <v>1006</v>
      </c>
      <c r="L139" s="8" t="s">
        <v>1007</v>
      </c>
      <c r="M139" s="8" t="s">
        <v>2933</v>
      </c>
      <c r="N139" s="8" t="s">
        <v>2937</v>
      </c>
      <c r="O139" s="1" t="s">
        <v>2934</v>
      </c>
      <c r="P139">
        <v>30</v>
      </c>
      <c r="Q139">
        <v>30</v>
      </c>
      <c r="R139">
        <v>0</v>
      </c>
      <c r="S139">
        <f t="shared" si="26"/>
        <v>30</v>
      </c>
      <c r="T139" s="1" t="s">
        <v>2935</v>
      </c>
      <c r="U139" s="1" t="s">
        <v>2932</v>
      </c>
      <c r="V139" s="3">
        <f t="shared" si="27"/>
        <v>40000</v>
      </c>
      <c r="W139" s="3">
        <f t="shared" si="28"/>
        <v>16000</v>
      </c>
      <c r="X139" s="3">
        <f t="shared" si="20"/>
        <v>1250</v>
      </c>
      <c r="Y139" s="3">
        <f t="shared" si="21"/>
        <v>1600</v>
      </c>
      <c r="Z139" s="3">
        <f t="shared" si="22"/>
        <v>1800</v>
      </c>
      <c r="AA139" s="3">
        <v>0</v>
      </c>
      <c r="AB139" s="3">
        <f>ROUND(U139 - (V139+W139+X139+Y139) - (U139/Q139 * 2),0)</f>
        <v>34483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f>SUM(V139+W139+X139+Y139+AB139)</f>
        <v>93333</v>
      </c>
      <c r="AK139" s="3">
        <f>SUM(AJ139-AA139)</f>
        <v>93333</v>
      </c>
      <c r="AL139" s="3">
        <f>IF(V139&lt;=15000,V139*12%,1800)</f>
        <v>1800</v>
      </c>
      <c r="AM139" s="3">
        <v>0</v>
      </c>
      <c r="AN139" s="3">
        <f t="shared" si="23"/>
        <v>1800</v>
      </c>
      <c r="AO139" s="12">
        <v>200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3">
        <f t="shared" si="25"/>
        <v>200</v>
      </c>
      <c r="AV139" s="3">
        <f>SUM(AJ139 - AN139 - AU139)</f>
        <v>91333</v>
      </c>
      <c r="AW139" s="11">
        <v>0</v>
      </c>
      <c r="AX139" s="11">
        <v>0</v>
      </c>
      <c r="AY139" s="11">
        <v>0</v>
      </c>
      <c r="AZ139" s="11">
        <v>0</v>
      </c>
      <c r="BA139" s="3">
        <f t="shared" si="24"/>
        <v>91333</v>
      </c>
    </row>
    <row r="140" spans="1:53" x14ac:dyDescent="0.25">
      <c r="A140" s="1" t="s">
        <v>138</v>
      </c>
      <c r="B140" s="9" t="s">
        <v>1315</v>
      </c>
      <c r="C140" s="9" t="s">
        <v>1063</v>
      </c>
      <c r="D140" s="9" t="s">
        <v>1316</v>
      </c>
      <c r="E140" s="9" t="s">
        <v>1012</v>
      </c>
      <c r="F140" s="10">
        <v>45068</v>
      </c>
      <c r="G140" s="9" t="s">
        <v>1019</v>
      </c>
      <c r="I140" s="9" t="s">
        <v>1020</v>
      </c>
      <c r="J140" s="9" t="s">
        <v>1015</v>
      </c>
      <c r="K140" s="8" t="s">
        <v>1006</v>
      </c>
      <c r="L140" s="8" t="s">
        <v>1007</v>
      </c>
      <c r="M140" s="8" t="s">
        <v>2933</v>
      </c>
      <c r="N140" s="8" t="s">
        <v>2937</v>
      </c>
      <c r="O140" s="1" t="s">
        <v>2934</v>
      </c>
      <c r="P140">
        <v>30</v>
      </c>
      <c r="Q140">
        <v>30</v>
      </c>
      <c r="R140">
        <v>0</v>
      </c>
      <c r="S140">
        <f t="shared" si="26"/>
        <v>30</v>
      </c>
      <c r="T140" s="1" t="s">
        <v>2935</v>
      </c>
      <c r="U140" s="1" t="s">
        <v>2932</v>
      </c>
      <c r="V140" s="3">
        <f t="shared" si="27"/>
        <v>40000</v>
      </c>
      <c r="W140" s="3">
        <f t="shared" si="28"/>
        <v>16000</v>
      </c>
      <c r="X140" s="3">
        <f t="shared" si="20"/>
        <v>1250</v>
      </c>
      <c r="Y140" s="3">
        <f t="shared" si="21"/>
        <v>1600</v>
      </c>
      <c r="Z140" s="3">
        <f t="shared" si="22"/>
        <v>1800</v>
      </c>
      <c r="AA140" s="3">
        <v>0</v>
      </c>
      <c r="AB140" s="3">
        <f>ROUND(U140 - (V140+W140+X140+Y140) - (U140/Q140 * 2),0)</f>
        <v>34483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f>SUM(V140+W140+X140+Y140+AB140)</f>
        <v>93333</v>
      </c>
      <c r="AK140" s="3">
        <f>SUM(AJ140-AA140)</f>
        <v>93333</v>
      </c>
      <c r="AL140" s="3">
        <f>IF(V140&lt;=15000,V140*12%,1800)</f>
        <v>1800</v>
      </c>
      <c r="AM140" s="3">
        <v>0</v>
      </c>
      <c r="AN140" s="3">
        <f t="shared" si="23"/>
        <v>1800</v>
      </c>
      <c r="AO140" s="12">
        <v>200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3">
        <f t="shared" si="25"/>
        <v>200</v>
      </c>
      <c r="AV140" s="3">
        <f>SUM(AJ140 - AN140 - AU140)</f>
        <v>91333</v>
      </c>
      <c r="AW140" s="11">
        <v>0</v>
      </c>
      <c r="AX140" s="11">
        <v>0</v>
      </c>
      <c r="AY140" s="11">
        <v>0</v>
      </c>
      <c r="AZ140" s="11">
        <v>0</v>
      </c>
      <c r="BA140" s="3">
        <f t="shared" si="24"/>
        <v>91333</v>
      </c>
    </row>
    <row r="141" spans="1:53" x14ac:dyDescent="0.25">
      <c r="A141" s="1" t="s">
        <v>139</v>
      </c>
      <c r="B141" s="9" t="s">
        <v>1314</v>
      </c>
      <c r="C141" s="9" t="s">
        <v>1023</v>
      </c>
      <c r="D141" s="9">
        <v>0</v>
      </c>
      <c r="E141" s="9" t="s">
        <v>1012</v>
      </c>
      <c r="F141" s="10">
        <v>45071</v>
      </c>
      <c r="G141" s="9" t="s">
        <v>1013</v>
      </c>
      <c r="I141" s="9" t="s">
        <v>1014</v>
      </c>
      <c r="J141" s="9" t="s">
        <v>1021</v>
      </c>
      <c r="K141" s="8" t="s">
        <v>1006</v>
      </c>
      <c r="L141" s="8" t="s">
        <v>1007</v>
      </c>
      <c r="M141" s="8" t="s">
        <v>2933</v>
      </c>
      <c r="N141" s="8" t="s">
        <v>2937</v>
      </c>
      <c r="O141" s="1" t="s">
        <v>2934</v>
      </c>
      <c r="P141">
        <v>30</v>
      </c>
      <c r="Q141">
        <v>30</v>
      </c>
      <c r="R141">
        <v>0</v>
      </c>
      <c r="S141">
        <f t="shared" si="26"/>
        <v>30</v>
      </c>
      <c r="T141" s="1" t="s">
        <v>2935</v>
      </c>
      <c r="U141" s="1" t="s">
        <v>2932</v>
      </c>
      <c r="V141" s="3">
        <f t="shared" si="27"/>
        <v>40000</v>
      </c>
      <c r="W141" s="3">
        <f t="shared" si="28"/>
        <v>16000</v>
      </c>
      <c r="X141" s="3">
        <f t="shared" si="20"/>
        <v>1250</v>
      </c>
      <c r="Y141" s="3">
        <f t="shared" si="21"/>
        <v>1600</v>
      </c>
      <c r="Z141" s="3">
        <f t="shared" si="22"/>
        <v>1800</v>
      </c>
      <c r="AA141" s="3">
        <v>0</v>
      </c>
      <c r="AB141" s="3">
        <f>ROUND(U141 - (V141+W141+X141+Y141) - (U141/Q141 * 2),0)</f>
        <v>34483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f>SUM(V141+W141+X141+Y141+AB141)</f>
        <v>93333</v>
      </c>
      <c r="AK141" s="3">
        <f>SUM(AJ141-AA141)</f>
        <v>93333</v>
      </c>
      <c r="AL141" s="3">
        <f>IF(V141&lt;=15000,V141*12%,1800)</f>
        <v>1800</v>
      </c>
      <c r="AM141" s="3">
        <v>0</v>
      </c>
      <c r="AN141" s="3">
        <f t="shared" si="23"/>
        <v>1800</v>
      </c>
      <c r="AO141" s="12">
        <v>200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3">
        <f t="shared" si="25"/>
        <v>200</v>
      </c>
      <c r="AV141" s="3">
        <f>SUM(AJ141 - AN141 - AU141)</f>
        <v>91333</v>
      </c>
      <c r="AW141" s="11">
        <v>0</v>
      </c>
      <c r="AX141" s="11">
        <v>0</v>
      </c>
      <c r="AY141" s="11">
        <v>0</v>
      </c>
      <c r="AZ141" s="11">
        <v>0</v>
      </c>
      <c r="BA141" s="3">
        <f t="shared" si="24"/>
        <v>91333</v>
      </c>
    </row>
    <row r="142" spans="1:53" x14ac:dyDescent="0.25">
      <c r="A142" s="1" t="s">
        <v>140</v>
      </c>
      <c r="B142" s="9" t="s">
        <v>1312</v>
      </c>
      <c r="C142" s="9" t="s">
        <v>1038</v>
      </c>
      <c r="D142" s="9" t="s">
        <v>1313</v>
      </c>
      <c r="E142" s="9" t="s">
        <v>1012</v>
      </c>
      <c r="F142" s="10">
        <v>45078</v>
      </c>
      <c r="G142" s="9" t="s">
        <v>1019</v>
      </c>
      <c r="I142" s="9" t="s">
        <v>1020</v>
      </c>
      <c r="J142" s="9" t="s">
        <v>1031</v>
      </c>
      <c r="K142" s="8" t="s">
        <v>1006</v>
      </c>
      <c r="L142" s="8" t="s">
        <v>1007</v>
      </c>
      <c r="M142" s="8" t="s">
        <v>2933</v>
      </c>
      <c r="N142" s="8" t="s">
        <v>2937</v>
      </c>
      <c r="O142" s="1" t="s">
        <v>2934</v>
      </c>
      <c r="P142">
        <v>30</v>
      </c>
      <c r="Q142">
        <v>30</v>
      </c>
      <c r="R142">
        <v>0</v>
      </c>
      <c r="S142">
        <f t="shared" si="26"/>
        <v>30</v>
      </c>
      <c r="T142" s="1" t="s">
        <v>2935</v>
      </c>
      <c r="U142" s="1" t="s">
        <v>2932</v>
      </c>
      <c r="V142" s="3">
        <f t="shared" si="27"/>
        <v>40000</v>
      </c>
      <c r="W142" s="3">
        <f t="shared" si="28"/>
        <v>16000</v>
      </c>
      <c r="X142" s="3">
        <f t="shared" si="20"/>
        <v>1250</v>
      </c>
      <c r="Y142" s="3">
        <f t="shared" si="21"/>
        <v>1600</v>
      </c>
      <c r="Z142" s="3">
        <f t="shared" si="22"/>
        <v>1800</v>
      </c>
      <c r="AA142" s="3">
        <v>0</v>
      </c>
      <c r="AB142" s="3">
        <f>ROUND(U142 - (V142+W142+X142+Y142) - (U142/Q142 * 2),0)</f>
        <v>34483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f>SUM(V142+W142+X142+Y142+AB142)</f>
        <v>93333</v>
      </c>
      <c r="AK142" s="3">
        <f>SUM(AJ142-AA142)</f>
        <v>93333</v>
      </c>
      <c r="AL142" s="3">
        <f>IF(V142&lt;=15000,V142*12%,1800)</f>
        <v>1800</v>
      </c>
      <c r="AM142" s="3">
        <v>0</v>
      </c>
      <c r="AN142" s="3">
        <f t="shared" si="23"/>
        <v>1800</v>
      </c>
      <c r="AO142" s="12">
        <v>200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3">
        <f t="shared" si="25"/>
        <v>200</v>
      </c>
      <c r="AV142" s="3">
        <f>SUM(AJ142 - AN142 - AU142)</f>
        <v>91333</v>
      </c>
      <c r="AW142" s="11">
        <v>0</v>
      </c>
      <c r="AX142" s="11">
        <v>0</v>
      </c>
      <c r="AY142" s="11">
        <v>0</v>
      </c>
      <c r="AZ142" s="11">
        <v>0</v>
      </c>
      <c r="BA142" s="3">
        <f t="shared" si="24"/>
        <v>91333</v>
      </c>
    </row>
    <row r="143" spans="1:53" x14ac:dyDescent="0.25">
      <c r="A143" s="1" t="s">
        <v>141</v>
      </c>
      <c r="B143" s="9" t="s">
        <v>1379</v>
      </c>
      <c r="C143" s="9" t="s">
        <v>1063</v>
      </c>
      <c r="D143" s="9" t="s">
        <v>1380</v>
      </c>
      <c r="E143" s="9" t="s">
        <v>1012</v>
      </c>
      <c r="F143" s="10">
        <v>45078</v>
      </c>
      <c r="G143" s="9" t="s">
        <v>1019</v>
      </c>
      <c r="I143" s="9" t="s">
        <v>1020</v>
      </c>
      <c r="J143" s="9" t="s">
        <v>1015</v>
      </c>
      <c r="K143" s="8" t="s">
        <v>1006</v>
      </c>
      <c r="L143" s="8" t="s">
        <v>1007</v>
      </c>
      <c r="M143" s="8" t="s">
        <v>2933</v>
      </c>
      <c r="N143" s="8" t="s">
        <v>2937</v>
      </c>
      <c r="O143" s="1" t="s">
        <v>2934</v>
      </c>
      <c r="P143">
        <v>30</v>
      </c>
      <c r="Q143">
        <v>30</v>
      </c>
      <c r="R143">
        <v>0</v>
      </c>
      <c r="S143">
        <f t="shared" si="26"/>
        <v>30</v>
      </c>
      <c r="T143" s="1" t="s">
        <v>2935</v>
      </c>
      <c r="U143" s="1" t="s">
        <v>2932</v>
      </c>
      <c r="V143" s="3">
        <f t="shared" si="27"/>
        <v>40000</v>
      </c>
      <c r="W143" s="3">
        <f t="shared" si="28"/>
        <v>16000</v>
      </c>
      <c r="X143" s="3">
        <f t="shared" si="20"/>
        <v>1250</v>
      </c>
      <c r="Y143" s="3">
        <f t="shared" si="21"/>
        <v>1600</v>
      </c>
      <c r="Z143" s="3">
        <f t="shared" si="22"/>
        <v>1800</v>
      </c>
      <c r="AA143" s="3">
        <v>0</v>
      </c>
      <c r="AB143" s="3">
        <f>ROUND(U143 - (V143+W143+X143+Y143) - (U143/Q143 * 2),0)</f>
        <v>34483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f>SUM(V143+W143+X143+Y143+AB143)</f>
        <v>93333</v>
      </c>
      <c r="AK143" s="3">
        <f>SUM(AJ143-AA143)</f>
        <v>93333</v>
      </c>
      <c r="AL143" s="3">
        <f>IF(V143&lt;=15000,V143*12%,1800)</f>
        <v>1800</v>
      </c>
      <c r="AM143" s="3">
        <v>0</v>
      </c>
      <c r="AN143" s="3">
        <f t="shared" si="23"/>
        <v>1800</v>
      </c>
      <c r="AO143" s="12">
        <v>200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3">
        <f t="shared" si="25"/>
        <v>200</v>
      </c>
      <c r="AV143" s="3">
        <f>SUM(AJ143 - AN143 - AU143)</f>
        <v>91333</v>
      </c>
      <c r="AW143" s="11">
        <v>0</v>
      </c>
      <c r="AX143" s="11">
        <v>0</v>
      </c>
      <c r="AY143" s="11">
        <v>0</v>
      </c>
      <c r="AZ143" s="11">
        <v>0</v>
      </c>
      <c r="BA143" s="3">
        <f t="shared" si="24"/>
        <v>91333</v>
      </c>
    </row>
    <row r="144" spans="1:53" x14ac:dyDescent="0.25">
      <c r="A144" s="1" t="s">
        <v>142</v>
      </c>
      <c r="B144" s="9" t="s">
        <v>1377</v>
      </c>
      <c r="C144" s="9" t="s">
        <v>1010</v>
      </c>
      <c r="D144" s="9" t="s">
        <v>1378</v>
      </c>
      <c r="E144" s="9" t="s">
        <v>1008</v>
      </c>
      <c r="F144" s="10">
        <v>45082</v>
      </c>
      <c r="G144" s="9" t="s">
        <v>1019</v>
      </c>
      <c r="I144" s="9" t="s">
        <v>1020</v>
      </c>
      <c r="J144" s="9" t="s">
        <v>1015</v>
      </c>
      <c r="K144" s="8" t="s">
        <v>1006</v>
      </c>
      <c r="L144" s="8" t="s">
        <v>1007</v>
      </c>
      <c r="M144" s="8" t="s">
        <v>2933</v>
      </c>
      <c r="N144" s="8" t="s">
        <v>2937</v>
      </c>
      <c r="O144" s="1" t="s">
        <v>2934</v>
      </c>
      <c r="P144">
        <v>30</v>
      </c>
      <c r="Q144">
        <v>30</v>
      </c>
      <c r="R144">
        <v>0</v>
      </c>
      <c r="S144">
        <f t="shared" si="26"/>
        <v>30</v>
      </c>
      <c r="T144" s="1" t="s">
        <v>2935</v>
      </c>
      <c r="U144" s="1" t="s">
        <v>2932</v>
      </c>
      <c r="V144" s="3">
        <f t="shared" si="27"/>
        <v>40000</v>
      </c>
      <c r="W144" s="3">
        <f t="shared" si="28"/>
        <v>16000</v>
      </c>
      <c r="X144" s="3">
        <f t="shared" si="20"/>
        <v>1250</v>
      </c>
      <c r="Y144" s="3">
        <f t="shared" si="21"/>
        <v>1600</v>
      </c>
      <c r="Z144" s="3">
        <f t="shared" si="22"/>
        <v>1800</v>
      </c>
      <c r="AA144" s="3">
        <v>0</v>
      </c>
      <c r="AB144" s="3">
        <f>ROUND(U144 - (V144+W144+X144+Y144) - (U144/Q144 * 2),0)</f>
        <v>34483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f>SUM(V144+W144+X144+Y144+AB144)</f>
        <v>93333</v>
      </c>
      <c r="AK144" s="3">
        <f>SUM(AJ144-AA144)</f>
        <v>93333</v>
      </c>
      <c r="AL144" s="3">
        <f>IF(V144&lt;=15000,V144*12%,1800)</f>
        <v>1800</v>
      </c>
      <c r="AM144" s="3">
        <v>0</v>
      </c>
      <c r="AN144" s="3">
        <f t="shared" si="23"/>
        <v>1800</v>
      </c>
      <c r="AO144" s="12">
        <v>200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3">
        <f t="shared" si="25"/>
        <v>200</v>
      </c>
      <c r="AV144" s="3">
        <f>SUM(AJ144 - AN144 - AU144)</f>
        <v>91333</v>
      </c>
      <c r="AW144" s="11">
        <v>0</v>
      </c>
      <c r="AX144" s="11">
        <v>0</v>
      </c>
      <c r="AY144" s="11">
        <v>0</v>
      </c>
      <c r="AZ144" s="11">
        <v>0</v>
      </c>
      <c r="BA144" s="3">
        <f t="shared" si="24"/>
        <v>91333</v>
      </c>
    </row>
    <row r="145" spans="1:53" x14ac:dyDescent="0.25">
      <c r="A145" s="1" t="s">
        <v>143</v>
      </c>
      <c r="B145" s="9" t="s">
        <v>1375</v>
      </c>
      <c r="C145" s="9" t="s">
        <v>1339</v>
      </c>
      <c r="D145" s="9" t="s">
        <v>1376</v>
      </c>
      <c r="E145" s="9" t="s">
        <v>1012</v>
      </c>
      <c r="F145" s="10">
        <v>45084</v>
      </c>
      <c r="G145" s="9" t="s">
        <v>1019</v>
      </c>
      <c r="I145" s="9" t="s">
        <v>1020</v>
      </c>
      <c r="J145" s="9" t="s">
        <v>1021</v>
      </c>
      <c r="K145" s="8" t="s">
        <v>1006</v>
      </c>
      <c r="L145" s="8" t="s">
        <v>1007</v>
      </c>
      <c r="M145" s="8" t="s">
        <v>2933</v>
      </c>
      <c r="N145" s="8" t="s">
        <v>2937</v>
      </c>
      <c r="O145" s="1" t="s">
        <v>2934</v>
      </c>
      <c r="P145">
        <v>30</v>
      </c>
      <c r="Q145">
        <v>30</v>
      </c>
      <c r="R145">
        <v>0</v>
      </c>
      <c r="S145">
        <f t="shared" si="26"/>
        <v>30</v>
      </c>
      <c r="T145" s="1" t="s">
        <v>2935</v>
      </c>
      <c r="U145" s="1" t="s">
        <v>2932</v>
      </c>
      <c r="V145" s="3">
        <f t="shared" si="27"/>
        <v>40000</v>
      </c>
      <c r="W145" s="3">
        <f t="shared" si="28"/>
        <v>16000</v>
      </c>
      <c r="X145" s="3">
        <f t="shared" si="20"/>
        <v>1250</v>
      </c>
      <c r="Y145" s="3">
        <f t="shared" si="21"/>
        <v>1600</v>
      </c>
      <c r="Z145" s="3">
        <f t="shared" si="22"/>
        <v>1800</v>
      </c>
      <c r="AA145" s="3">
        <v>0</v>
      </c>
      <c r="AB145" s="3">
        <f>ROUND(U145 - (V145+W145+X145+Y145) - (U145/Q145 * 2),0)</f>
        <v>34483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f>SUM(V145+W145+X145+Y145+AB145)</f>
        <v>93333</v>
      </c>
      <c r="AK145" s="3">
        <f>SUM(AJ145-AA145)</f>
        <v>93333</v>
      </c>
      <c r="AL145" s="3">
        <f>IF(V145&lt;=15000,V145*12%,1800)</f>
        <v>1800</v>
      </c>
      <c r="AM145" s="3">
        <v>0</v>
      </c>
      <c r="AN145" s="3">
        <f t="shared" si="23"/>
        <v>1800</v>
      </c>
      <c r="AO145" s="12">
        <v>200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3">
        <f t="shared" si="25"/>
        <v>200</v>
      </c>
      <c r="AV145" s="3">
        <f>SUM(AJ145 - AN145 - AU145)</f>
        <v>91333</v>
      </c>
      <c r="AW145" s="11">
        <v>0</v>
      </c>
      <c r="AX145" s="11">
        <v>0</v>
      </c>
      <c r="AY145" s="11">
        <v>0</v>
      </c>
      <c r="AZ145" s="11">
        <v>0</v>
      </c>
      <c r="BA145" s="3">
        <f t="shared" si="24"/>
        <v>91333</v>
      </c>
    </row>
    <row r="146" spans="1:53" x14ac:dyDescent="0.25">
      <c r="A146" s="1" t="s">
        <v>144</v>
      </c>
      <c r="B146" s="9" t="s">
        <v>1373</v>
      </c>
      <c r="C146" s="9" t="s">
        <v>1063</v>
      </c>
      <c r="D146" s="9" t="s">
        <v>1374</v>
      </c>
      <c r="E146" s="9" t="s">
        <v>1012</v>
      </c>
      <c r="F146" s="10">
        <v>45089</v>
      </c>
      <c r="G146" s="9" t="s">
        <v>1019</v>
      </c>
      <c r="I146" s="9" t="s">
        <v>1014</v>
      </c>
      <c r="J146" s="9" t="s">
        <v>1015</v>
      </c>
      <c r="K146" s="8" t="s">
        <v>1006</v>
      </c>
      <c r="L146" s="8" t="s">
        <v>1007</v>
      </c>
      <c r="M146" s="8" t="s">
        <v>2933</v>
      </c>
      <c r="N146" s="8" t="s">
        <v>2937</v>
      </c>
      <c r="O146" s="1" t="s">
        <v>2934</v>
      </c>
      <c r="P146">
        <v>30</v>
      </c>
      <c r="Q146">
        <v>30</v>
      </c>
      <c r="R146">
        <v>0</v>
      </c>
      <c r="S146">
        <f t="shared" si="26"/>
        <v>30</v>
      </c>
      <c r="T146" s="1" t="s">
        <v>2935</v>
      </c>
      <c r="U146" s="1" t="s">
        <v>2932</v>
      </c>
      <c r="V146" s="3">
        <f t="shared" si="27"/>
        <v>40000</v>
      </c>
      <c r="W146" s="3">
        <f t="shared" si="28"/>
        <v>16000</v>
      </c>
      <c r="X146" s="3">
        <f t="shared" si="20"/>
        <v>1250</v>
      </c>
      <c r="Y146" s="3">
        <f t="shared" si="21"/>
        <v>1600</v>
      </c>
      <c r="Z146" s="3">
        <f t="shared" si="22"/>
        <v>1800</v>
      </c>
      <c r="AA146" s="3">
        <v>0</v>
      </c>
      <c r="AB146" s="3">
        <f>ROUND(U146 - (V146+W146+X146+Y146) - (U146/Q146 * 2),0)</f>
        <v>34483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f>SUM(V146+W146+X146+Y146+AB146)</f>
        <v>93333</v>
      </c>
      <c r="AK146" s="3">
        <f>SUM(AJ146-AA146)</f>
        <v>93333</v>
      </c>
      <c r="AL146" s="3">
        <f>IF(V146&lt;=15000,V146*12%,1800)</f>
        <v>1800</v>
      </c>
      <c r="AM146" s="3">
        <v>0</v>
      </c>
      <c r="AN146" s="3">
        <f t="shared" si="23"/>
        <v>1800</v>
      </c>
      <c r="AO146" s="12">
        <v>200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3">
        <f t="shared" si="25"/>
        <v>200</v>
      </c>
      <c r="AV146" s="3">
        <f>SUM(AJ146 - AN146 - AU146)</f>
        <v>91333</v>
      </c>
      <c r="AW146" s="11">
        <v>0</v>
      </c>
      <c r="AX146" s="11">
        <v>0</v>
      </c>
      <c r="AY146" s="11">
        <v>0</v>
      </c>
      <c r="AZ146" s="11">
        <v>0</v>
      </c>
      <c r="BA146" s="3">
        <f t="shared" si="24"/>
        <v>91333</v>
      </c>
    </row>
    <row r="147" spans="1:53" x14ac:dyDescent="0.25">
      <c r="A147" s="1" t="s">
        <v>145</v>
      </c>
      <c r="B147" s="9" t="s">
        <v>1371</v>
      </c>
      <c r="C147" s="9" t="s">
        <v>1063</v>
      </c>
      <c r="D147" s="9" t="s">
        <v>1372</v>
      </c>
      <c r="E147" s="9" t="s">
        <v>1012</v>
      </c>
      <c r="F147" s="10">
        <v>45089</v>
      </c>
      <c r="G147" s="9" t="s">
        <v>1019</v>
      </c>
      <c r="I147" s="9" t="s">
        <v>1014</v>
      </c>
      <c r="J147" s="9" t="s">
        <v>1015</v>
      </c>
      <c r="K147" s="8" t="s">
        <v>1006</v>
      </c>
      <c r="L147" s="8" t="s">
        <v>1007</v>
      </c>
      <c r="M147" s="8" t="s">
        <v>2933</v>
      </c>
      <c r="N147" s="8" t="s">
        <v>2937</v>
      </c>
      <c r="O147" s="1" t="s">
        <v>2934</v>
      </c>
      <c r="P147">
        <v>30</v>
      </c>
      <c r="Q147">
        <v>30</v>
      </c>
      <c r="R147">
        <v>0</v>
      </c>
      <c r="S147">
        <f t="shared" si="26"/>
        <v>30</v>
      </c>
      <c r="T147" s="1" t="s">
        <v>2935</v>
      </c>
      <c r="U147" s="1" t="s">
        <v>2932</v>
      </c>
      <c r="V147" s="3">
        <f t="shared" si="27"/>
        <v>40000</v>
      </c>
      <c r="W147" s="3">
        <f t="shared" si="28"/>
        <v>16000</v>
      </c>
      <c r="X147" s="3">
        <f t="shared" si="20"/>
        <v>1250</v>
      </c>
      <c r="Y147" s="3">
        <f t="shared" si="21"/>
        <v>1600</v>
      </c>
      <c r="Z147" s="3">
        <f t="shared" si="22"/>
        <v>1800</v>
      </c>
      <c r="AA147" s="3">
        <v>0</v>
      </c>
      <c r="AB147" s="3">
        <f>ROUND(U147 - (V147+W147+X147+Y147) - (U147/Q147 * 2),0)</f>
        <v>34483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f>SUM(V147+W147+X147+Y147+AB147)</f>
        <v>93333</v>
      </c>
      <c r="AK147" s="3">
        <f>SUM(AJ147-AA147)</f>
        <v>93333</v>
      </c>
      <c r="AL147" s="3">
        <f>IF(V147&lt;=15000,V147*12%,1800)</f>
        <v>1800</v>
      </c>
      <c r="AM147" s="3">
        <v>0</v>
      </c>
      <c r="AN147" s="3">
        <f t="shared" si="23"/>
        <v>1800</v>
      </c>
      <c r="AO147" s="12">
        <v>200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3">
        <f t="shared" si="25"/>
        <v>200</v>
      </c>
      <c r="AV147" s="3">
        <f>SUM(AJ147 - AN147 - AU147)</f>
        <v>91333</v>
      </c>
      <c r="AW147" s="11">
        <v>0</v>
      </c>
      <c r="AX147" s="11">
        <v>0</v>
      </c>
      <c r="AY147" s="11">
        <v>0</v>
      </c>
      <c r="AZ147" s="11">
        <v>0</v>
      </c>
      <c r="BA147" s="3">
        <f t="shared" si="24"/>
        <v>91333</v>
      </c>
    </row>
    <row r="148" spans="1:53" x14ac:dyDescent="0.25">
      <c r="A148" s="1" t="s">
        <v>146</v>
      </c>
      <c r="B148" s="9" t="s">
        <v>1369</v>
      </c>
      <c r="C148" s="9" t="s">
        <v>1010</v>
      </c>
      <c r="D148" s="9" t="s">
        <v>1370</v>
      </c>
      <c r="E148" s="9" t="s">
        <v>1012</v>
      </c>
      <c r="F148" s="10">
        <v>45091</v>
      </c>
      <c r="G148" s="9" t="s">
        <v>1019</v>
      </c>
      <c r="I148" s="9" t="s">
        <v>1020</v>
      </c>
      <c r="J148" s="9" t="s">
        <v>1015</v>
      </c>
      <c r="K148" s="8" t="s">
        <v>1006</v>
      </c>
      <c r="L148" s="8" t="s">
        <v>1007</v>
      </c>
      <c r="M148" s="8" t="s">
        <v>2933</v>
      </c>
      <c r="N148" s="8" t="s">
        <v>2937</v>
      </c>
      <c r="O148" s="1" t="s">
        <v>2934</v>
      </c>
      <c r="P148">
        <v>30</v>
      </c>
      <c r="Q148">
        <v>30</v>
      </c>
      <c r="R148">
        <v>0</v>
      </c>
      <c r="S148">
        <f t="shared" si="26"/>
        <v>30</v>
      </c>
      <c r="T148" s="1" t="s">
        <v>2935</v>
      </c>
      <c r="U148" s="1" t="s">
        <v>2932</v>
      </c>
      <c r="V148" s="3">
        <f t="shared" si="27"/>
        <v>40000</v>
      </c>
      <c r="W148" s="3">
        <f t="shared" si="28"/>
        <v>16000</v>
      </c>
      <c r="X148" s="3">
        <f t="shared" si="20"/>
        <v>1250</v>
      </c>
      <c r="Y148" s="3">
        <f t="shared" si="21"/>
        <v>1600</v>
      </c>
      <c r="Z148" s="3">
        <f t="shared" si="22"/>
        <v>1800</v>
      </c>
      <c r="AA148" s="3">
        <v>0</v>
      </c>
      <c r="AB148" s="3">
        <f>ROUND(U148 - (V148+W148+X148+Y148) - (U148/Q148 * 2),0)</f>
        <v>34483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f>SUM(V148+W148+X148+Y148+AB148)</f>
        <v>93333</v>
      </c>
      <c r="AK148" s="3">
        <f>SUM(AJ148-AA148)</f>
        <v>93333</v>
      </c>
      <c r="AL148" s="3">
        <f>IF(V148&lt;=15000,V148*12%,1800)</f>
        <v>1800</v>
      </c>
      <c r="AM148" s="3">
        <v>0</v>
      </c>
      <c r="AN148" s="3">
        <f t="shared" si="23"/>
        <v>1800</v>
      </c>
      <c r="AO148" s="12">
        <v>200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3">
        <f t="shared" si="25"/>
        <v>200</v>
      </c>
      <c r="AV148" s="3">
        <f>SUM(AJ148 - AN148 - AU148)</f>
        <v>91333</v>
      </c>
      <c r="AW148" s="11">
        <v>0</v>
      </c>
      <c r="AX148" s="11">
        <v>0</v>
      </c>
      <c r="AY148" s="11">
        <v>0</v>
      </c>
      <c r="AZ148" s="11">
        <v>0</v>
      </c>
      <c r="BA148" s="3">
        <f t="shared" si="24"/>
        <v>91333</v>
      </c>
    </row>
    <row r="149" spans="1:53" x14ac:dyDescent="0.25">
      <c r="A149" s="1" t="s">
        <v>147</v>
      </c>
      <c r="B149" s="9" t="s">
        <v>1367</v>
      </c>
      <c r="C149" s="9" t="s">
        <v>1063</v>
      </c>
      <c r="D149" s="9" t="s">
        <v>1368</v>
      </c>
      <c r="E149" s="9" t="s">
        <v>1012</v>
      </c>
      <c r="F149" s="10">
        <v>45091</v>
      </c>
      <c r="G149" s="9" t="s">
        <v>1013</v>
      </c>
      <c r="I149" s="9" t="s">
        <v>1014</v>
      </c>
      <c r="J149" s="9" t="s">
        <v>1015</v>
      </c>
      <c r="K149" s="8" t="s">
        <v>1006</v>
      </c>
      <c r="L149" s="8" t="s">
        <v>1007</v>
      </c>
      <c r="M149" s="8" t="s">
        <v>2933</v>
      </c>
      <c r="N149" s="8" t="s">
        <v>2937</v>
      </c>
      <c r="O149" s="1" t="s">
        <v>2934</v>
      </c>
      <c r="P149">
        <v>30</v>
      </c>
      <c r="Q149">
        <v>30</v>
      </c>
      <c r="R149">
        <v>0</v>
      </c>
      <c r="S149">
        <f t="shared" si="26"/>
        <v>30</v>
      </c>
      <c r="T149" s="1" t="s">
        <v>2935</v>
      </c>
      <c r="U149" s="1" t="s">
        <v>2932</v>
      </c>
      <c r="V149" s="3">
        <f t="shared" si="27"/>
        <v>40000</v>
      </c>
      <c r="W149" s="3">
        <f t="shared" si="28"/>
        <v>16000</v>
      </c>
      <c r="X149" s="3">
        <f t="shared" si="20"/>
        <v>1250</v>
      </c>
      <c r="Y149" s="3">
        <f t="shared" si="21"/>
        <v>1600</v>
      </c>
      <c r="Z149" s="3">
        <f t="shared" si="22"/>
        <v>1800</v>
      </c>
      <c r="AA149" s="3">
        <v>0</v>
      </c>
      <c r="AB149" s="3">
        <f>ROUND(U149 - (V149+W149+X149+Y149) - (U149/Q149 * 2),0)</f>
        <v>34483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f>SUM(V149+W149+X149+Y149+AB149)</f>
        <v>93333</v>
      </c>
      <c r="AK149" s="3">
        <f>SUM(AJ149-AA149)</f>
        <v>93333</v>
      </c>
      <c r="AL149" s="3">
        <f>IF(V149&lt;=15000,V149*12%,1800)</f>
        <v>1800</v>
      </c>
      <c r="AM149" s="3">
        <v>0</v>
      </c>
      <c r="AN149" s="3">
        <f t="shared" si="23"/>
        <v>1800</v>
      </c>
      <c r="AO149" s="12">
        <v>200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3">
        <f t="shared" si="25"/>
        <v>200</v>
      </c>
      <c r="AV149" s="3">
        <f>SUM(AJ149 - AN149 - AU149)</f>
        <v>91333</v>
      </c>
      <c r="AW149" s="11">
        <v>0</v>
      </c>
      <c r="AX149" s="11">
        <v>0</v>
      </c>
      <c r="AY149" s="11">
        <v>0</v>
      </c>
      <c r="AZ149" s="11">
        <v>0</v>
      </c>
      <c r="BA149" s="3">
        <f t="shared" si="24"/>
        <v>91333</v>
      </c>
    </row>
    <row r="150" spans="1:53" x14ac:dyDescent="0.25">
      <c r="A150" s="1" t="s">
        <v>148</v>
      </c>
      <c r="B150" s="9" t="s">
        <v>1365</v>
      </c>
      <c r="C150" s="9" t="s">
        <v>1284</v>
      </c>
      <c r="D150" s="9" t="s">
        <v>1366</v>
      </c>
      <c r="E150" s="9" t="s">
        <v>1012</v>
      </c>
      <c r="F150" s="10">
        <v>45096</v>
      </c>
      <c r="G150" s="9" t="s">
        <v>1019</v>
      </c>
      <c r="I150" s="9" t="s">
        <v>1020</v>
      </c>
      <c r="J150" s="9" t="s">
        <v>1021</v>
      </c>
      <c r="K150" s="8" t="s">
        <v>1006</v>
      </c>
      <c r="L150" s="8" t="s">
        <v>1007</v>
      </c>
      <c r="M150" s="8" t="s">
        <v>2933</v>
      </c>
      <c r="N150" s="8" t="s">
        <v>2937</v>
      </c>
      <c r="O150" s="1" t="s">
        <v>2934</v>
      </c>
      <c r="P150">
        <v>30</v>
      </c>
      <c r="Q150">
        <v>30</v>
      </c>
      <c r="R150">
        <v>0</v>
      </c>
      <c r="S150">
        <f t="shared" si="26"/>
        <v>30</v>
      </c>
      <c r="T150" s="1" t="s">
        <v>2935</v>
      </c>
      <c r="U150" s="1" t="s">
        <v>2932</v>
      </c>
      <c r="V150" s="3">
        <f t="shared" si="27"/>
        <v>40000</v>
      </c>
      <c r="W150" s="3">
        <f t="shared" si="28"/>
        <v>16000</v>
      </c>
      <c r="X150" s="3">
        <f t="shared" si="20"/>
        <v>1250</v>
      </c>
      <c r="Y150" s="3">
        <f t="shared" si="21"/>
        <v>1600</v>
      </c>
      <c r="Z150" s="3">
        <f t="shared" si="22"/>
        <v>1800</v>
      </c>
      <c r="AA150" s="3">
        <v>0</v>
      </c>
      <c r="AB150" s="3">
        <f>ROUND(U150 - (V150+W150+X150+Y150) - (U150/Q150 * 2),0)</f>
        <v>34483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f>SUM(V150+W150+X150+Y150+AB150)</f>
        <v>93333</v>
      </c>
      <c r="AK150" s="3">
        <f>SUM(AJ150-AA150)</f>
        <v>93333</v>
      </c>
      <c r="AL150" s="3">
        <f>IF(V150&lt;=15000,V150*12%,1800)</f>
        <v>1800</v>
      </c>
      <c r="AM150" s="3">
        <v>0</v>
      </c>
      <c r="AN150" s="3">
        <f t="shared" si="23"/>
        <v>1800</v>
      </c>
      <c r="AO150" s="12">
        <v>200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3">
        <f t="shared" si="25"/>
        <v>200</v>
      </c>
      <c r="AV150" s="3">
        <f>SUM(AJ150 - AN150 - AU150)</f>
        <v>91333</v>
      </c>
      <c r="AW150" s="11">
        <v>0</v>
      </c>
      <c r="AX150" s="11">
        <v>0</v>
      </c>
      <c r="AY150" s="11">
        <v>0</v>
      </c>
      <c r="AZ150" s="11">
        <v>0</v>
      </c>
      <c r="BA150" s="3">
        <f t="shared" si="24"/>
        <v>91333</v>
      </c>
    </row>
    <row r="151" spans="1:53" x14ac:dyDescent="0.25">
      <c r="A151" s="1" t="s">
        <v>149</v>
      </c>
      <c r="B151" s="9" t="s">
        <v>1363</v>
      </c>
      <c r="C151" s="9" t="s">
        <v>1010</v>
      </c>
      <c r="D151" s="9" t="s">
        <v>1364</v>
      </c>
      <c r="E151" s="9" t="s">
        <v>1008</v>
      </c>
      <c r="F151" s="10">
        <v>45096</v>
      </c>
      <c r="G151" s="9" t="s">
        <v>1013</v>
      </c>
      <c r="I151" s="9" t="s">
        <v>1014</v>
      </c>
      <c r="J151" s="9" t="s">
        <v>1015</v>
      </c>
      <c r="K151" s="8" t="s">
        <v>1006</v>
      </c>
      <c r="L151" s="8" t="s">
        <v>1007</v>
      </c>
      <c r="M151" s="8" t="s">
        <v>2933</v>
      </c>
      <c r="N151" s="8" t="s">
        <v>2937</v>
      </c>
      <c r="O151" s="1" t="s">
        <v>2934</v>
      </c>
      <c r="P151">
        <v>30</v>
      </c>
      <c r="Q151">
        <v>30</v>
      </c>
      <c r="R151">
        <v>0</v>
      </c>
      <c r="S151">
        <f t="shared" si="26"/>
        <v>30</v>
      </c>
      <c r="T151" s="1" t="s">
        <v>2935</v>
      </c>
      <c r="U151" s="1" t="s">
        <v>2932</v>
      </c>
      <c r="V151" s="3">
        <f t="shared" si="27"/>
        <v>40000</v>
      </c>
      <c r="W151" s="3">
        <f t="shared" si="28"/>
        <v>16000</v>
      </c>
      <c r="X151" s="3">
        <f t="shared" si="20"/>
        <v>1250</v>
      </c>
      <c r="Y151" s="3">
        <f t="shared" si="21"/>
        <v>1600</v>
      </c>
      <c r="Z151" s="3">
        <f t="shared" si="22"/>
        <v>1800</v>
      </c>
      <c r="AA151" s="3">
        <v>0</v>
      </c>
      <c r="AB151" s="3">
        <f>ROUND(U151 - (V151+W151+X151+Y151) - (U151/Q151 * 2),0)</f>
        <v>34483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f>SUM(V151+W151+X151+Y151+AB151)</f>
        <v>93333</v>
      </c>
      <c r="AK151" s="3">
        <f>SUM(AJ151-AA151)</f>
        <v>93333</v>
      </c>
      <c r="AL151" s="3">
        <f>IF(V151&lt;=15000,V151*12%,1800)</f>
        <v>1800</v>
      </c>
      <c r="AM151" s="3">
        <v>0</v>
      </c>
      <c r="AN151" s="3">
        <f t="shared" si="23"/>
        <v>1800</v>
      </c>
      <c r="AO151" s="12">
        <v>200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3">
        <f t="shared" si="25"/>
        <v>200</v>
      </c>
      <c r="AV151" s="3">
        <f>SUM(AJ151 - AN151 - AU151)</f>
        <v>91333</v>
      </c>
      <c r="AW151" s="11">
        <v>0</v>
      </c>
      <c r="AX151" s="11">
        <v>0</v>
      </c>
      <c r="AY151" s="11">
        <v>0</v>
      </c>
      <c r="AZ151" s="11">
        <v>0</v>
      </c>
      <c r="BA151" s="3">
        <f t="shared" si="24"/>
        <v>91333</v>
      </c>
    </row>
    <row r="152" spans="1:53" x14ac:dyDescent="0.25">
      <c r="A152" s="1" t="s">
        <v>150</v>
      </c>
      <c r="B152" s="9" t="s">
        <v>1361</v>
      </c>
      <c r="C152" s="9" t="s">
        <v>1063</v>
      </c>
      <c r="D152" s="9" t="s">
        <v>1362</v>
      </c>
      <c r="E152" s="9" t="s">
        <v>1012</v>
      </c>
      <c r="F152" s="10">
        <v>45096</v>
      </c>
      <c r="G152" s="9" t="s">
        <v>1013</v>
      </c>
      <c r="I152" s="9" t="s">
        <v>1014</v>
      </c>
      <c r="J152" s="9" t="s">
        <v>1015</v>
      </c>
      <c r="K152" s="8" t="s">
        <v>1006</v>
      </c>
      <c r="L152" s="8" t="s">
        <v>1007</v>
      </c>
      <c r="M152" s="8" t="s">
        <v>2933</v>
      </c>
      <c r="N152" s="8" t="s">
        <v>2937</v>
      </c>
      <c r="O152" s="1" t="s">
        <v>2934</v>
      </c>
      <c r="P152">
        <v>30</v>
      </c>
      <c r="Q152">
        <v>30</v>
      </c>
      <c r="R152">
        <v>0</v>
      </c>
      <c r="S152">
        <f t="shared" si="26"/>
        <v>30</v>
      </c>
      <c r="T152" s="1" t="s">
        <v>2935</v>
      </c>
      <c r="U152" s="1" t="s">
        <v>2932</v>
      </c>
      <c r="V152" s="3">
        <f t="shared" si="27"/>
        <v>40000</v>
      </c>
      <c r="W152" s="3">
        <f t="shared" si="28"/>
        <v>16000</v>
      </c>
      <c r="X152" s="3">
        <f t="shared" si="20"/>
        <v>1250</v>
      </c>
      <c r="Y152" s="3">
        <f t="shared" si="21"/>
        <v>1600</v>
      </c>
      <c r="Z152" s="3">
        <f t="shared" si="22"/>
        <v>1800</v>
      </c>
      <c r="AA152" s="3">
        <v>0</v>
      </c>
      <c r="AB152" s="3">
        <f>ROUND(U152 - (V152+W152+X152+Y152) - (U152/Q152 * 2),0)</f>
        <v>34483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f>SUM(V152+W152+X152+Y152+AB152)</f>
        <v>93333</v>
      </c>
      <c r="AK152" s="3">
        <f>SUM(AJ152-AA152)</f>
        <v>93333</v>
      </c>
      <c r="AL152" s="3">
        <f>IF(V152&lt;=15000,V152*12%,1800)</f>
        <v>1800</v>
      </c>
      <c r="AM152" s="3">
        <v>0</v>
      </c>
      <c r="AN152" s="3">
        <f t="shared" si="23"/>
        <v>1800</v>
      </c>
      <c r="AO152" s="12">
        <v>200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3">
        <f t="shared" si="25"/>
        <v>200</v>
      </c>
      <c r="AV152" s="3">
        <f>SUM(AJ152 - AN152 - AU152)</f>
        <v>91333</v>
      </c>
      <c r="AW152" s="11">
        <v>0</v>
      </c>
      <c r="AX152" s="11">
        <v>0</v>
      </c>
      <c r="AY152" s="11">
        <v>0</v>
      </c>
      <c r="AZ152" s="11">
        <v>0</v>
      </c>
      <c r="BA152" s="3">
        <f t="shared" si="24"/>
        <v>91333</v>
      </c>
    </row>
    <row r="153" spans="1:53" x14ac:dyDescent="0.25">
      <c r="A153" s="1" t="s">
        <v>151</v>
      </c>
      <c r="B153" s="9" t="s">
        <v>1359</v>
      </c>
      <c r="C153" s="9" t="s">
        <v>1010</v>
      </c>
      <c r="D153" s="9" t="s">
        <v>1360</v>
      </c>
      <c r="E153" s="9" t="s">
        <v>1012</v>
      </c>
      <c r="F153" s="10">
        <v>45096</v>
      </c>
      <c r="G153" s="9" t="s">
        <v>1013</v>
      </c>
      <c r="I153" s="9" t="s">
        <v>1014</v>
      </c>
      <c r="J153" s="9" t="s">
        <v>1015</v>
      </c>
      <c r="K153" s="8" t="s">
        <v>1006</v>
      </c>
      <c r="L153" s="8" t="s">
        <v>1007</v>
      </c>
      <c r="M153" s="8" t="s">
        <v>2933</v>
      </c>
      <c r="N153" s="8" t="s">
        <v>2937</v>
      </c>
      <c r="O153" s="1" t="s">
        <v>2934</v>
      </c>
      <c r="P153">
        <v>30</v>
      </c>
      <c r="Q153">
        <v>30</v>
      </c>
      <c r="R153">
        <v>0</v>
      </c>
      <c r="S153">
        <f t="shared" si="26"/>
        <v>30</v>
      </c>
      <c r="T153" s="1" t="s">
        <v>2935</v>
      </c>
      <c r="U153" s="1" t="s">
        <v>2932</v>
      </c>
      <c r="V153" s="3">
        <f t="shared" si="27"/>
        <v>40000</v>
      </c>
      <c r="W153" s="3">
        <f t="shared" si="28"/>
        <v>16000</v>
      </c>
      <c r="X153" s="3">
        <f t="shared" si="20"/>
        <v>1250</v>
      </c>
      <c r="Y153" s="3">
        <f t="shared" si="21"/>
        <v>1600</v>
      </c>
      <c r="Z153" s="3">
        <f t="shared" si="22"/>
        <v>1800</v>
      </c>
      <c r="AA153" s="3">
        <v>0</v>
      </c>
      <c r="AB153" s="3">
        <f>ROUND(U153 - (V153+W153+X153+Y153) - (U153/Q153 * 2),0)</f>
        <v>34483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f>SUM(V153+W153+X153+Y153+AB153)</f>
        <v>93333</v>
      </c>
      <c r="AK153" s="3">
        <f>SUM(AJ153-AA153)</f>
        <v>93333</v>
      </c>
      <c r="AL153" s="3">
        <f>IF(V153&lt;=15000,V153*12%,1800)</f>
        <v>1800</v>
      </c>
      <c r="AM153" s="3">
        <v>0</v>
      </c>
      <c r="AN153" s="3">
        <f t="shared" si="23"/>
        <v>1800</v>
      </c>
      <c r="AO153" s="12">
        <v>200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3">
        <f t="shared" si="25"/>
        <v>200</v>
      </c>
      <c r="AV153" s="3">
        <f>SUM(AJ153 - AN153 - AU153)</f>
        <v>91333</v>
      </c>
      <c r="AW153" s="11">
        <v>0</v>
      </c>
      <c r="AX153" s="11">
        <v>0</v>
      </c>
      <c r="AY153" s="11">
        <v>0</v>
      </c>
      <c r="AZ153" s="11">
        <v>0</v>
      </c>
      <c r="BA153" s="3">
        <f t="shared" si="24"/>
        <v>91333</v>
      </c>
    </row>
    <row r="154" spans="1:53" x14ac:dyDescent="0.25">
      <c r="A154" s="1" t="s">
        <v>152</v>
      </c>
      <c r="B154" s="9" t="s">
        <v>1357</v>
      </c>
      <c r="C154" s="9" t="s">
        <v>1075</v>
      </c>
      <c r="D154" s="9" t="s">
        <v>1358</v>
      </c>
      <c r="E154" s="9" t="s">
        <v>1012</v>
      </c>
      <c r="F154" s="10">
        <v>45096</v>
      </c>
      <c r="G154" s="9" t="s">
        <v>1019</v>
      </c>
      <c r="I154" s="9" t="s">
        <v>1014</v>
      </c>
      <c r="J154" s="9" t="s">
        <v>1015</v>
      </c>
      <c r="K154" s="8" t="s">
        <v>1006</v>
      </c>
      <c r="L154" s="8" t="s">
        <v>1007</v>
      </c>
      <c r="M154" s="8" t="s">
        <v>2933</v>
      </c>
      <c r="N154" s="8" t="s">
        <v>2937</v>
      </c>
      <c r="O154" s="1" t="s">
        <v>2934</v>
      </c>
      <c r="P154">
        <v>30</v>
      </c>
      <c r="Q154">
        <v>30</v>
      </c>
      <c r="R154">
        <v>0</v>
      </c>
      <c r="S154">
        <f t="shared" si="26"/>
        <v>30</v>
      </c>
      <c r="T154" s="1" t="s">
        <v>2935</v>
      </c>
      <c r="U154" s="1" t="s">
        <v>2932</v>
      </c>
      <c r="V154" s="3">
        <f t="shared" si="27"/>
        <v>40000</v>
      </c>
      <c r="W154" s="3">
        <f t="shared" si="28"/>
        <v>16000</v>
      </c>
      <c r="X154" s="3">
        <f t="shared" si="20"/>
        <v>1250</v>
      </c>
      <c r="Y154" s="3">
        <f t="shared" si="21"/>
        <v>1600</v>
      </c>
      <c r="Z154" s="3">
        <f t="shared" si="22"/>
        <v>1800</v>
      </c>
      <c r="AA154" s="3">
        <v>0</v>
      </c>
      <c r="AB154" s="3">
        <f>ROUND(U154 - (V154+W154+X154+Y154) - (U154/Q154 * 2),0)</f>
        <v>34483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f>SUM(V154+W154+X154+Y154+AB154)</f>
        <v>93333</v>
      </c>
      <c r="AK154" s="3">
        <f>SUM(AJ154-AA154)</f>
        <v>93333</v>
      </c>
      <c r="AL154" s="3">
        <f>IF(V154&lt;=15000,V154*12%,1800)</f>
        <v>1800</v>
      </c>
      <c r="AM154" s="3">
        <v>0</v>
      </c>
      <c r="AN154" s="3">
        <f t="shared" si="23"/>
        <v>1800</v>
      </c>
      <c r="AO154" s="12">
        <v>200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3">
        <f t="shared" si="25"/>
        <v>200</v>
      </c>
      <c r="AV154" s="3">
        <f>SUM(AJ154 - AN154 - AU154)</f>
        <v>91333</v>
      </c>
      <c r="AW154" s="11">
        <v>0</v>
      </c>
      <c r="AX154" s="11">
        <v>0</v>
      </c>
      <c r="AY154" s="11">
        <v>0</v>
      </c>
      <c r="AZ154" s="11">
        <v>0</v>
      </c>
      <c r="BA154" s="3">
        <f t="shared" si="24"/>
        <v>91333</v>
      </c>
    </row>
    <row r="155" spans="1:53" x14ac:dyDescent="0.25">
      <c r="A155" s="1" t="s">
        <v>153</v>
      </c>
      <c r="B155" s="9" t="s">
        <v>1355</v>
      </c>
      <c r="C155" s="9" t="s">
        <v>1063</v>
      </c>
      <c r="D155" s="9" t="s">
        <v>1356</v>
      </c>
      <c r="E155" s="9" t="s">
        <v>1012</v>
      </c>
      <c r="F155" s="10">
        <v>45098</v>
      </c>
      <c r="G155" s="9" t="s">
        <v>1019</v>
      </c>
      <c r="I155" s="9" t="s">
        <v>1014</v>
      </c>
      <c r="J155" s="9" t="s">
        <v>1015</v>
      </c>
      <c r="K155" s="8" t="s">
        <v>1006</v>
      </c>
      <c r="L155" s="8" t="s">
        <v>1007</v>
      </c>
      <c r="M155" s="8" t="s">
        <v>2933</v>
      </c>
      <c r="N155" s="8" t="s">
        <v>2937</v>
      </c>
      <c r="O155" s="1" t="s">
        <v>2934</v>
      </c>
      <c r="P155">
        <v>30</v>
      </c>
      <c r="Q155">
        <v>30</v>
      </c>
      <c r="R155">
        <v>0</v>
      </c>
      <c r="S155">
        <f t="shared" si="26"/>
        <v>30</v>
      </c>
      <c r="T155" s="1" t="s">
        <v>2935</v>
      </c>
      <c r="U155" s="1" t="s">
        <v>2932</v>
      </c>
      <c r="V155" s="3">
        <f t="shared" si="27"/>
        <v>40000</v>
      </c>
      <c r="W155" s="3">
        <f t="shared" si="28"/>
        <v>16000</v>
      </c>
      <c r="X155" s="3">
        <f t="shared" si="20"/>
        <v>1250</v>
      </c>
      <c r="Y155" s="3">
        <f t="shared" si="21"/>
        <v>1600</v>
      </c>
      <c r="Z155" s="3">
        <f t="shared" si="22"/>
        <v>1800</v>
      </c>
      <c r="AA155" s="3">
        <v>0</v>
      </c>
      <c r="AB155" s="3">
        <f>ROUND(U155 - (V155+W155+X155+Y155) - (U155/Q155 * 2),0)</f>
        <v>34483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f>SUM(V155+W155+X155+Y155+AB155)</f>
        <v>93333</v>
      </c>
      <c r="AK155" s="3">
        <f>SUM(AJ155-AA155)</f>
        <v>93333</v>
      </c>
      <c r="AL155" s="3">
        <f>IF(V155&lt;=15000,V155*12%,1800)</f>
        <v>1800</v>
      </c>
      <c r="AM155" s="3">
        <v>0</v>
      </c>
      <c r="AN155" s="3">
        <f t="shared" si="23"/>
        <v>1800</v>
      </c>
      <c r="AO155" s="12">
        <v>200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3">
        <f t="shared" si="25"/>
        <v>200</v>
      </c>
      <c r="AV155" s="3">
        <f>SUM(AJ155 - AN155 - AU155)</f>
        <v>91333</v>
      </c>
      <c r="AW155" s="11">
        <v>0</v>
      </c>
      <c r="AX155" s="11">
        <v>0</v>
      </c>
      <c r="AY155" s="11">
        <v>0</v>
      </c>
      <c r="AZ155" s="11">
        <v>0</v>
      </c>
      <c r="BA155" s="3">
        <f t="shared" si="24"/>
        <v>91333</v>
      </c>
    </row>
    <row r="156" spans="1:53" x14ac:dyDescent="0.25">
      <c r="A156" s="1" t="s">
        <v>154</v>
      </c>
      <c r="B156" s="9" t="s">
        <v>1074</v>
      </c>
      <c r="C156" s="9" t="s">
        <v>1063</v>
      </c>
      <c r="D156" s="9" t="s">
        <v>1354</v>
      </c>
      <c r="E156" s="9" t="s">
        <v>1012</v>
      </c>
      <c r="F156" s="10">
        <v>45099</v>
      </c>
      <c r="G156" s="9" t="s">
        <v>1013</v>
      </c>
      <c r="I156" s="9" t="s">
        <v>1014</v>
      </c>
      <c r="J156" s="9" t="s">
        <v>1015</v>
      </c>
      <c r="K156" s="8" t="s">
        <v>1006</v>
      </c>
      <c r="L156" s="8" t="s">
        <v>1007</v>
      </c>
      <c r="M156" s="8" t="s">
        <v>2933</v>
      </c>
      <c r="N156" s="8" t="s">
        <v>2937</v>
      </c>
      <c r="O156" s="1" t="s">
        <v>2934</v>
      </c>
      <c r="P156">
        <v>30</v>
      </c>
      <c r="Q156">
        <v>30</v>
      </c>
      <c r="R156">
        <v>0</v>
      </c>
      <c r="S156">
        <f t="shared" si="26"/>
        <v>30</v>
      </c>
      <c r="T156" s="1" t="s">
        <v>2935</v>
      </c>
      <c r="U156" s="1" t="s">
        <v>2932</v>
      </c>
      <c r="V156" s="3">
        <f t="shared" si="27"/>
        <v>40000</v>
      </c>
      <c r="W156" s="3">
        <f t="shared" si="28"/>
        <v>16000</v>
      </c>
      <c r="X156" s="3">
        <f t="shared" si="20"/>
        <v>1250</v>
      </c>
      <c r="Y156" s="3">
        <f t="shared" si="21"/>
        <v>1600</v>
      </c>
      <c r="Z156" s="3">
        <f t="shared" si="22"/>
        <v>1800</v>
      </c>
      <c r="AA156" s="3">
        <v>0</v>
      </c>
      <c r="AB156" s="3">
        <f>ROUND(U156 - (V156+W156+X156+Y156) - (U156/Q156 * 2),0)</f>
        <v>34483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f>SUM(V156+W156+X156+Y156+AB156)</f>
        <v>93333</v>
      </c>
      <c r="AK156" s="3">
        <f>SUM(AJ156-AA156)</f>
        <v>93333</v>
      </c>
      <c r="AL156" s="3">
        <f>IF(V156&lt;=15000,V156*12%,1800)</f>
        <v>1800</v>
      </c>
      <c r="AM156" s="3">
        <v>0</v>
      </c>
      <c r="AN156" s="3">
        <f t="shared" si="23"/>
        <v>1800</v>
      </c>
      <c r="AO156" s="12">
        <v>200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3">
        <f t="shared" si="25"/>
        <v>200</v>
      </c>
      <c r="AV156" s="3">
        <f>SUM(AJ156 - AN156 - AU156)</f>
        <v>91333</v>
      </c>
      <c r="AW156" s="11">
        <v>0</v>
      </c>
      <c r="AX156" s="11">
        <v>0</v>
      </c>
      <c r="AY156" s="11">
        <v>0</v>
      </c>
      <c r="AZ156" s="11">
        <v>0</v>
      </c>
      <c r="BA156" s="3">
        <f t="shared" si="24"/>
        <v>91333</v>
      </c>
    </row>
    <row r="157" spans="1:53" x14ac:dyDescent="0.25">
      <c r="A157" s="1" t="s">
        <v>155</v>
      </c>
      <c r="B157" s="9" t="s">
        <v>1352</v>
      </c>
      <c r="C157" s="9" t="s">
        <v>1026</v>
      </c>
      <c r="D157" s="9" t="s">
        <v>1353</v>
      </c>
      <c r="E157" s="9" t="s">
        <v>1012</v>
      </c>
      <c r="F157" s="10">
        <v>45103</v>
      </c>
      <c r="G157" s="9" t="s">
        <v>1019</v>
      </c>
      <c r="I157" s="9" t="s">
        <v>1014</v>
      </c>
      <c r="J157" s="9" t="s">
        <v>1015</v>
      </c>
      <c r="K157" s="8" t="s">
        <v>1006</v>
      </c>
      <c r="L157" s="8" t="s">
        <v>1007</v>
      </c>
      <c r="M157" s="8" t="s">
        <v>2933</v>
      </c>
      <c r="N157" s="8" t="s">
        <v>2937</v>
      </c>
      <c r="O157" s="1" t="s">
        <v>2934</v>
      </c>
      <c r="P157">
        <v>30</v>
      </c>
      <c r="Q157">
        <v>30</v>
      </c>
      <c r="R157">
        <v>0</v>
      </c>
      <c r="S157">
        <f t="shared" si="26"/>
        <v>30</v>
      </c>
      <c r="T157" s="1" t="s">
        <v>2935</v>
      </c>
      <c r="U157" s="1" t="s">
        <v>2932</v>
      </c>
      <c r="V157" s="3">
        <f t="shared" si="27"/>
        <v>40000</v>
      </c>
      <c r="W157" s="3">
        <f t="shared" si="28"/>
        <v>16000</v>
      </c>
      <c r="X157" s="3">
        <f t="shared" si="20"/>
        <v>1250</v>
      </c>
      <c r="Y157" s="3">
        <f t="shared" si="21"/>
        <v>1600</v>
      </c>
      <c r="Z157" s="3">
        <f t="shared" si="22"/>
        <v>1800</v>
      </c>
      <c r="AA157" s="3">
        <v>0</v>
      </c>
      <c r="AB157" s="3">
        <f>ROUND(U157 - (V157+W157+X157+Y157) - (U157/Q157 * 2),0)</f>
        <v>34483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f>SUM(V157+W157+X157+Y157+AB157)</f>
        <v>93333</v>
      </c>
      <c r="AK157" s="3">
        <f>SUM(AJ157-AA157)</f>
        <v>93333</v>
      </c>
      <c r="AL157" s="3">
        <f>IF(V157&lt;=15000,V157*12%,1800)</f>
        <v>1800</v>
      </c>
      <c r="AM157" s="3">
        <v>0</v>
      </c>
      <c r="AN157" s="3">
        <f t="shared" si="23"/>
        <v>1800</v>
      </c>
      <c r="AO157" s="12">
        <v>200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3">
        <f t="shared" si="25"/>
        <v>200</v>
      </c>
      <c r="AV157" s="3">
        <f>SUM(AJ157 - AN157 - AU157)</f>
        <v>91333</v>
      </c>
      <c r="AW157" s="11">
        <v>0</v>
      </c>
      <c r="AX157" s="11">
        <v>0</v>
      </c>
      <c r="AY157" s="11">
        <v>0</v>
      </c>
      <c r="AZ157" s="11">
        <v>0</v>
      </c>
      <c r="BA157" s="3">
        <f t="shared" si="24"/>
        <v>91333</v>
      </c>
    </row>
    <row r="158" spans="1:53" x14ac:dyDescent="0.25">
      <c r="A158" s="1" t="s">
        <v>156</v>
      </c>
      <c r="B158" s="9" t="s">
        <v>1348</v>
      </c>
      <c r="C158" s="9" t="s">
        <v>1349</v>
      </c>
      <c r="D158" s="9" t="s">
        <v>1350</v>
      </c>
      <c r="E158" s="9" t="s">
        <v>1008</v>
      </c>
      <c r="F158" s="10">
        <v>45112</v>
      </c>
      <c r="G158" s="9" t="s">
        <v>1013</v>
      </c>
      <c r="I158" s="9" t="s">
        <v>1020</v>
      </c>
      <c r="J158" s="9" t="s">
        <v>1351</v>
      </c>
      <c r="K158" s="8" t="s">
        <v>1006</v>
      </c>
      <c r="L158" s="8" t="s">
        <v>1007</v>
      </c>
      <c r="M158" s="8" t="s">
        <v>2933</v>
      </c>
      <c r="N158" s="8" t="s">
        <v>2937</v>
      </c>
      <c r="O158" s="1" t="s">
        <v>2934</v>
      </c>
      <c r="P158">
        <v>30</v>
      </c>
      <c r="Q158">
        <v>30</v>
      </c>
      <c r="R158">
        <v>0</v>
      </c>
      <c r="S158">
        <f t="shared" si="26"/>
        <v>30</v>
      </c>
      <c r="T158" s="1" t="s">
        <v>2935</v>
      </c>
      <c r="U158" s="1" t="s">
        <v>2932</v>
      </c>
      <c r="V158" s="3">
        <f t="shared" si="27"/>
        <v>40000</v>
      </c>
      <c r="W158" s="3">
        <f t="shared" si="28"/>
        <v>16000</v>
      </c>
      <c r="X158" s="3">
        <f t="shared" si="20"/>
        <v>1250</v>
      </c>
      <c r="Y158" s="3">
        <f t="shared" si="21"/>
        <v>1600</v>
      </c>
      <c r="Z158" s="3">
        <f t="shared" si="22"/>
        <v>1800</v>
      </c>
      <c r="AA158" s="3">
        <v>0</v>
      </c>
      <c r="AB158" s="3">
        <f>ROUND(U158 - (V158+W158+X158+Y158) - (U158/Q158 * 2),0)</f>
        <v>34483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f>SUM(V158+W158+X158+Y158+AB158)</f>
        <v>93333</v>
      </c>
      <c r="AK158" s="3">
        <f>SUM(AJ158-AA158)</f>
        <v>93333</v>
      </c>
      <c r="AL158" s="3">
        <f>IF(V158&lt;=15000,V158*12%,1800)</f>
        <v>1800</v>
      </c>
      <c r="AM158" s="3">
        <v>0</v>
      </c>
      <c r="AN158" s="3">
        <f t="shared" si="23"/>
        <v>1800</v>
      </c>
      <c r="AO158" s="12">
        <v>200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3">
        <f t="shared" si="25"/>
        <v>200</v>
      </c>
      <c r="AV158" s="3">
        <f>SUM(AJ158 - AN158 - AU158)</f>
        <v>91333</v>
      </c>
      <c r="AW158" s="11">
        <v>0</v>
      </c>
      <c r="AX158" s="11">
        <v>0</v>
      </c>
      <c r="AY158" s="11">
        <v>0</v>
      </c>
      <c r="AZ158" s="11">
        <v>0</v>
      </c>
      <c r="BA158" s="3">
        <f t="shared" si="24"/>
        <v>91333</v>
      </c>
    </row>
    <row r="159" spans="1:53" x14ac:dyDescent="0.25">
      <c r="A159" s="1" t="s">
        <v>157</v>
      </c>
      <c r="B159" s="9" t="s">
        <v>1409</v>
      </c>
      <c r="C159" s="9" t="s">
        <v>1063</v>
      </c>
      <c r="D159" s="9" t="s">
        <v>1410</v>
      </c>
      <c r="E159" s="9" t="s">
        <v>1012</v>
      </c>
      <c r="F159" s="10">
        <v>45110</v>
      </c>
      <c r="G159" s="9" t="s">
        <v>1013</v>
      </c>
      <c r="I159" s="9" t="s">
        <v>1020</v>
      </c>
      <c r="J159" s="9" t="s">
        <v>1015</v>
      </c>
      <c r="K159" s="8" t="s">
        <v>1006</v>
      </c>
      <c r="L159" s="8" t="s">
        <v>1007</v>
      </c>
      <c r="M159" s="8" t="s">
        <v>2933</v>
      </c>
      <c r="N159" s="8" t="s">
        <v>2937</v>
      </c>
      <c r="O159" s="1" t="s">
        <v>2934</v>
      </c>
      <c r="P159">
        <v>30</v>
      </c>
      <c r="Q159">
        <v>30</v>
      </c>
      <c r="R159">
        <v>0</v>
      </c>
      <c r="S159">
        <f t="shared" si="26"/>
        <v>30</v>
      </c>
      <c r="T159" s="1" t="s">
        <v>2935</v>
      </c>
      <c r="U159" s="1" t="s">
        <v>2932</v>
      </c>
      <c r="V159" s="3">
        <f t="shared" si="27"/>
        <v>40000</v>
      </c>
      <c r="W159" s="3">
        <f t="shared" si="28"/>
        <v>16000</v>
      </c>
      <c r="X159" s="3">
        <f t="shared" si="20"/>
        <v>1250</v>
      </c>
      <c r="Y159" s="3">
        <f t="shared" si="21"/>
        <v>1600</v>
      </c>
      <c r="Z159" s="3">
        <f t="shared" si="22"/>
        <v>1800</v>
      </c>
      <c r="AA159" s="3">
        <v>0</v>
      </c>
      <c r="AB159" s="3">
        <f>ROUND(U159 - (V159+W159+X159+Y159) - (U159/Q159 * 2),0)</f>
        <v>34483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f>SUM(V159+W159+X159+Y159+AB159)</f>
        <v>93333</v>
      </c>
      <c r="AK159" s="3">
        <f>SUM(AJ159-AA159)</f>
        <v>93333</v>
      </c>
      <c r="AL159" s="3">
        <f>IF(V159&lt;=15000,V159*12%,1800)</f>
        <v>1800</v>
      </c>
      <c r="AM159" s="3">
        <v>0</v>
      </c>
      <c r="AN159" s="3">
        <f t="shared" si="23"/>
        <v>1800</v>
      </c>
      <c r="AO159" s="12">
        <v>200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3">
        <f t="shared" si="25"/>
        <v>200</v>
      </c>
      <c r="AV159" s="3">
        <f>SUM(AJ159 - AN159 - AU159)</f>
        <v>91333</v>
      </c>
      <c r="AW159" s="11">
        <v>0</v>
      </c>
      <c r="AX159" s="11">
        <v>0</v>
      </c>
      <c r="AY159" s="11">
        <v>0</v>
      </c>
      <c r="AZ159" s="11">
        <v>0</v>
      </c>
      <c r="BA159" s="3">
        <f t="shared" si="24"/>
        <v>91333</v>
      </c>
    </row>
    <row r="160" spans="1:53" x14ac:dyDescent="0.25">
      <c r="A160" s="1" t="s">
        <v>158</v>
      </c>
      <c r="B160" s="9" t="s">
        <v>1407</v>
      </c>
      <c r="C160" s="9" t="s">
        <v>1284</v>
      </c>
      <c r="D160" s="9" t="s">
        <v>1408</v>
      </c>
      <c r="E160" s="9" t="s">
        <v>1012</v>
      </c>
      <c r="F160" s="10">
        <v>45110</v>
      </c>
      <c r="G160" s="9" t="s">
        <v>1013</v>
      </c>
      <c r="I160" s="9" t="s">
        <v>1020</v>
      </c>
      <c r="J160" s="9" t="s">
        <v>1021</v>
      </c>
      <c r="K160" s="8" t="s">
        <v>1006</v>
      </c>
      <c r="L160" s="8" t="s">
        <v>1007</v>
      </c>
      <c r="M160" s="8" t="s">
        <v>2933</v>
      </c>
      <c r="N160" s="8" t="s">
        <v>2937</v>
      </c>
      <c r="O160" s="1" t="s">
        <v>2934</v>
      </c>
      <c r="P160">
        <v>30</v>
      </c>
      <c r="Q160">
        <v>30</v>
      </c>
      <c r="R160">
        <v>0</v>
      </c>
      <c r="S160">
        <f t="shared" si="26"/>
        <v>30</v>
      </c>
      <c r="T160" s="1" t="s">
        <v>2935</v>
      </c>
      <c r="U160" s="1" t="s">
        <v>2932</v>
      </c>
      <c r="V160" s="3">
        <f t="shared" si="27"/>
        <v>40000</v>
      </c>
      <c r="W160" s="3">
        <f t="shared" si="28"/>
        <v>16000</v>
      </c>
      <c r="X160" s="3">
        <f t="shared" si="20"/>
        <v>1250</v>
      </c>
      <c r="Y160" s="3">
        <f t="shared" si="21"/>
        <v>1600</v>
      </c>
      <c r="Z160" s="3">
        <f t="shared" si="22"/>
        <v>1800</v>
      </c>
      <c r="AA160" s="3">
        <v>0</v>
      </c>
      <c r="AB160" s="3">
        <f>ROUND(U160 - (V160+W160+X160+Y160) - (U160/Q160 * 2),0)</f>
        <v>34483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f>SUM(V160+W160+X160+Y160+AB160)</f>
        <v>93333</v>
      </c>
      <c r="AK160" s="3">
        <f>SUM(AJ160-AA160)</f>
        <v>93333</v>
      </c>
      <c r="AL160" s="3">
        <f>IF(V160&lt;=15000,V160*12%,1800)</f>
        <v>1800</v>
      </c>
      <c r="AM160" s="3">
        <v>0</v>
      </c>
      <c r="AN160" s="3">
        <f t="shared" si="23"/>
        <v>1800</v>
      </c>
      <c r="AO160" s="12">
        <v>200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3">
        <f t="shared" si="25"/>
        <v>200</v>
      </c>
      <c r="AV160" s="3">
        <f>SUM(AJ160 - AN160 - AU160)</f>
        <v>91333</v>
      </c>
      <c r="AW160" s="11">
        <v>0</v>
      </c>
      <c r="AX160" s="11">
        <v>0</v>
      </c>
      <c r="AY160" s="11">
        <v>0</v>
      </c>
      <c r="AZ160" s="11">
        <v>0</v>
      </c>
      <c r="BA160" s="3">
        <f t="shared" si="24"/>
        <v>91333</v>
      </c>
    </row>
    <row r="161" spans="1:53" x14ac:dyDescent="0.25">
      <c r="A161" s="1" t="s">
        <v>159</v>
      </c>
      <c r="B161" s="9" t="s">
        <v>1405</v>
      </c>
      <c r="C161" s="9" t="s">
        <v>1010</v>
      </c>
      <c r="D161" s="9" t="s">
        <v>1406</v>
      </c>
      <c r="E161" s="9" t="s">
        <v>1012</v>
      </c>
      <c r="F161" s="10">
        <v>45110</v>
      </c>
      <c r="G161" s="9" t="s">
        <v>1019</v>
      </c>
      <c r="I161" s="9" t="s">
        <v>1020</v>
      </c>
      <c r="J161" s="9" t="s">
        <v>1015</v>
      </c>
      <c r="K161" s="8" t="s">
        <v>1006</v>
      </c>
      <c r="L161" s="8" t="s">
        <v>1007</v>
      </c>
      <c r="M161" s="8" t="s">
        <v>2933</v>
      </c>
      <c r="N161" s="8" t="s">
        <v>2937</v>
      </c>
      <c r="O161" s="1" t="s">
        <v>2934</v>
      </c>
      <c r="P161">
        <v>30</v>
      </c>
      <c r="Q161">
        <v>30</v>
      </c>
      <c r="R161">
        <v>0</v>
      </c>
      <c r="S161">
        <f t="shared" si="26"/>
        <v>30</v>
      </c>
      <c r="T161" s="1" t="s">
        <v>2935</v>
      </c>
      <c r="U161" s="1" t="s">
        <v>2932</v>
      </c>
      <c r="V161" s="3">
        <f t="shared" si="27"/>
        <v>40000</v>
      </c>
      <c r="W161" s="3">
        <f t="shared" si="28"/>
        <v>16000</v>
      </c>
      <c r="X161" s="3">
        <f t="shared" si="20"/>
        <v>1250</v>
      </c>
      <c r="Y161" s="3">
        <f t="shared" si="21"/>
        <v>1600</v>
      </c>
      <c r="Z161" s="3">
        <f t="shared" si="22"/>
        <v>1800</v>
      </c>
      <c r="AA161" s="3">
        <v>0</v>
      </c>
      <c r="AB161" s="3">
        <f>ROUND(U161 - (V161+W161+X161+Y161) - (U161/Q161 * 2),0)</f>
        <v>34483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f>SUM(V161+W161+X161+Y161+AB161)</f>
        <v>93333</v>
      </c>
      <c r="AK161" s="3">
        <f>SUM(AJ161-AA161)</f>
        <v>93333</v>
      </c>
      <c r="AL161" s="3">
        <f>IF(V161&lt;=15000,V161*12%,1800)</f>
        <v>1800</v>
      </c>
      <c r="AM161" s="3">
        <v>0</v>
      </c>
      <c r="AN161" s="3">
        <f t="shared" si="23"/>
        <v>1800</v>
      </c>
      <c r="AO161" s="12">
        <v>200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3">
        <f t="shared" si="25"/>
        <v>200</v>
      </c>
      <c r="AV161" s="3">
        <f>SUM(AJ161 - AN161 - AU161)</f>
        <v>91333</v>
      </c>
      <c r="AW161" s="11">
        <v>0</v>
      </c>
      <c r="AX161" s="11">
        <v>0</v>
      </c>
      <c r="AY161" s="11">
        <v>0</v>
      </c>
      <c r="AZ161" s="11">
        <v>0</v>
      </c>
      <c r="BA161" s="3">
        <f t="shared" si="24"/>
        <v>91333</v>
      </c>
    </row>
    <row r="162" spans="1:53" x14ac:dyDescent="0.25">
      <c r="A162" s="1" t="s">
        <v>160</v>
      </c>
      <c r="B162" s="9" t="s">
        <v>1403</v>
      </c>
      <c r="C162" s="9" t="s">
        <v>1010</v>
      </c>
      <c r="D162" s="9" t="s">
        <v>1404</v>
      </c>
      <c r="E162" s="9" t="s">
        <v>1008</v>
      </c>
      <c r="F162" s="10">
        <v>45112</v>
      </c>
      <c r="G162" s="9" t="s">
        <v>1019</v>
      </c>
      <c r="I162" s="9" t="s">
        <v>1014</v>
      </c>
      <c r="J162" s="9" t="s">
        <v>1015</v>
      </c>
      <c r="K162" s="8" t="s">
        <v>1006</v>
      </c>
      <c r="L162" s="8" t="s">
        <v>1007</v>
      </c>
      <c r="M162" s="8" t="s">
        <v>2933</v>
      </c>
      <c r="N162" s="8" t="s">
        <v>2937</v>
      </c>
      <c r="O162" s="1" t="s">
        <v>2934</v>
      </c>
      <c r="P162">
        <v>30</v>
      </c>
      <c r="Q162">
        <v>30</v>
      </c>
      <c r="R162">
        <v>0</v>
      </c>
      <c r="S162">
        <f t="shared" si="26"/>
        <v>30</v>
      </c>
      <c r="T162" s="1" t="s">
        <v>2935</v>
      </c>
      <c r="U162" s="1" t="s">
        <v>2932</v>
      </c>
      <c r="V162" s="3">
        <f t="shared" si="27"/>
        <v>40000</v>
      </c>
      <c r="W162" s="3">
        <f t="shared" si="28"/>
        <v>16000</v>
      </c>
      <c r="X162" s="3">
        <f t="shared" si="20"/>
        <v>1250</v>
      </c>
      <c r="Y162" s="3">
        <f t="shared" si="21"/>
        <v>1600</v>
      </c>
      <c r="Z162" s="3">
        <f t="shared" si="22"/>
        <v>1800</v>
      </c>
      <c r="AA162" s="3">
        <v>0</v>
      </c>
      <c r="AB162" s="3">
        <f>ROUND(U162 - (V162+W162+X162+Y162) - (U162/Q162 * 2),0)</f>
        <v>34483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f>SUM(V162+W162+X162+Y162+AB162)</f>
        <v>93333</v>
      </c>
      <c r="AK162" s="3">
        <f>SUM(AJ162-AA162)</f>
        <v>93333</v>
      </c>
      <c r="AL162" s="3">
        <f>IF(V162&lt;=15000,V162*12%,1800)</f>
        <v>1800</v>
      </c>
      <c r="AM162" s="3">
        <v>0</v>
      </c>
      <c r="AN162" s="3">
        <f t="shared" si="23"/>
        <v>1800</v>
      </c>
      <c r="AO162" s="12">
        <v>200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3">
        <f t="shared" si="25"/>
        <v>200</v>
      </c>
      <c r="AV162" s="3">
        <f>SUM(AJ162 - AN162 - AU162)</f>
        <v>91333</v>
      </c>
      <c r="AW162" s="11">
        <v>0</v>
      </c>
      <c r="AX162" s="11">
        <v>0</v>
      </c>
      <c r="AY162" s="11">
        <v>0</v>
      </c>
      <c r="AZ162" s="11">
        <v>0</v>
      </c>
      <c r="BA162" s="3">
        <f t="shared" si="24"/>
        <v>91333</v>
      </c>
    </row>
    <row r="163" spans="1:53" x14ac:dyDescent="0.25">
      <c r="A163" s="1" t="s">
        <v>161</v>
      </c>
      <c r="B163" s="9" t="s">
        <v>1401</v>
      </c>
      <c r="C163" s="9" t="s">
        <v>1026</v>
      </c>
      <c r="D163" s="9" t="s">
        <v>1402</v>
      </c>
      <c r="E163" s="9" t="s">
        <v>1008</v>
      </c>
      <c r="F163" s="10">
        <v>45112</v>
      </c>
      <c r="G163" s="9" t="s">
        <v>1019</v>
      </c>
      <c r="I163" s="9" t="s">
        <v>1014</v>
      </c>
      <c r="J163" s="9" t="s">
        <v>1015</v>
      </c>
      <c r="K163" s="8" t="s">
        <v>1006</v>
      </c>
      <c r="L163" s="8" t="s">
        <v>1007</v>
      </c>
      <c r="M163" s="8" t="s">
        <v>2933</v>
      </c>
      <c r="N163" s="8" t="s">
        <v>2937</v>
      </c>
      <c r="O163" s="1" t="s">
        <v>2934</v>
      </c>
      <c r="P163">
        <v>30</v>
      </c>
      <c r="Q163">
        <v>30</v>
      </c>
      <c r="R163">
        <v>0</v>
      </c>
      <c r="S163">
        <f t="shared" si="26"/>
        <v>30</v>
      </c>
      <c r="T163" s="1" t="s">
        <v>2935</v>
      </c>
      <c r="U163" s="1" t="s">
        <v>2932</v>
      </c>
      <c r="V163" s="3">
        <f t="shared" si="27"/>
        <v>40000</v>
      </c>
      <c r="W163" s="3">
        <f t="shared" si="28"/>
        <v>16000</v>
      </c>
      <c r="X163" s="3">
        <f t="shared" si="20"/>
        <v>1250</v>
      </c>
      <c r="Y163" s="3">
        <f t="shared" si="21"/>
        <v>1600</v>
      </c>
      <c r="Z163" s="3">
        <f t="shared" si="22"/>
        <v>1800</v>
      </c>
      <c r="AA163" s="3">
        <v>0</v>
      </c>
      <c r="AB163" s="3">
        <f>ROUND(U163 - (V163+W163+X163+Y163) - (U163/Q163 * 2),0)</f>
        <v>34483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f>SUM(V163+W163+X163+Y163+AB163)</f>
        <v>93333</v>
      </c>
      <c r="AK163" s="3">
        <f>SUM(AJ163-AA163)</f>
        <v>93333</v>
      </c>
      <c r="AL163" s="3">
        <f>IF(V163&lt;=15000,V163*12%,1800)</f>
        <v>1800</v>
      </c>
      <c r="AM163" s="3">
        <v>0</v>
      </c>
      <c r="AN163" s="3">
        <f t="shared" si="23"/>
        <v>1800</v>
      </c>
      <c r="AO163" s="12">
        <v>200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3">
        <f t="shared" si="25"/>
        <v>200</v>
      </c>
      <c r="AV163" s="3">
        <f>SUM(AJ163 - AN163 - AU163)</f>
        <v>91333</v>
      </c>
      <c r="AW163" s="11">
        <v>0</v>
      </c>
      <c r="AX163" s="11">
        <v>0</v>
      </c>
      <c r="AY163" s="11">
        <v>0</v>
      </c>
      <c r="AZ163" s="11">
        <v>0</v>
      </c>
      <c r="BA163" s="3">
        <f t="shared" si="24"/>
        <v>91333</v>
      </c>
    </row>
    <row r="164" spans="1:53" x14ac:dyDescent="0.25">
      <c r="A164" s="1" t="s">
        <v>162</v>
      </c>
      <c r="B164" s="9" t="s">
        <v>1399</v>
      </c>
      <c r="C164" s="9" t="s">
        <v>1010</v>
      </c>
      <c r="D164" s="9" t="s">
        <v>1400</v>
      </c>
      <c r="E164" s="9" t="s">
        <v>1012</v>
      </c>
      <c r="F164" s="10">
        <v>45117</v>
      </c>
      <c r="G164" s="9" t="s">
        <v>1013</v>
      </c>
      <c r="I164" s="9" t="s">
        <v>1014</v>
      </c>
      <c r="J164" s="9" t="s">
        <v>1015</v>
      </c>
      <c r="K164" s="8" t="s">
        <v>1006</v>
      </c>
      <c r="L164" s="8" t="s">
        <v>1007</v>
      </c>
      <c r="M164" s="8" t="s">
        <v>2933</v>
      </c>
      <c r="N164" s="8" t="s">
        <v>2937</v>
      </c>
      <c r="O164" s="1" t="s">
        <v>2934</v>
      </c>
      <c r="P164">
        <v>30</v>
      </c>
      <c r="Q164">
        <v>30</v>
      </c>
      <c r="R164">
        <v>0</v>
      </c>
      <c r="S164">
        <f t="shared" si="26"/>
        <v>30</v>
      </c>
      <c r="T164" s="1" t="s">
        <v>2935</v>
      </c>
      <c r="U164" s="1" t="s">
        <v>2932</v>
      </c>
      <c r="V164" s="3">
        <f t="shared" si="27"/>
        <v>40000</v>
      </c>
      <c r="W164" s="3">
        <f t="shared" si="28"/>
        <v>16000</v>
      </c>
      <c r="X164" s="3">
        <f t="shared" si="20"/>
        <v>1250</v>
      </c>
      <c r="Y164" s="3">
        <f t="shared" si="21"/>
        <v>1600</v>
      </c>
      <c r="Z164" s="3">
        <f t="shared" si="22"/>
        <v>1800</v>
      </c>
      <c r="AA164" s="3">
        <v>0</v>
      </c>
      <c r="AB164" s="3">
        <f>ROUND(U164 - (V164+W164+X164+Y164) - (U164/Q164 * 2),0)</f>
        <v>34483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f>SUM(V164+W164+X164+Y164+AB164)</f>
        <v>93333</v>
      </c>
      <c r="AK164" s="3">
        <f>SUM(AJ164-AA164)</f>
        <v>93333</v>
      </c>
      <c r="AL164" s="3">
        <f>IF(V164&lt;=15000,V164*12%,1800)</f>
        <v>1800</v>
      </c>
      <c r="AM164" s="3">
        <v>0</v>
      </c>
      <c r="AN164" s="3">
        <f t="shared" si="23"/>
        <v>1800</v>
      </c>
      <c r="AO164" s="12">
        <v>200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3">
        <f t="shared" si="25"/>
        <v>200</v>
      </c>
      <c r="AV164" s="3">
        <f>SUM(AJ164 - AN164 - AU164)</f>
        <v>91333</v>
      </c>
      <c r="AW164" s="11">
        <v>0</v>
      </c>
      <c r="AX164" s="11">
        <v>0</v>
      </c>
      <c r="AY164" s="11">
        <v>0</v>
      </c>
      <c r="AZ164" s="11">
        <v>0</v>
      </c>
      <c r="BA164" s="3">
        <f t="shared" si="24"/>
        <v>91333</v>
      </c>
    </row>
    <row r="165" spans="1:53" x14ac:dyDescent="0.25">
      <c r="A165" s="1" t="s">
        <v>163</v>
      </c>
      <c r="B165" s="9" t="s">
        <v>1397</v>
      </c>
      <c r="C165" s="9" t="s">
        <v>1242</v>
      </c>
      <c r="D165" s="9" t="s">
        <v>1398</v>
      </c>
      <c r="E165" s="9" t="s">
        <v>1012</v>
      </c>
      <c r="F165" s="10">
        <v>44237</v>
      </c>
      <c r="G165" s="9" t="s">
        <v>1019</v>
      </c>
      <c r="I165" s="9" t="s">
        <v>1014</v>
      </c>
      <c r="J165" s="9" t="s">
        <v>1015</v>
      </c>
      <c r="K165" s="8" t="s">
        <v>1006</v>
      </c>
      <c r="L165" s="8" t="s">
        <v>1007</v>
      </c>
      <c r="M165" s="8" t="s">
        <v>2933</v>
      </c>
      <c r="N165" s="8" t="s">
        <v>2937</v>
      </c>
      <c r="O165" s="1" t="s">
        <v>2934</v>
      </c>
      <c r="P165">
        <v>30</v>
      </c>
      <c r="Q165">
        <v>30</v>
      </c>
      <c r="R165">
        <v>0</v>
      </c>
      <c r="S165">
        <f t="shared" si="26"/>
        <v>30</v>
      </c>
      <c r="T165" s="1" t="s">
        <v>2935</v>
      </c>
      <c r="U165" s="1" t="s">
        <v>2932</v>
      </c>
      <c r="V165" s="3">
        <f t="shared" si="27"/>
        <v>40000</v>
      </c>
      <c r="W165" s="3">
        <f t="shared" si="28"/>
        <v>16000</v>
      </c>
      <c r="X165" s="3">
        <f t="shared" si="20"/>
        <v>1250</v>
      </c>
      <c r="Y165" s="3">
        <f t="shared" si="21"/>
        <v>1600</v>
      </c>
      <c r="Z165" s="3">
        <f t="shared" si="22"/>
        <v>1800</v>
      </c>
      <c r="AA165" s="3">
        <v>0</v>
      </c>
      <c r="AB165" s="3">
        <f>ROUND(U165 - (V165+W165+X165+Y165) - (U165/Q165 * 2),0)</f>
        <v>34483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f>SUM(V165+W165+X165+Y165+AB165)</f>
        <v>93333</v>
      </c>
      <c r="AK165" s="3">
        <f>SUM(AJ165-AA165)</f>
        <v>93333</v>
      </c>
      <c r="AL165" s="3">
        <f>IF(V165&lt;=15000,V165*12%,1800)</f>
        <v>1800</v>
      </c>
      <c r="AM165" s="3">
        <v>0</v>
      </c>
      <c r="AN165" s="3">
        <f t="shared" si="23"/>
        <v>1800</v>
      </c>
      <c r="AO165" s="12">
        <v>200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3">
        <f t="shared" si="25"/>
        <v>200</v>
      </c>
      <c r="AV165" s="3">
        <f>SUM(AJ165 - AN165 - AU165)</f>
        <v>91333</v>
      </c>
      <c r="AW165" s="11">
        <v>0</v>
      </c>
      <c r="AX165" s="11">
        <v>0</v>
      </c>
      <c r="AY165" s="11">
        <v>0</v>
      </c>
      <c r="AZ165" s="11">
        <v>0</v>
      </c>
      <c r="BA165" s="3">
        <f t="shared" si="24"/>
        <v>91333</v>
      </c>
    </row>
    <row r="166" spans="1:53" x14ac:dyDescent="0.25">
      <c r="A166" s="1" t="s">
        <v>164</v>
      </c>
      <c r="B166" s="9" t="s">
        <v>1395</v>
      </c>
      <c r="C166" s="9" t="s">
        <v>1242</v>
      </c>
      <c r="D166" s="9" t="s">
        <v>1396</v>
      </c>
      <c r="E166" s="9" t="s">
        <v>1012</v>
      </c>
      <c r="F166" s="10">
        <v>44237</v>
      </c>
      <c r="G166" s="9" t="s">
        <v>1019</v>
      </c>
      <c r="I166" s="9" t="s">
        <v>1014</v>
      </c>
      <c r="J166" s="9" t="s">
        <v>1015</v>
      </c>
      <c r="K166" s="8" t="s">
        <v>1006</v>
      </c>
      <c r="L166" s="8" t="s">
        <v>1007</v>
      </c>
      <c r="M166" s="8" t="s">
        <v>2933</v>
      </c>
      <c r="N166" s="8" t="s">
        <v>2937</v>
      </c>
      <c r="O166" s="1" t="s">
        <v>2934</v>
      </c>
      <c r="P166">
        <v>30</v>
      </c>
      <c r="Q166">
        <v>30</v>
      </c>
      <c r="R166">
        <v>0</v>
      </c>
      <c r="S166">
        <f t="shared" si="26"/>
        <v>30</v>
      </c>
      <c r="T166" s="1" t="s">
        <v>2935</v>
      </c>
      <c r="U166" s="1" t="s">
        <v>2932</v>
      </c>
      <c r="V166" s="3">
        <f t="shared" si="27"/>
        <v>40000</v>
      </c>
      <c r="W166" s="3">
        <f t="shared" si="28"/>
        <v>16000</v>
      </c>
      <c r="X166" s="3">
        <f t="shared" si="20"/>
        <v>1250</v>
      </c>
      <c r="Y166" s="3">
        <f t="shared" si="21"/>
        <v>1600</v>
      </c>
      <c r="Z166" s="3">
        <f t="shared" si="22"/>
        <v>1800</v>
      </c>
      <c r="AA166" s="3">
        <v>0</v>
      </c>
      <c r="AB166" s="3">
        <f>ROUND(U166 - (V166+W166+X166+Y166) - (U166/Q166 * 2),0)</f>
        <v>34483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f>SUM(V166+W166+X166+Y166+AB166)</f>
        <v>93333</v>
      </c>
      <c r="AK166" s="3">
        <f>SUM(AJ166-AA166)</f>
        <v>93333</v>
      </c>
      <c r="AL166" s="3">
        <f>IF(V166&lt;=15000,V166*12%,1800)</f>
        <v>1800</v>
      </c>
      <c r="AM166" s="3">
        <v>0</v>
      </c>
      <c r="AN166" s="3">
        <f t="shared" si="23"/>
        <v>1800</v>
      </c>
      <c r="AO166" s="12">
        <v>200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3">
        <f t="shared" si="25"/>
        <v>200</v>
      </c>
      <c r="AV166" s="3">
        <f>SUM(AJ166 - AN166 - AU166)</f>
        <v>91333</v>
      </c>
      <c r="AW166" s="11">
        <v>0</v>
      </c>
      <c r="AX166" s="11">
        <v>0</v>
      </c>
      <c r="AY166" s="11">
        <v>0</v>
      </c>
      <c r="AZ166" s="11">
        <v>0</v>
      </c>
      <c r="BA166" s="3">
        <f t="shared" si="24"/>
        <v>91333</v>
      </c>
    </row>
    <row r="167" spans="1:53" x14ac:dyDescent="0.25">
      <c r="A167" s="1" t="s">
        <v>165</v>
      </c>
      <c r="B167" s="9" t="s">
        <v>1199</v>
      </c>
      <c r="C167" s="9" t="s">
        <v>1242</v>
      </c>
      <c r="D167" s="9" t="s">
        <v>1394</v>
      </c>
      <c r="E167" s="9" t="s">
        <v>1012</v>
      </c>
      <c r="F167" s="10">
        <v>44237</v>
      </c>
      <c r="G167" s="9" t="s">
        <v>1019</v>
      </c>
      <c r="I167" s="9" t="s">
        <v>1014</v>
      </c>
      <c r="J167" s="9" t="s">
        <v>1015</v>
      </c>
      <c r="K167" s="8" t="s">
        <v>1006</v>
      </c>
      <c r="L167" s="8" t="s">
        <v>1007</v>
      </c>
      <c r="M167" s="8" t="s">
        <v>2933</v>
      </c>
      <c r="N167" s="8" t="s">
        <v>2937</v>
      </c>
      <c r="O167" s="1" t="s">
        <v>2934</v>
      </c>
      <c r="P167">
        <v>30</v>
      </c>
      <c r="Q167">
        <v>30</v>
      </c>
      <c r="R167">
        <v>0</v>
      </c>
      <c r="S167">
        <f t="shared" si="26"/>
        <v>30</v>
      </c>
      <c r="T167" s="1" t="s">
        <v>2935</v>
      </c>
      <c r="U167" s="1" t="s">
        <v>2932</v>
      </c>
      <c r="V167" s="3">
        <f t="shared" si="27"/>
        <v>40000</v>
      </c>
      <c r="W167" s="3">
        <f t="shared" si="28"/>
        <v>16000</v>
      </c>
      <c r="X167" s="3">
        <f t="shared" si="20"/>
        <v>1250</v>
      </c>
      <c r="Y167" s="3">
        <f t="shared" si="21"/>
        <v>1600</v>
      </c>
      <c r="Z167" s="3">
        <f t="shared" si="22"/>
        <v>1800</v>
      </c>
      <c r="AA167" s="3">
        <v>0</v>
      </c>
      <c r="AB167" s="3">
        <f>ROUND(U167 - (V167+W167+X167+Y167) - (U167/Q167 * 2),0)</f>
        <v>34483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f>SUM(V167+W167+X167+Y167+AB167)</f>
        <v>93333</v>
      </c>
      <c r="AK167" s="3">
        <f>SUM(AJ167-AA167)</f>
        <v>93333</v>
      </c>
      <c r="AL167" s="3">
        <f>IF(V167&lt;=15000,V167*12%,1800)</f>
        <v>1800</v>
      </c>
      <c r="AM167" s="3">
        <v>0</v>
      </c>
      <c r="AN167" s="3">
        <f t="shared" si="23"/>
        <v>1800</v>
      </c>
      <c r="AO167" s="12">
        <v>200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3">
        <f t="shared" si="25"/>
        <v>200</v>
      </c>
      <c r="AV167" s="3">
        <f>SUM(AJ167 - AN167 - AU167)</f>
        <v>91333</v>
      </c>
      <c r="AW167" s="11">
        <v>0</v>
      </c>
      <c r="AX167" s="11">
        <v>0</v>
      </c>
      <c r="AY167" s="11">
        <v>0</v>
      </c>
      <c r="AZ167" s="11">
        <v>0</v>
      </c>
      <c r="BA167" s="3">
        <f t="shared" si="24"/>
        <v>91333</v>
      </c>
    </row>
    <row r="168" spans="1:53" x14ac:dyDescent="0.25">
      <c r="A168" s="1" t="s">
        <v>166</v>
      </c>
      <c r="B168" s="9" t="s">
        <v>1392</v>
      </c>
      <c r="C168" s="9" t="s">
        <v>1010</v>
      </c>
      <c r="D168" s="9" t="s">
        <v>1393</v>
      </c>
      <c r="E168" s="9" t="s">
        <v>1012</v>
      </c>
      <c r="F168" s="10">
        <v>44242</v>
      </c>
      <c r="G168" s="9" t="s">
        <v>1013</v>
      </c>
      <c r="I168" s="9" t="s">
        <v>1014</v>
      </c>
      <c r="J168" s="9" t="s">
        <v>1015</v>
      </c>
      <c r="K168" s="8" t="s">
        <v>1006</v>
      </c>
      <c r="L168" s="8" t="s">
        <v>1007</v>
      </c>
      <c r="M168" s="8" t="s">
        <v>2933</v>
      </c>
      <c r="N168" s="8" t="s">
        <v>2937</v>
      </c>
      <c r="O168" s="1" t="s">
        <v>2934</v>
      </c>
      <c r="P168">
        <v>30</v>
      </c>
      <c r="Q168">
        <v>30</v>
      </c>
      <c r="R168">
        <v>0</v>
      </c>
      <c r="S168">
        <f t="shared" si="26"/>
        <v>30</v>
      </c>
      <c r="T168" s="1" t="s">
        <v>2935</v>
      </c>
      <c r="U168" s="1" t="s">
        <v>2932</v>
      </c>
      <c r="V168" s="3">
        <f t="shared" si="27"/>
        <v>40000</v>
      </c>
      <c r="W168" s="3">
        <f t="shared" si="28"/>
        <v>16000</v>
      </c>
      <c r="X168" s="3">
        <f t="shared" si="20"/>
        <v>1250</v>
      </c>
      <c r="Y168" s="3">
        <f t="shared" si="21"/>
        <v>1600</v>
      </c>
      <c r="Z168" s="3">
        <f t="shared" si="22"/>
        <v>1800</v>
      </c>
      <c r="AA168" s="3">
        <v>0</v>
      </c>
      <c r="AB168" s="3">
        <f>ROUND(U168 - (V168+W168+X168+Y168) - (U168/Q168 * 2),0)</f>
        <v>34483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f>SUM(V168+W168+X168+Y168+AB168)</f>
        <v>93333</v>
      </c>
      <c r="AK168" s="3">
        <f>SUM(AJ168-AA168)</f>
        <v>93333</v>
      </c>
      <c r="AL168" s="3">
        <f>IF(V168&lt;=15000,V168*12%,1800)</f>
        <v>1800</v>
      </c>
      <c r="AM168" s="3">
        <v>0</v>
      </c>
      <c r="AN168" s="3">
        <f t="shared" si="23"/>
        <v>1800</v>
      </c>
      <c r="AO168" s="12">
        <v>200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3">
        <f t="shared" si="25"/>
        <v>200</v>
      </c>
      <c r="AV168" s="3">
        <f>SUM(AJ168 - AN168 - AU168)</f>
        <v>91333</v>
      </c>
      <c r="AW168" s="11">
        <v>0</v>
      </c>
      <c r="AX168" s="11">
        <v>0</v>
      </c>
      <c r="AY168" s="11">
        <v>0</v>
      </c>
      <c r="AZ168" s="11">
        <v>0</v>
      </c>
      <c r="BA168" s="3">
        <f t="shared" si="24"/>
        <v>91333</v>
      </c>
    </row>
    <row r="169" spans="1:53" x14ac:dyDescent="0.25">
      <c r="A169" s="1" t="s">
        <v>167</v>
      </c>
      <c r="B169" s="9" t="s">
        <v>1390</v>
      </c>
      <c r="C169" s="9" t="s">
        <v>1242</v>
      </c>
      <c r="D169" s="9" t="s">
        <v>1391</v>
      </c>
      <c r="E169" s="9" t="s">
        <v>1012</v>
      </c>
      <c r="F169" s="10">
        <v>44242</v>
      </c>
      <c r="G169" s="9" t="s">
        <v>1013</v>
      </c>
      <c r="I169" s="9" t="s">
        <v>1014</v>
      </c>
      <c r="J169" s="9" t="s">
        <v>1015</v>
      </c>
      <c r="K169" s="8" t="s">
        <v>1006</v>
      </c>
      <c r="L169" s="8" t="s">
        <v>1007</v>
      </c>
      <c r="M169" s="8" t="s">
        <v>2933</v>
      </c>
      <c r="N169" s="8" t="s">
        <v>2937</v>
      </c>
      <c r="O169" s="1" t="s">
        <v>2934</v>
      </c>
      <c r="P169">
        <v>30</v>
      </c>
      <c r="Q169">
        <v>30</v>
      </c>
      <c r="R169">
        <v>0</v>
      </c>
      <c r="S169">
        <f t="shared" si="26"/>
        <v>30</v>
      </c>
      <c r="T169" s="1" t="s">
        <v>2935</v>
      </c>
      <c r="U169" s="1" t="s">
        <v>2932</v>
      </c>
      <c r="V169" s="3">
        <f t="shared" si="27"/>
        <v>40000</v>
      </c>
      <c r="W169" s="3">
        <f t="shared" si="28"/>
        <v>16000</v>
      </c>
      <c r="X169" s="3">
        <f t="shared" si="20"/>
        <v>1250</v>
      </c>
      <c r="Y169" s="3">
        <f t="shared" si="21"/>
        <v>1600</v>
      </c>
      <c r="Z169" s="3">
        <f t="shared" si="22"/>
        <v>1800</v>
      </c>
      <c r="AA169" s="3">
        <v>0</v>
      </c>
      <c r="AB169" s="3">
        <f>ROUND(U169 - (V169+W169+X169+Y169) - (U169/Q169 * 2),0)</f>
        <v>34483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f>SUM(V169+W169+X169+Y169+AB169)</f>
        <v>93333</v>
      </c>
      <c r="AK169" s="3">
        <f>SUM(AJ169-AA169)</f>
        <v>93333</v>
      </c>
      <c r="AL169" s="3">
        <f>IF(V169&lt;=15000,V169*12%,1800)</f>
        <v>1800</v>
      </c>
      <c r="AM169" s="3">
        <v>0</v>
      </c>
      <c r="AN169" s="3">
        <f t="shared" si="23"/>
        <v>1800</v>
      </c>
      <c r="AO169" s="12">
        <v>200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3">
        <f t="shared" si="25"/>
        <v>200</v>
      </c>
      <c r="AV169" s="3">
        <f>SUM(AJ169 - AN169 - AU169)</f>
        <v>91333</v>
      </c>
      <c r="AW169" s="11">
        <v>0</v>
      </c>
      <c r="AX169" s="11">
        <v>0</v>
      </c>
      <c r="AY169" s="11">
        <v>0</v>
      </c>
      <c r="AZ169" s="11">
        <v>0</v>
      </c>
      <c r="BA169" s="3">
        <f t="shared" si="24"/>
        <v>91333</v>
      </c>
    </row>
    <row r="170" spans="1:53" x14ac:dyDescent="0.25">
      <c r="A170" s="1" t="s">
        <v>168</v>
      </c>
      <c r="B170" s="9" t="s">
        <v>1388</v>
      </c>
      <c r="C170" s="9" t="s">
        <v>1242</v>
      </c>
      <c r="D170" s="9" t="s">
        <v>1389</v>
      </c>
      <c r="E170" s="9" t="s">
        <v>1012</v>
      </c>
      <c r="F170" s="10">
        <v>44242</v>
      </c>
      <c r="G170" s="9" t="s">
        <v>1019</v>
      </c>
      <c r="I170" s="9" t="s">
        <v>1014</v>
      </c>
      <c r="J170" s="9" t="s">
        <v>1015</v>
      </c>
      <c r="K170" s="8" t="s">
        <v>1006</v>
      </c>
      <c r="L170" s="8" t="s">
        <v>1007</v>
      </c>
      <c r="M170" s="8" t="s">
        <v>2933</v>
      </c>
      <c r="N170" s="8" t="s">
        <v>2937</v>
      </c>
      <c r="O170" s="1" t="s">
        <v>2934</v>
      </c>
      <c r="P170">
        <v>30</v>
      </c>
      <c r="Q170">
        <v>30</v>
      </c>
      <c r="R170">
        <v>0</v>
      </c>
      <c r="S170">
        <f t="shared" si="26"/>
        <v>30</v>
      </c>
      <c r="T170" s="1" t="s">
        <v>2935</v>
      </c>
      <c r="U170" s="1" t="s">
        <v>2932</v>
      </c>
      <c r="V170" s="3">
        <f t="shared" si="27"/>
        <v>40000</v>
      </c>
      <c r="W170" s="3">
        <f t="shared" si="28"/>
        <v>16000</v>
      </c>
      <c r="X170" s="3">
        <f t="shared" si="20"/>
        <v>1250</v>
      </c>
      <c r="Y170" s="3">
        <f t="shared" si="21"/>
        <v>1600</v>
      </c>
      <c r="Z170" s="3">
        <f t="shared" si="22"/>
        <v>1800</v>
      </c>
      <c r="AA170" s="3">
        <v>0</v>
      </c>
      <c r="AB170" s="3">
        <f>ROUND(U170 - (V170+W170+X170+Y170) - (U170/Q170 * 2),0)</f>
        <v>34483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f>SUM(V170+W170+X170+Y170+AB170)</f>
        <v>93333</v>
      </c>
      <c r="AK170" s="3">
        <f>SUM(AJ170-AA170)</f>
        <v>93333</v>
      </c>
      <c r="AL170" s="3">
        <f>IF(V170&lt;=15000,V170*12%,1800)</f>
        <v>1800</v>
      </c>
      <c r="AM170" s="3">
        <v>0</v>
      </c>
      <c r="AN170" s="3">
        <f t="shared" si="23"/>
        <v>1800</v>
      </c>
      <c r="AO170" s="12">
        <v>200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3">
        <f t="shared" si="25"/>
        <v>200</v>
      </c>
      <c r="AV170" s="3">
        <f>SUM(AJ170 - AN170 - AU170)</f>
        <v>91333</v>
      </c>
      <c r="AW170" s="11">
        <v>0</v>
      </c>
      <c r="AX170" s="11">
        <v>0</v>
      </c>
      <c r="AY170" s="11">
        <v>0</v>
      </c>
      <c r="AZ170" s="11">
        <v>0</v>
      </c>
      <c r="BA170" s="3">
        <f t="shared" si="24"/>
        <v>91333</v>
      </c>
    </row>
    <row r="171" spans="1:53" x14ac:dyDescent="0.25">
      <c r="A171" s="1" t="s">
        <v>169</v>
      </c>
      <c r="B171" s="9" t="s">
        <v>1057</v>
      </c>
      <c r="C171" s="9" t="s">
        <v>1063</v>
      </c>
      <c r="D171" s="9" t="s">
        <v>1387</v>
      </c>
      <c r="E171" s="9" t="s">
        <v>1012</v>
      </c>
      <c r="F171" s="10">
        <v>44245</v>
      </c>
      <c r="G171" s="9" t="s">
        <v>1019</v>
      </c>
      <c r="I171" s="9" t="s">
        <v>1014</v>
      </c>
      <c r="J171" s="9" t="s">
        <v>1015</v>
      </c>
      <c r="K171" s="8" t="s">
        <v>1006</v>
      </c>
      <c r="L171" s="8" t="s">
        <v>1007</v>
      </c>
      <c r="M171" s="8" t="s">
        <v>2933</v>
      </c>
      <c r="N171" s="8" t="s">
        <v>2937</v>
      </c>
      <c r="O171" s="1" t="s">
        <v>2934</v>
      </c>
      <c r="P171">
        <v>30</v>
      </c>
      <c r="Q171">
        <v>30</v>
      </c>
      <c r="R171">
        <v>0</v>
      </c>
      <c r="S171">
        <f t="shared" si="26"/>
        <v>30</v>
      </c>
      <c r="T171" s="1" t="s">
        <v>2935</v>
      </c>
      <c r="U171" s="1" t="s">
        <v>2932</v>
      </c>
      <c r="V171" s="3">
        <f t="shared" si="27"/>
        <v>40000</v>
      </c>
      <c r="W171" s="3">
        <f t="shared" si="28"/>
        <v>16000</v>
      </c>
      <c r="X171" s="3">
        <f t="shared" si="20"/>
        <v>1250</v>
      </c>
      <c r="Y171" s="3">
        <f t="shared" si="21"/>
        <v>1600</v>
      </c>
      <c r="Z171" s="3">
        <f t="shared" si="22"/>
        <v>1800</v>
      </c>
      <c r="AA171" s="3">
        <v>0</v>
      </c>
      <c r="AB171" s="3">
        <f>ROUND(U171 - (V171+W171+X171+Y171) - (U171/Q171 * 2),0)</f>
        <v>34483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f>SUM(V171+W171+X171+Y171+AB171)</f>
        <v>93333</v>
      </c>
      <c r="AK171" s="3">
        <f>SUM(AJ171-AA171)</f>
        <v>93333</v>
      </c>
      <c r="AL171" s="3">
        <f>IF(V171&lt;=15000,V171*12%,1800)</f>
        <v>1800</v>
      </c>
      <c r="AM171" s="3">
        <v>0</v>
      </c>
      <c r="AN171" s="3">
        <f t="shared" si="23"/>
        <v>1800</v>
      </c>
      <c r="AO171" s="12">
        <v>200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3">
        <f t="shared" si="25"/>
        <v>200</v>
      </c>
      <c r="AV171" s="3">
        <f>SUM(AJ171 - AN171 - AU171)</f>
        <v>91333</v>
      </c>
      <c r="AW171" s="11">
        <v>0</v>
      </c>
      <c r="AX171" s="11">
        <v>0</v>
      </c>
      <c r="AY171" s="11">
        <v>0</v>
      </c>
      <c r="AZ171" s="11">
        <v>0</v>
      </c>
      <c r="BA171" s="3">
        <f t="shared" si="24"/>
        <v>91333</v>
      </c>
    </row>
    <row r="172" spans="1:53" x14ac:dyDescent="0.25">
      <c r="A172" s="1" t="s">
        <v>170</v>
      </c>
      <c r="B172" s="9" t="s">
        <v>1385</v>
      </c>
      <c r="C172" s="9" t="s">
        <v>1320</v>
      </c>
      <c r="D172" s="9" t="s">
        <v>1386</v>
      </c>
      <c r="E172" s="9" t="s">
        <v>1012</v>
      </c>
      <c r="F172" s="10">
        <v>44249</v>
      </c>
      <c r="G172" s="9" t="s">
        <v>1019</v>
      </c>
      <c r="I172" s="9" t="s">
        <v>1014</v>
      </c>
      <c r="J172" s="9" t="s">
        <v>1015</v>
      </c>
      <c r="K172" s="8" t="s">
        <v>1006</v>
      </c>
      <c r="L172" s="8" t="s">
        <v>1007</v>
      </c>
      <c r="M172" s="8" t="s">
        <v>2933</v>
      </c>
      <c r="N172" s="8" t="s">
        <v>2937</v>
      </c>
      <c r="O172" s="1" t="s">
        <v>2934</v>
      </c>
      <c r="P172">
        <v>30</v>
      </c>
      <c r="Q172">
        <v>30</v>
      </c>
      <c r="R172">
        <v>0</v>
      </c>
      <c r="S172">
        <f t="shared" si="26"/>
        <v>30</v>
      </c>
      <c r="T172" s="1" t="s">
        <v>2935</v>
      </c>
      <c r="U172" s="1" t="s">
        <v>2932</v>
      </c>
      <c r="V172" s="3">
        <f t="shared" si="27"/>
        <v>40000</v>
      </c>
      <c r="W172" s="3">
        <f t="shared" si="28"/>
        <v>16000</v>
      </c>
      <c r="X172" s="3">
        <f t="shared" si="20"/>
        <v>1250</v>
      </c>
      <c r="Y172" s="3">
        <f t="shared" si="21"/>
        <v>1600</v>
      </c>
      <c r="Z172" s="3">
        <f t="shared" si="22"/>
        <v>1800</v>
      </c>
      <c r="AA172" s="3">
        <v>0</v>
      </c>
      <c r="AB172" s="3">
        <f>ROUND(U172 - (V172+W172+X172+Y172) - (U172/Q172 * 2),0)</f>
        <v>34483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f>SUM(V172+W172+X172+Y172+AB172)</f>
        <v>93333</v>
      </c>
      <c r="AK172" s="3">
        <f>SUM(AJ172-AA172)</f>
        <v>93333</v>
      </c>
      <c r="AL172" s="3">
        <f>IF(V172&lt;=15000,V172*12%,1800)</f>
        <v>1800</v>
      </c>
      <c r="AM172" s="3">
        <v>0</v>
      </c>
      <c r="AN172" s="3">
        <f t="shared" si="23"/>
        <v>1800</v>
      </c>
      <c r="AO172" s="12">
        <v>200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3">
        <f t="shared" si="25"/>
        <v>200</v>
      </c>
      <c r="AV172" s="3">
        <f>SUM(AJ172 - AN172 - AU172)</f>
        <v>91333</v>
      </c>
      <c r="AW172" s="11">
        <v>0</v>
      </c>
      <c r="AX172" s="11">
        <v>0</v>
      </c>
      <c r="AY172" s="11">
        <v>0</v>
      </c>
      <c r="AZ172" s="11">
        <v>0</v>
      </c>
      <c r="BA172" s="3">
        <f t="shared" si="24"/>
        <v>91333</v>
      </c>
    </row>
    <row r="173" spans="1:53" x14ac:dyDescent="0.25">
      <c r="A173" s="1" t="s">
        <v>171</v>
      </c>
      <c r="B173" s="9" t="s">
        <v>1383</v>
      </c>
      <c r="C173" s="9" t="s">
        <v>1242</v>
      </c>
      <c r="D173" s="9" t="s">
        <v>1384</v>
      </c>
      <c r="E173" s="9" t="s">
        <v>1012</v>
      </c>
      <c r="F173" s="10">
        <v>44249</v>
      </c>
      <c r="G173" s="9" t="s">
        <v>1013</v>
      </c>
      <c r="I173" s="9" t="s">
        <v>1014</v>
      </c>
      <c r="J173" s="9" t="s">
        <v>1015</v>
      </c>
      <c r="K173" s="8" t="s">
        <v>1006</v>
      </c>
      <c r="L173" s="8" t="s">
        <v>1007</v>
      </c>
      <c r="M173" s="8" t="s">
        <v>2933</v>
      </c>
      <c r="N173" s="8" t="s">
        <v>2937</v>
      </c>
      <c r="O173" s="1" t="s">
        <v>2934</v>
      </c>
      <c r="P173">
        <v>30</v>
      </c>
      <c r="Q173">
        <v>30</v>
      </c>
      <c r="R173">
        <v>0</v>
      </c>
      <c r="S173">
        <f t="shared" si="26"/>
        <v>30</v>
      </c>
      <c r="T173" s="1" t="s">
        <v>2935</v>
      </c>
      <c r="U173" s="1" t="s">
        <v>2932</v>
      </c>
      <c r="V173" s="3">
        <f t="shared" si="27"/>
        <v>40000</v>
      </c>
      <c r="W173" s="3">
        <f t="shared" si="28"/>
        <v>16000</v>
      </c>
      <c r="X173" s="3">
        <f t="shared" si="20"/>
        <v>1250</v>
      </c>
      <c r="Y173" s="3">
        <f t="shared" si="21"/>
        <v>1600</v>
      </c>
      <c r="Z173" s="3">
        <f t="shared" si="22"/>
        <v>1800</v>
      </c>
      <c r="AA173" s="3">
        <v>0</v>
      </c>
      <c r="AB173" s="3">
        <f>ROUND(U173 - (V173+W173+X173+Y173) - (U173/Q173 * 2),0)</f>
        <v>34483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f>SUM(V173+W173+X173+Y173+AB173)</f>
        <v>93333</v>
      </c>
      <c r="AK173" s="3">
        <f>SUM(AJ173-AA173)</f>
        <v>93333</v>
      </c>
      <c r="AL173" s="3">
        <f>IF(V173&lt;=15000,V173*12%,1800)</f>
        <v>1800</v>
      </c>
      <c r="AM173" s="3">
        <v>0</v>
      </c>
      <c r="AN173" s="3">
        <f t="shared" si="23"/>
        <v>1800</v>
      </c>
      <c r="AO173" s="12">
        <v>200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3">
        <f t="shared" si="25"/>
        <v>200</v>
      </c>
      <c r="AV173" s="3">
        <f>SUM(AJ173 - AN173 - AU173)</f>
        <v>91333</v>
      </c>
      <c r="AW173" s="11">
        <v>0</v>
      </c>
      <c r="AX173" s="11">
        <v>0</v>
      </c>
      <c r="AY173" s="11">
        <v>0</v>
      </c>
      <c r="AZ173" s="11">
        <v>0</v>
      </c>
      <c r="BA173" s="3">
        <f t="shared" si="24"/>
        <v>91333</v>
      </c>
    </row>
    <row r="174" spans="1:53" x14ac:dyDescent="0.25">
      <c r="A174" s="1" t="s">
        <v>172</v>
      </c>
      <c r="B174" s="9" t="s">
        <v>1381</v>
      </c>
      <c r="C174" s="9" t="s">
        <v>1242</v>
      </c>
      <c r="D174" s="9" t="s">
        <v>1382</v>
      </c>
      <c r="E174" s="9" t="s">
        <v>1012</v>
      </c>
      <c r="F174" s="10">
        <v>44249</v>
      </c>
      <c r="G174" s="9" t="s">
        <v>1013</v>
      </c>
      <c r="I174" s="9" t="s">
        <v>1014</v>
      </c>
      <c r="J174" s="9" t="s">
        <v>1015</v>
      </c>
      <c r="K174" s="8" t="s">
        <v>1006</v>
      </c>
      <c r="L174" s="8" t="s">
        <v>1007</v>
      </c>
      <c r="M174" s="8" t="s">
        <v>2933</v>
      </c>
      <c r="N174" s="8" t="s">
        <v>2937</v>
      </c>
      <c r="O174" s="1" t="s">
        <v>2934</v>
      </c>
      <c r="P174">
        <v>30</v>
      </c>
      <c r="Q174">
        <v>30</v>
      </c>
      <c r="R174">
        <v>0</v>
      </c>
      <c r="S174">
        <f t="shared" si="26"/>
        <v>30</v>
      </c>
      <c r="T174" s="1" t="s">
        <v>2935</v>
      </c>
      <c r="U174" s="1" t="s">
        <v>2932</v>
      </c>
      <c r="V174" s="3">
        <f t="shared" si="27"/>
        <v>40000</v>
      </c>
      <c r="W174" s="3">
        <f t="shared" si="28"/>
        <v>16000</v>
      </c>
      <c r="X174" s="3">
        <f t="shared" si="20"/>
        <v>1250</v>
      </c>
      <c r="Y174" s="3">
        <f t="shared" si="21"/>
        <v>1600</v>
      </c>
      <c r="Z174" s="3">
        <f t="shared" si="22"/>
        <v>1800</v>
      </c>
      <c r="AA174" s="3">
        <v>0</v>
      </c>
      <c r="AB174" s="3">
        <f>ROUND(U174 - (V174+W174+X174+Y174) - (U174/Q174 * 2),0)</f>
        <v>34483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f>SUM(V174+W174+X174+Y174+AB174)</f>
        <v>93333</v>
      </c>
      <c r="AK174" s="3">
        <f>SUM(AJ174-AA174)</f>
        <v>93333</v>
      </c>
      <c r="AL174" s="3">
        <f>IF(V174&lt;=15000,V174*12%,1800)</f>
        <v>1800</v>
      </c>
      <c r="AM174" s="3">
        <v>0</v>
      </c>
      <c r="AN174" s="3">
        <f t="shared" si="23"/>
        <v>1800</v>
      </c>
      <c r="AO174" s="12">
        <v>200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3">
        <f t="shared" si="25"/>
        <v>200</v>
      </c>
      <c r="AV174" s="3">
        <f>SUM(AJ174 - AN174 - AU174)</f>
        <v>91333</v>
      </c>
      <c r="AW174" s="11">
        <v>0</v>
      </c>
      <c r="AX174" s="11">
        <v>0</v>
      </c>
      <c r="AY174" s="11">
        <v>0</v>
      </c>
      <c r="AZ174" s="11">
        <v>0</v>
      </c>
      <c r="BA174" s="3">
        <f t="shared" si="24"/>
        <v>91333</v>
      </c>
    </row>
    <row r="175" spans="1:53" x14ac:dyDescent="0.25">
      <c r="A175" s="1" t="s">
        <v>173</v>
      </c>
      <c r="B175" s="9" t="s">
        <v>1443</v>
      </c>
      <c r="C175" s="9" t="s">
        <v>1444</v>
      </c>
      <c r="D175" s="9" t="s">
        <v>1445</v>
      </c>
      <c r="E175" s="9" t="s">
        <v>1012</v>
      </c>
      <c r="F175" s="10">
        <v>44249</v>
      </c>
      <c r="G175" s="9" t="s">
        <v>1019</v>
      </c>
      <c r="I175" s="9" t="s">
        <v>1014</v>
      </c>
      <c r="J175" s="9" t="s">
        <v>1015</v>
      </c>
      <c r="K175" s="8" t="s">
        <v>1006</v>
      </c>
      <c r="L175" s="8" t="s">
        <v>1007</v>
      </c>
      <c r="M175" s="8" t="s">
        <v>2933</v>
      </c>
      <c r="N175" s="8" t="s">
        <v>2937</v>
      </c>
      <c r="O175" s="1" t="s">
        <v>2934</v>
      </c>
      <c r="P175">
        <v>30</v>
      </c>
      <c r="Q175">
        <v>30</v>
      </c>
      <c r="R175">
        <v>0</v>
      </c>
      <c r="S175">
        <f t="shared" si="26"/>
        <v>30</v>
      </c>
      <c r="T175" s="1" t="s">
        <v>2935</v>
      </c>
      <c r="U175" s="1" t="s">
        <v>2932</v>
      </c>
      <c r="V175" s="3">
        <f t="shared" si="27"/>
        <v>40000</v>
      </c>
      <c r="W175" s="3">
        <f t="shared" si="28"/>
        <v>16000</v>
      </c>
      <c r="X175" s="3">
        <f t="shared" si="20"/>
        <v>1250</v>
      </c>
      <c r="Y175" s="3">
        <f t="shared" si="21"/>
        <v>1600</v>
      </c>
      <c r="Z175" s="3">
        <f t="shared" si="22"/>
        <v>1800</v>
      </c>
      <c r="AA175" s="3">
        <v>0</v>
      </c>
      <c r="AB175" s="3">
        <f>ROUND(U175 - (V175+W175+X175+Y175) - (U175/Q175 * 2),0)</f>
        <v>34483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f>SUM(V175+W175+X175+Y175+AB175)</f>
        <v>93333</v>
      </c>
      <c r="AK175" s="3">
        <f>SUM(AJ175-AA175)</f>
        <v>93333</v>
      </c>
      <c r="AL175" s="3">
        <f>IF(V175&lt;=15000,V175*12%,1800)</f>
        <v>1800</v>
      </c>
      <c r="AM175" s="3">
        <v>0</v>
      </c>
      <c r="AN175" s="3">
        <f t="shared" si="23"/>
        <v>1800</v>
      </c>
      <c r="AO175" s="12">
        <v>200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3">
        <f t="shared" si="25"/>
        <v>200</v>
      </c>
      <c r="AV175" s="3">
        <f>SUM(AJ175 - AN175 - AU175)</f>
        <v>91333</v>
      </c>
      <c r="AW175" s="11">
        <v>0</v>
      </c>
      <c r="AX175" s="11">
        <v>0</v>
      </c>
      <c r="AY175" s="11">
        <v>0</v>
      </c>
      <c r="AZ175" s="11">
        <v>0</v>
      </c>
      <c r="BA175" s="3">
        <f t="shared" si="24"/>
        <v>91333</v>
      </c>
    </row>
    <row r="176" spans="1:53" x14ac:dyDescent="0.25">
      <c r="A176" s="1" t="s">
        <v>174</v>
      </c>
      <c r="B176" s="9" t="s">
        <v>1441</v>
      </c>
      <c r="C176" s="9" t="s">
        <v>1242</v>
      </c>
      <c r="D176" s="9" t="s">
        <v>1442</v>
      </c>
      <c r="E176" s="9" t="s">
        <v>1012</v>
      </c>
      <c r="F176" s="10">
        <v>44249</v>
      </c>
      <c r="G176" s="9" t="s">
        <v>1019</v>
      </c>
      <c r="I176" s="9" t="s">
        <v>1014</v>
      </c>
      <c r="J176" s="9" t="s">
        <v>1015</v>
      </c>
      <c r="K176" s="8" t="s">
        <v>1006</v>
      </c>
      <c r="L176" s="8" t="s">
        <v>1007</v>
      </c>
      <c r="M176" s="8" t="s">
        <v>2933</v>
      </c>
      <c r="N176" s="8" t="s">
        <v>2937</v>
      </c>
      <c r="O176" s="1" t="s">
        <v>2934</v>
      </c>
      <c r="P176">
        <v>30</v>
      </c>
      <c r="Q176">
        <v>30</v>
      </c>
      <c r="R176">
        <v>0</v>
      </c>
      <c r="S176">
        <f t="shared" si="26"/>
        <v>30</v>
      </c>
      <c r="T176" s="1" t="s">
        <v>2935</v>
      </c>
      <c r="U176" s="1" t="s">
        <v>2932</v>
      </c>
      <c r="V176" s="3">
        <f t="shared" si="27"/>
        <v>40000</v>
      </c>
      <c r="W176" s="3">
        <f t="shared" si="28"/>
        <v>16000</v>
      </c>
      <c r="X176" s="3">
        <f t="shared" si="20"/>
        <v>1250</v>
      </c>
      <c r="Y176" s="3">
        <f t="shared" si="21"/>
        <v>1600</v>
      </c>
      <c r="Z176" s="3">
        <f t="shared" si="22"/>
        <v>1800</v>
      </c>
      <c r="AA176" s="3">
        <v>0</v>
      </c>
      <c r="AB176" s="3">
        <f>ROUND(U176 - (V176+W176+X176+Y176) - (U176/Q176 * 2),0)</f>
        <v>34483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f>SUM(V176+W176+X176+Y176+AB176)</f>
        <v>93333</v>
      </c>
      <c r="AK176" s="3">
        <f>SUM(AJ176-AA176)</f>
        <v>93333</v>
      </c>
      <c r="AL176" s="3">
        <f>IF(V176&lt;=15000,V176*12%,1800)</f>
        <v>1800</v>
      </c>
      <c r="AM176" s="3">
        <v>0</v>
      </c>
      <c r="AN176" s="3">
        <f t="shared" si="23"/>
        <v>1800</v>
      </c>
      <c r="AO176" s="12">
        <v>200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3">
        <f t="shared" si="25"/>
        <v>200</v>
      </c>
      <c r="AV176" s="3">
        <f>SUM(AJ176 - AN176 - AU176)</f>
        <v>91333</v>
      </c>
      <c r="AW176" s="11">
        <v>0</v>
      </c>
      <c r="AX176" s="11">
        <v>0</v>
      </c>
      <c r="AY176" s="11">
        <v>0</v>
      </c>
      <c r="AZ176" s="11">
        <v>0</v>
      </c>
      <c r="BA176" s="3">
        <f t="shared" si="24"/>
        <v>91333</v>
      </c>
    </row>
    <row r="177" spans="1:53" x14ac:dyDescent="0.25">
      <c r="A177" s="1" t="s">
        <v>175</v>
      </c>
      <c r="B177" s="9" t="s">
        <v>1438</v>
      </c>
      <c r="C177" s="9" t="s">
        <v>1216</v>
      </c>
      <c r="D177" s="9" t="s">
        <v>1439</v>
      </c>
      <c r="E177" s="9" t="s">
        <v>1012</v>
      </c>
      <c r="F177" s="10">
        <v>44973</v>
      </c>
      <c r="G177" s="9" t="s">
        <v>1019</v>
      </c>
      <c r="I177" s="9" t="s">
        <v>1014</v>
      </c>
      <c r="J177" s="9" t="s">
        <v>1440</v>
      </c>
      <c r="K177" s="8" t="s">
        <v>1006</v>
      </c>
      <c r="L177" s="8" t="s">
        <v>1007</v>
      </c>
      <c r="M177" s="8" t="s">
        <v>2933</v>
      </c>
      <c r="N177" s="8" t="s">
        <v>2937</v>
      </c>
      <c r="O177" s="1" t="s">
        <v>2934</v>
      </c>
      <c r="P177">
        <v>30</v>
      </c>
      <c r="Q177">
        <v>30</v>
      </c>
      <c r="R177">
        <v>0</v>
      </c>
      <c r="S177">
        <f t="shared" si="26"/>
        <v>30</v>
      </c>
      <c r="T177" s="1" t="s">
        <v>2935</v>
      </c>
      <c r="U177" s="1" t="s">
        <v>2932</v>
      </c>
      <c r="V177" s="3">
        <f t="shared" si="27"/>
        <v>40000</v>
      </c>
      <c r="W177" s="3">
        <f t="shared" si="28"/>
        <v>16000</v>
      </c>
      <c r="X177" s="3">
        <f t="shared" si="20"/>
        <v>1250</v>
      </c>
      <c r="Y177" s="3">
        <f t="shared" si="21"/>
        <v>1600</v>
      </c>
      <c r="Z177" s="3">
        <f t="shared" si="22"/>
        <v>1800</v>
      </c>
      <c r="AA177" s="3">
        <v>0</v>
      </c>
      <c r="AB177" s="3">
        <f>ROUND(U177 - (V177+W177+X177+Y177) - (U177/Q177 * 2),0)</f>
        <v>34483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f>SUM(V177+W177+X177+Y177+AB177)</f>
        <v>93333</v>
      </c>
      <c r="AK177" s="3">
        <f>SUM(AJ177-AA177)</f>
        <v>93333</v>
      </c>
      <c r="AL177" s="3">
        <f>IF(V177&lt;=15000,V177*12%,1800)</f>
        <v>1800</v>
      </c>
      <c r="AM177" s="3">
        <v>0</v>
      </c>
      <c r="AN177" s="3">
        <f t="shared" si="23"/>
        <v>1800</v>
      </c>
      <c r="AO177" s="12">
        <v>200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3">
        <f t="shared" si="25"/>
        <v>200</v>
      </c>
      <c r="AV177" s="3">
        <f>SUM(AJ177 - AN177 - AU177)</f>
        <v>91333</v>
      </c>
      <c r="AW177" s="11">
        <v>0</v>
      </c>
      <c r="AX177" s="11">
        <v>0</v>
      </c>
      <c r="AY177" s="11">
        <v>0</v>
      </c>
      <c r="AZ177" s="11">
        <v>0</v>
      </c>
      <c r="BA177" s="3">
        <f t="shared" si="24"/>
        <v>91333</v>
      </c>
    </row>
    <row r="178" spans="1:53" x14ac:dyDescent="0.25">
      <c r="A178" s="1" t="s">
        <v>176</v>
      </c>
      <c r="B178" s="9" t="s">
        <v>1436</v>
      </c>
      <c r="C178" s="9" t="s">
        <v>1242</v>
      </c>
      <c r="D178" s="9" t="s">
        <v>1437</v>
      </c>
      <c r="E178" s="9" t="s">
        <v>1012</v>
      </c>
      <c r="F178" s="10">
        <v>44252</v>
      </c>
      <c r="G178" s="9" t="s">
        <v>1013</v>
      </c>
      <c r="I178" s="9" t="s">
        <v>1014</v>
      </c>
      <c r="J178" s="9" t="s">
        <v>1015</v>
      </c>
      <c r="K178" s="8" t="s">
        <v>1006</v>
      </c>
      <c r="L178" s="8" t="s">
        <v>1007</v>
      </c>
      <c r="M178" s="8" t="s">
        <v>2933</v>
      </c>
      <c r="N178" s="8" t="s">
        <v>2937</v>
      </c>
      <c r="O178" s="1" t="s">
        <v>2934</v>
      </c>
      <c r="P178">
        <v>30</v>
      </c>
      <c r="Q178">
        <v>30</v>
      </c>
      <c r="R178">
        <v>0</v>
      </c>
      <c r="S178">
        <f t="shared" si="26"/>
        <v>30</v>
      </c>
      <c r="T178" s="1" t="s">
        <v>2935</v>
      </c>
      <c r="U178" s="1" t="s">
        <v>2932</v>
      </c>
      <c r="V178" s="3">
        <f t="shared" si="27"/>
        <v>40000</v>
      </c>
      <c r="W178" s="3">
        <f t="shared" si="28"/>
        <v>16000</v>
      </c>
      <c r="X178" s="3">
        <f t="shared" si="20"/>
        <v>1250</v>
      </c>
      <c r="Y178" s="3">
        <f t="shared" si="21"/>
        <v>1600</v>
      </c>
      <c r="Z178" s="3">
        <f t="shared" si="22"/>
        <v>1800</v>
      </c>
      <c r="AA178" s="3">
        <v>0</v>
      </c>
      <c r="AB178" s="3">
        <f>ROUND(U178 - (V178+W178+X178+Y178) - (U178/Q178 * 2),0)</f>
        <v>34483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f>SUM(V178+W178+X178+Y178+AB178)</f>
        <v>93333</v>
      </c>
      <c r="AK178" s="3">
        <f>SUM(AJ178-AA178)</f>
        <v>93333</v>
      </c>
      <c r="AL178" s="3">
        <f>IF(V178&lt;=15000,V178*12%,1800)</f>
        <v>1800</v>
      </c>
      <c r="AM178" s="3">
        <v>0</v>
      </c>
      <c r="AN178" s="3">
        <f t="shared" si="23"/>
        <v>1800</v>
      </c>
      <c r="AO178" s="12">
        <v>200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3">
        <f t="shared" si="25"/>
        <v>200</v>
      </c>
      <c r="AV178" s="3">
        <f>SUM(AJ178 - AN178 - AU178)</f>
        <v>91333</v>
      </c>
      <c r="AW178" s="11">
        <v>0</v>
      </c>
      <c r="AX178" s="11">
        <v>0</v>
      </c>
      <c r="AY178" s="11">
        <v>0</v>
      </c>
      <c r="AZ178" s="11">
        <v>0</v>
      </c>
      <c r="BA178" s="3">
        <f t="shared" si="24"/>
        <v>91333</v>
      </c>
    </row>
    <row r="179" spans="1:53" x14ac:dyDescent="0.25">
      <c r="A179" s="1" t="s">
        <v>177</v>
      </c>
      <c r="B179" s="9" t="s">
        <v>1433</v>
      </c>
      <c r="C179" s="9" t="s">
        <v>1434</v>
      </c>
      <c r="D179" s="9" t="s">
        <v>1435</v>
      </c>
      <c r="E179" s="9" t="s">
        <v>1008</v>
      </c>
      <c r="F179" s="10">
        <v>44256</v>
      </c>
      <c r="G179" s="9" t="s">
        <v>1019</v>
      </c>
      <c r="I179" s="9" t="s">
        <v>1014</v>
      </c>
      <c r="J179" s="9" t="s">
        <v>1015</v>
      </c>
      <c r="K179" s="8" t="s">
        <v>1006</v>
      </c>
      <c r="L179" s="8" t="s">
        <v>1007</v>
      </c>
      <c r="M179" s="8" t="s">
        <v>2933</v>
      </c>
      <c r="N179" s="8" t="s">
        <v>2937</v>
      </c>
      <c r="O179" s="1" t="s">
        <v>2934</v>
      </c>
      <c r="P179">
        <v>30</v>
      </c>
      <c r="Q179">
        <v>30</v>
      </c>
      <c r="R179">
        <v>0</v>
      </c>
      <c r="S179">
        <f t="shared" si="26"/>
        <v>30</v>
      </c>
      <c r="T179" s="1" t="s">
        <v>2935</v>
      </c>
      <c r="U179" s="1" t="s">
        <v>2932</v>
      </c>
      <c r="V179" s="3">
        <f t="shared" si="27"/>
        <v>40000</v>
      </c>
      <c r="W179" s="3">
        <f t="shared" si="28"/>
        <v>16000</v>
      </c>
      <c r="X179" s="3">
        <f t="shared" si="20"/>
        <v>1250</v>
      </c>
      <c r="Y179" s="3">
        <f t="shared" si="21"/>
        <v>1600</v>
      </c>
      <c r="Z179" s="3">
        <f t="shared" si="22"/>
        <v>1800</v>
      </c>
      <c r="AA179" s="3">
        <v>0</v>
      </c>
      <c r="AB179" s="3">
        <f>ROUND(U179 - (V179+W179+X179+Y179) - (U179/Q179 * 2),0)</f>
        <v>34483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f>SUM(V179+W179+X179+Y179+AB179)</f>
        <v>93333</v>
      </c>
      <c r="AK179" s="3">
        <f>SUM(AJ179-AA179)</f>
        <v>93333</v>
      </c>
      <c r="AL179" s="3">
        <f>IF(V179&lt;=15000,V179*12%,1800)</f>
        <v>1800</v>
      </c>
      <c r="AM179" s="3">
        <v>0</v>
      </c>
      <c r="AN179" s="3">
        <f t="shared" si="23"/>
        <v>1800</v>
      </c>
      <c r="AO179" s="12">
        <v>200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3">
        <f t="shared" si="25"/>
        <v>200</v>
      </c>
      <c r="AV179" s="3">
        <f>SUM(AJ179 - AN179 - AU179)</f>
        <v>91333</v>
      </c>
      <c r="AW179" s="11">
        <v>0</v>
      </c>
      <c r="AX179" s="11">
        <v>0</v>
      </c>
      <c r="AY179" s="11">
        <v>0</v>
      </c>
      <c r="AZ179" s="11">
        <v>0</v>
      </c>
      <c r="BA179" s="3">
        <f t="shared" si="24"/>
        <v>91333</v>
      </c>
    </row>
    <row r="180" spans="1:53" x14ac:dyDescent="0.25">
      <c r="A180" s="1" t="s">
        <v>178</v>
      </c>
      <c r="B180" s="9" t="s">
        <v>1430</v>
      </c>
      <c r="C180" s="9" t="s">
        <v>1431</v>
      </c>
      <c r="D180" s="9" t="s">
        <v>1432</v>
      </c>
      <c r="E180" s="9" t="s">
        <v>1012</v>
      </c>
      <c r="F180" s="10">
        <v>44256</v>
      </c>
      <c r="G180" s="9" t="s">
        <v>1013</v>
      </c>
      <c r="I180" s="9" t="s">
        <v>1014</v>
      </c>
      <c r="J180" s="9" t="s">
        <v>1015</v>
      </c>
      <c r="K180" s="8" t="s">
        <v>1006</v>
      </c>
      <c r="L180" s="8" t="s">
        <v>1007</v>
      </c>
      <c r="M180" s="8" t="s">
        <v>2933</v>
      </c>
      <c r="N180" s="8" t="s">
        <v>2937</v>
      </c>
      <c r="O180" s="1" t="s">
        <v>2934</v>
      </c>
      <c r="P180">
        <v>30</v>
      </c>
      <c r="Q180">
        <v>30</v>
      </c>
      <c r="R180">
        <v>0</v>
      </c>
      <c r="S180">
        <f t="shared" si="26"/>
        <v>30</v>
      </c>
      <c r="T180" s="1" t="s">
        <v>2935</v>
      </c>
      <c r="U180" s="1" t="s">
        <v>2932</v>
      </c>
      <c r="V180" s="3">
        <f t="shared" si="27"/>
        <v>40000</v>
      </c>
      <c r="W180" s="3">
        <f t="shared" si="28"/>
        <v>16000</v>
      </c>
      <c r="X180" s="3">
        <f t="shared" si="20"/>
        <v>1250</v>
      </c>
      <c r="Y180" s="3">
        <f t="shared" si="21"/>
        <v>1600</v>
      </c>
      <c r="Z180" s="3">
        <f t="shared" si="22"/>
        <v>1800</v>
      </c>
      <c r="AA180" s="3">
        <v>0</v>
      </c>
      <c r="AB180" s="3">
        <f>ROUND(U180 - (V180+W180+X180+Y180) - (U180/Q180 * 2),0)</f>
        <v>34483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f>SUM(V180+W180+X180+Y180+AB180)</f>
        <v>93333</v>
      </c>
      <c r="AK180" s="3">
        <f>SUM(AJ180-AA180)</f>
        <v>93333</v>
      </c>
      <c r="AL180" s="3">
        <f>IF(V180&lt;=15000,V180*12%,1800)</f>
        <v>1800</v>
      </c>
      <c r="AM180" s="3">
        <v>0</v>
      </c>
      <c r="AN180" s="3">
        <f t="shared" si="23"/>
        <v>1800</v>
      </c>
      <c r="AO180" s="12">
        <v>200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3">
        <f t="shared" si="25"/>
        <v>200</v>
      </c>
      <c r="AV180" s="3">
        <f>SUM(AJ180 - AN180 - AU180)</f>
        <v>91333</v>
      </c>
      <c r="AW180" s="11">
        <v>0</v>
      </c>
      <c r="AX180" s="11">
        <v>0</v>
      </c>
      <c r="AY180" s="11">
        <v>0</v>
      </c>
      <c r="AZ180" s="11">
        <v>0</v>
      </c>
      <c r="BA180" s="3">
        <f t="shared" si="24"/>
        <v>91333</v>
      </c>
    </row>
    <row r="181" spans="1:53" x14ac:dyDescent="0.25">
      <c r="A181" s="1" t="s">
        <v>179</v>
      </c>
      <c r="B181" s="9" t="s">
        <v>1428</v>
      </c>
      <c r="C181" s="9" t="s">
        <v>1023</v>
      </c>
      <c r="D181" s="9" t="s">
        <v>1429</v>
      </c>
      <c r="E181" s="9" t="s">
        <v>1012</v>
      </c>
      <c r="F181" s="10">
        <v>44256</v>
      </c>
      <c r="G181" s="9" t="s">
        <v>1019</v>
      </c>
      <c r="I181" s="9" t="s">
        <v>1020</v>
      </c>
      <c r="J181" s="9" t="s">
        <v>1021</v>
      </c>
      <c r="K181" s="8" t="s">
        <v>1006</v>
      </c>
      <c r="L181" s="8" t="s">
        <v>1007</v>
      </c>
      <c r="M181" s="8" t="s">
        <v>2933</v>
      </c>
      <c r="N181" s="8" t="s">
        <v>2937</v>
      </c>
      <c r="O181" s="1" t="s">
        <v>2934</v>
      </c>
      <c r="P181">
        <v>30</v>
      </c>
      <c r="Q181">
        <v>30</v>
      </c>
      <c r="R181">
        <v>0</v>
      </c>
      <c r="S181">
        <f t="shared" si="26"/>
        <v>30</v>
      </c>
      <c r="T181" s="1" t="s">
        <v>2935</v>
      </c>
      <c r="U181" s="1" t="s">
        <v>2932</v>
      </c>
      <c r="V181" s="3">
        <f t="shared" si="27"/>
        <v>40000</v>
      </c>
      <c r="W181" s="3">
        <f t="shared" si="28"/>
        <v>16000</v>
      </c>
      <c r="X181" s="3">
        <f t="shared" si="20"/>
        <v>1250</v>
      </c>
      <c r="Y181" s="3">
        <f t="shared" si="21"/>
        <v>1600</v>
      </c>
      <c r="Z181" s="3">
        <f t="shared" si="22"/>
        <v>1800</v>
      </c>
      <c r="AA181" s="3">
        <v>0</v>
      </c>
      <c r="AB181" s="3">
        <f>ROUND(U181 - (V181+W181+X181+Y181) - (U181/Q181 * 2),0)</f>
        <v>34483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f>SUM(V181+W181+X181+Y181+AB181)</f>
        <v>93333</v>
      </c>
      <c r="AK181" s="3">
        <f>SUM(AJ181-AA181)</f>
        <v>93333</v>
      </c>
      <c r="AL181" s="3">
        <f>IF(V181&lt;=15000,V181*12%,1800)</f>
        <v>1800</v>
      </c>
      <c r="AM181" s="3">
        <v>0</v>
      </c>
      <c r="AN181" s="3">
        <f t="shared" si="23"/>
        <v>1800</v>
      </c>
      <c r="AO181" s="12">
        <v>200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3">
        <f t="shared" si="25"/>
        <v>200</v>
      </c>
      <c r="AV181" s="3">
        <f>SUM(AJ181 - AN181 - AU181)</f>
        <v>91333</v>
      </c>
      <c r="AW181" s="11">
        <v>0</v>
      </c>
      <c r="AX181" s="11">
        <v>0</v>
      </c>
      <c r="AY181" s="11">
        <v>0</v>
      </c>
      <c r="AZ181" s="11">
        <v>0</v>
      </c>
      <c r="BA181" s="3">
        <f t="shared" si="24"/>
        <v>91333</v>
      </c>
    </row>
    <row r="182" spans="1:53" x14ac:dyDescent="0.25">
      <c r="A182" s="1" t="s">
        <v>180</v>
      </c>
      <c r="B182" s="9" t="s">
        <v>1426</v>
      </c>
      <c r="C182" s="9" t="s">
        <v>1418</v>
      </c>
      <c r="D182" s="9" t="s">
        <v>1427</v>
      </c>
      <c r="E182" s="9" t="s">
        <v>1012</v>
      </c>
      <c r="F182" s="10">
        <v>44256</v>
      </c>
      <c r="G182" s="9" t="s">
        <v>1019</v>
      </c>
      <c r="I182" s="9" t="s">
        <v>1035</v>
      </c>
      <c r="J182" s="9" t="s">
        <v>1021</v>
      </c>
      <c r="K182" s="8" t="s">
        <v>1006</v>
      </c>
      <c r="L182" s="8" t="s">
        <v>1007</v>
      </c>
      <c r="M182" s="8" t="s">
        <v>2933</v>
      </c>
      <c r="N182" s="8" t="s">
        <v>2937</v>
      </c>
      <c r="O182" s="1" t="s">
        <v>2934</v>
      </c>
      <c r="P182">
        <v>30</v>
      </c>
      <c r="Q182">
        <v>30</v>
      </c>
      <c r="R182">
        <v>0</v>
      </c>
      <c r="S182">
        <f t="shared" si="26"/>
        <v>30</v>
      </c>
      <c r="T182" s="1" t="s">
        <v>2935</v>
      </c>
      <c r="U182" s="1" t="s">
        <v>2932</v>
      </c>
      <c r="V182" s="3">
        <f t="shared" si="27"/>
        <v>40000</v>
      </c>
      <c r="W182" s="3">
        <f t="shared" si="28"/>
        <v>16000</v>
      </c>
      <c r="X182" s="3">
        <f t="shared" si="20"/>
        <v>1250</v>
      </c>
      <c r="Y182" s="3">
        <f t="shared" si="21"/>
        <v>1600</v>
      </c>
      <c r="Z182" s="3">
        <f t="shared" si="22"/>
        <v>1800</v>
      </c>
      <c r="AA182" s="3">
        <v>0</v>
      </c>
      <c r="AB182" s="3">
        <f>ROUND(U182 - (V182+W182+X182+Y182) - (U182/Q182 * 2),0)</f>
        <v>34483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f>SUM(V182+W182+X182+Y182+AB182)</f>
        <v>93333</v>
      </c>
      <c r="AK182" s="3">
        <f>SUM(AJ182-AA182)</f>
        <v>93333</v>
      </c>
      <c r="AL182" s="3">
        <f>IF(V182&lt;=15000,V182*12%,1800)</f>
        <v>1800</v>
      </c>
      <c r="AM182" s="3">
        <v>0</v>
      </c>
      <c r="AN182" s="3">
        <f t="shared" si="23"/>
        <v>1800</v>
      </c>
      <c r="AO182" s="12">
        <v>200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3">
        <f t="shared" si="25"/>
        <v>200</v>
      </c>
      <c r="AV182" s="3">
        <f>SUM(AJ182 - AN182 - AU182)</f>
        <v>91333</v>
      </c>
      <c r="AW182" s="11">
        <v>0</v>
      </c>
      <c r="AX182" s="11">
        <v>0</v>
      </c>
      <c r="AY182" s="11">
        <v>0</v>
      </c>
      <c r="AZ182" s="11">
        <v>0</v>
      </c>
      <c r="BA182" s="3">
        <f t="shared" si="24"/>
        <v>91333</v>
      </c>
    </row>
    <row r="183" spans="1:53" x14ac:dyDescent="0.25">
      <c r="A183" s="1" t="s">
        <v>181</v>
      </c>
      <c r="B183" s="9" t="s">
        <v>1424</v>
      </c>
      <c r="C183" s="9" t="s">
        <v>1026</v>
      </c>
      <c r="D183" s="9" t="s">
        <v>1425</v>
      </c>
      <c r="E183" s="9" t="s">
        <v>1012</v>
      </c>
      <c r="F183" s="10">
        <v>44258</v>
      </c>
      <c r="G183" s="9" t="s">
        <v>1019</v>
      </c>
      <c r="I183" s="9" t="s">
        <v>1014</v>
      </c>
      <c r="J183" s="9" t="s">
        <v>1015</v>
      </c>
      <c r="K183" s="8" t="s">
        <v>1006</v>
      </c>
      <c r="L183" s="8" t="s">
        <v>1007</v>
      </c>
      <c r="M183" s="8" t="s">
        <v>2933</v>
      </c>
      <c r="N183" s="8" t="s">
        <v>2937</v>
      </c>
      <c r="O183" s="1" t="s">
        <v>2934</v>
      </c>
      <c r="P183">
        <v>30</v>
      </c>
      <c r="Q183">
        <v>30</v>
      </c>
      <c r="R183">
        <v>0</v>
      </c>
      <c r="S183">
        <f t="shared" si="26"/>
        <v>30</v>
      </c>
      <c r="T183" s="1" t="s">
        <v>2935</v>
      </c>
      <c r="U183" s="1" t="s">
        <v>2932</v>
      </c>
      <c r="V183" s="3">
        <f t="shared" si="27"/>
        <v>40000</v>
      </c>
      <c r="W183" s="3">
        <f t="shared" si="28"/>
        <v>16000</v>
      </c>
      <c r="X183" s="3">
        <f t="shared" si="20"/>
        <v>1250</v>
      </c>
      <c r="Y183" s="3">
        <f t="shared" si="21"/>
        <v>1600</v>
      </c>
      <c r="Z183" s="3">
        <f t="shared" si="22"/>
        <v>1800</v>
      </c>
      <c r="AA183" s="3">
        <v>0</v>
      </c>
      <c r="AB183" s="3">
        <f>ROUND(U183 - (V183+W183+X183+Y183) - (U183/Q183 * 2),0)</f>
        <v>34483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f>SUM(V183+W183+X183+Y183+AB183)</f>
        <v>93333</v>
      </c>
      <c r="AK183" s="3">
        <f>SUM(AJ183-AA183)</f>
        <v>93333</v>
      </c>
      <c r="AL183" s="3">
        <f>IF(V183&lt;=15000,V183*12%,1800)</f>
        <v>1800</v>
      </c>
      <c r="AM183" s="3">
        <v>0</v>
      </c>
      <c r="AN183" s="3">
        <f t="shared" si="23"/>
        <v>1800</v>
      </c>
      <c r="AO183" s="12">
        <v>200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3">
        <f t="shared" si="25"/>
        <v>200</v>
      </c>
      <c r="AV183" s="3">
        <f>SUM(AJ183 - AN183 - AU183)</f>
        <v>91333</v>
      </c>
      <c r="AW183" s="11">
        <v>0</v>
      </c>
      <c r="AX183" s="11">
        <v>0</v>
      </c>
      <c r="AY183" s="11">
        <v>0</v>
      </c>
      <c r="AZ183" s="11">
        <v>0</v>
      </c>
      <c r="BA183" s="3">
        <f t="shared" si="24"/>
        <v>91333</v>
      </c>
    </row>
    <row r="184" spans="1:53" x14ac:dyDescent="0.25">
      <c r="A184" s="1" t="s">
        <v>182</v>
      </c>
      <c r="B184" s="9" t="s">
        <v>1152</v>
      </c>
      <c r="C184" s="9" t="s">
        <v>1075</v>
      </c>
      <c r="D184" s="9" t="s">
        <v>1423</v>
      </c>
      <c r="E184" s="9" t="s">
        <v>1012</v>
      </c>
      <c r="F184" s="10">
        <v>44258</v>
      </c>
      <c r="G184" s="9" t="s">
        <v>1019</v>
      </c>
      <c r="I184" s="9" t="s">
        <v>1014</v>
      </c>
      <c r="J184" s="9" t="s">
        <v>1015</v>
      </c>
      <c r="K184" s="8" t="s">
        <v>1006</v>
      </c>
      <c r="L184" s="8" t="s">
        <v>1007</v>
      </c>
      <c r="M184" s="8" t="s">
        <v>2933</v>
      </c>
      <c r="N184" s="8" t="s">
        <v>2937</v>
      </c>
      <c r="O184" s="1" t="s">
        <v>2934</v>
      </c>
      <c r="P184">
        <v>30</v>
      </c>
      <c r="Q184">
        <v>30</v>
      </c>
      <c r="R184">
        <v>0</v>
      </c>
      <c r="S184">
        <f t="shared" si="26"/>
        <v>30</v>
      </c>
      <c r="T184" s="1" t="s">
        <v>2935</v>
      </c>
      <c r="U184" s="1" t="s">
        <v>2932</v>
      </c>
      <c r="V184" s="3">
        <f t="shared" si="27"/>
        <v>40000</v>
      </c>
      <c r="W184" s="3">
        <f t="shared" si="28"/>
        <v>16000</v>
      </c>
      <c r="X184" s="3">
        <f t="shared" si="20"/>
        <v>1250</v>
      </c>
      <c r="Y184" s="3">
        <f t="shared" si="21"/>
        <v>1600</v>
      </c>
      <c r="Z184" s="3">
        <f t="shared" si="22"/>
        <v>1800</v>
      </c>
      <c r="AA184" s="3">
        <v>0</v>
      </c>
      <c r="AB184" s="3">
        <f>ROUND(U184 - (V184+W184+X184+Y184) - (U184/Q184 * 2),0)</f>
        <v>34483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f>SUM(V184+W184+X184+Y184+AB184)</f>
        <v>93333</v>
      </c>
      <c r="AK184" s="3">
        <f>SUM(AJ184-AA184)</f>
        <v>93333</v>
      </c>
      <c r="AL184" s="3">
        <f>IF(V184&lt;=15000,V184*12%,1800)</f>
        <v>1800</v>
      </c>
      <c r="AM184" s="3">
        <v>0</v>
      </c>
      <c r="AN184" s="3">
        <f t="shared" si="23"/>
        <v>1800</v>
      </c>
      <c r="AO184" s="12">
        <v>200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3">
        <f t="shared" si="25"/>
        <v>200</v>
      </c>
      <c r="AV184" s="3">
        <f>SUM(AJ184 - AN184 - AU184)</f>
        <v>91333</v>
      </c>
      <c r="AW184" s="11">
        <v>0</v>
      </c>
      <c r="AX184" s="11">
        <v>0</v>
      </c>
      <c r="AY184" s="11">
        <v>0</v>
      </c>
      <c r="AZ184" s="11">
        <v>0</v>
      </c>
      <c r="BA184" s="3">
        <f t="shared" si="24"/>
        <v>91333</v>
      </c>
    </row>
    <row r="185" spans="1:53" x14ac:dyDescent="0.25">
      <c r="A185" s="1" t="s">
        <v>183</v>
      </c>
      <c r="B185" s="9" t="s">
        <v>1422</v>
      </c>
      <c r="C185" s="9" t="s">
        <v>1017</v>
      </c>
      <c r="D185" s="9">
        <v>0</v>
      </c>
      <c r="E185" s="9" t="s">
        <v>1012</v>
      </c>
      <c r="F185" s="10">
        <v>44258</v>
      </c>
      <c r="G185" s="9" t="s">
        <v>1019</v>
      </c>
      <c r="I185" s="9" t="s">
        <v>1014</v>
      </c>
      <c r="J185" s="9" t="s">
        <v>1021</v>
      </c>
      <c r="K185" s="8" t="s">
        <v>1006</v>
      </c>
      <c r="L185" s="8" t="s">
        <v>1007</v>
      </c>
      <c r="M185" s="8" t="s">
        <v>2933</v>
      </c>
      <c r="N185" s="8" t="s">
        <v>2937</v>
      </c>
      <c r="O185" s="1" t="s">
        <v>2934</v>
      </c>
      <c r="P185">
        <v>30</v>
      </c>
      <c r="Q185">
        <v>30</v>
      </c>
      <c r="R185">
        <v>0</v>
      </c>
      <c r="S185">
        <f t="shared" si="26"/>
        <v>30</v>
      </c>
      <c r="T185" s="1" t="s">
        <v>2935</v>
      </c>
      <c r="U185" s="1" t="s">
        <v>2932</v>
      </c>
      <c r="V185" s="3">
        <f t="shared" si="27"/>
        <v>40000</v>
      </c>
      <c r="W185" s="3">
        <f t="shared" si="28"/>
        <v>16000</v>
      </c>
      <c r="X185" s="3">
        <f t="shared" si="20"/>
        <v>1250</v>
      </c>
      <c r="Y185" s="3">
        <f t="shared" si="21"/>
        <v>1600</v>
      </c>
      <c r="Z185" s="3">
        <f t="shared" si="22"/>
        <v>1800</v>
      </c>
      <c r="AA185" s="3">
        <v>0</v>
      </c>
      <c r="AB185" s="3">
        <f>ROUND(U185 - (V185+W185+X185+Y185) - (U185/Q185 * 2),0)</f>
        <v>34483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f>SUM(V185+W185+X185+Y185+AB185)</f>
        <v>93333</v>
      </c>
      <c r="AK185" s="3">
        <f>SUM(AJ185-AA185)</f>
        <v>93333</v>
      </c>
      <c r="AL185" s="3">
        <f>IF(V185&lt;=15000,V185*12%,1800)</f>
        <v>1800</v>
      </c>
      <c r="AM185" s="3">
        <v>0</v>
      </c>
      <c r="AN185" s="3">
        <f t="shared" si="23"/>
        <v>1800</v>
      </c>
      <c r="AO185" s="12">
        <v>200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3">
        <f t="shared" si="25"/>
        <v>200</v>
      </c>
      <c r="AV185" s="3">
        <f>SUM(AJ185 - AN185 - AU185)</f>
        <v>91333</v>
      </c>
      <c r="AW185" s="11">
        <v>0</v>
      </c>
      <c r="AX185" s="11">
        <v>0</v>
      </c>
      <c r="AY185" s="11">
        <v>0</v>
      </c>
      <c r="AZ185" s="11">
        <v>0</v>
      </c>
      <c r="BA185" s="3">
        <f t="shared" si="24"/>
        <v>91333</v>
      </c>
    </row>
    <row r="186" spans="1:53" x14ac:dyDescent="0.25">
      <c r="A186" s="1" t="s">
        <v>184</v>
      </c>
      <c r="B186" s="9" t="s">
        <v>1420</v>
      </c>
      <c r="C186" s="9" t="s">
        <v>1216</v>
      </c>
      <c r="D186" s="9" t="s">
        <v>1421</v>
      </c>
      <c r="E186" s="9" t="s">
        <v>1012</v>
      </c>
      <c r="F186" s="10">
        <v>44258</v>
      </c>
      <c r="G186" s="9" t="s">
        <v>1019</v>
      </c>
      <c r="I186" s="9" t="s">
        <v>1014</v>
      </c>
      <c r="J186" s="9" t="s">
        <v>1021</v>
      </c>
      <c r="K186" s="8" t="s">
        <v>1006</v>
      </c>
      <c r="L186" s="8" t="s">
        <v>1007</v>
      </c>
      <c r="M186" s="8" t="s">
        <v>2933</v>
      </c>
      <c r="N186" s="8" t="s">
        <v>2937</v>
      </c>
      <c r="O186" s="1" t="s">
        <v>2934</v>
      </c>
      <c r="P186">
        <v>30</v>
      </c>
      <c r="Q186">
        <v>30</v>
      </c>
      <c r="R186">
        <v>0</v>
      </c>
      <c r="S186">
        <f t="shared" si="26"/>
        <v>30</v>
      </c>
      <c r="T186" s="1" t="s">
        <v>2935</v>
      </c>
      <c r="U186" s="1" t="s">
        <v>2932</v>
      </c>
      <c r="V186" s="3">
        <f t="shared" si="27"/>
        <v>40000</v>
      </c>
      <c r="W186" s="3">
        <f t="shared" si="28"/>
        <v>16000</v>
      </c>
      <c r="X186" s="3">
        <f t="shared" si="20"/>
        <v>1250</v>
      </c>
      <c r="Y186" s="3">
        <f t="shared" si="21"/>
        <v>1600</v>
      </c>
      <c r="Z186" s="3">
        <f t="shared" si="22"/>
        <v>1800</v>
      </c>
      <c r="AA186" s="3">
        <v>0</v>
      </c>
      <c r="AB186" s="3">
        <f>ROUND(U186 - (V186+W186+X186+Y186) - (U186/Q186 * 2),0)</f>
        <v>34483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f>SUM(V186+W186+X186+Y186+AB186)</f>
        <v>93333</v>
      </c>
      <c r="AK186" s="3">
        <f>SUM(AJ186-AA186)</f>
        <v>93333</v>
      </c>
      <c r="AL186" s="3">
        <f>IF(V186&lt;=15000,V186*12%,1800)</f>
        <v>1800</v>
      </c>
      <c r="AM186" s="3">
        <v>0</v>
      </c>
      <c r="AN186" s="3">
        <f t="shared" si="23"/>
        <v>1800</v>
      </c>
      <c r="AO186" s="12">
        <v>200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3">
        <f t="shared" si="25"/>
        <v>200</v>
      </c>
      <c r="AV186" s="3">
        <f>SUM(AJ186 - AN186 - AU186)</f>
        <v>91333</v>
      </c>
      <c r="AW186" s="11">
        <v>0</v>
      </c>
      <c r="AX186" s="11">
        <v>0</v>
      </c>
      <c r="AY186" s="11">
        <v>0</v>
      </c>
      <c r="AZ186" s="11">
        <v>0</v>
      </c>
      <c r="BA186" s="3">
        <f t="shared" si="24"/>
        <v>91333</v>
      </c>
    </row>
    <row r="187" spans="1:53" x14ac:dyDescent="0.25">
      <c r="A187" s="1" t="s">
        <v>185</v>
      </c>
      <c r="B187" s="9" t="s">
        <v>1417</v>
      </c>
      <c r="C187" s="9" t="s">
        <v>1418</v>
      </c>
      <c r="D187" s="9" t="s">
        <v>1419</v>
      </c>
      <c r="E187" s="9" t="s">
        <v>1012</v>
      </c>
      <c r="F187" s="10">
        <v>44308</v>
      </c>
      <c r="G187" s="9" t="s">
        <v>1013</v>
      </c>
      <c r="I187" s="9" t="s">
        <v>1014</v>
      </c>
      <c r="J187" s="9" t="s">
        <v>1021</v>
      </c>
      <c r="K187" s="8" t="s">
        <v>1006</v>
      </c>
      <c r="L187" s="8" t="s">
        <v>1007</v>
      </c>
      <c r="M187" s="8" t="s">
        <v>2933</v>
      </c>
      <c r="N187" s="8" t="s">
        <v>2937</v>
      </c>
      <c r="O187" s="1" t="s">
        <v>2934</v>
      </c>
      <c r="P187">
        <v>30</v>
      </c>
      <c r="Q187">
        <v>30</v>
      </c>
      <c r="R187">
        <v>0</v>
      </c>
      <c r="S187">
        <f t="shared" si="26"/>
        <v>30</v>
      </c>
      <c r="T187" s="1" t="s">
        <v>2935</v>
      </c>
      <c r="U187" s="1" t="s">
        <v>2932</v>
      </c>
      <c r="V187" s="3">
        <f t="shared" si="27"/>
        <v>40000</v>
      </c>
      <c r="W187" s="3">
        <f t="shared" si="28"/>
        <v>16000</v>
      </c>
      <c r="X187" s="3">
        <f t="shared" si="20"/>
        <v>1250</v>
      </c>
      <c r="Y187" s="3">
        <f t="shared" si="21"/>
        <v>1600</v>
      </c>
      <c r="Z187" s="3">
        <f t="shared" si="22"/>
        <v>1800</v>
      </c>
      <c r="AA187" s="3">
        <v>0</v>
      </c>
      <c r="AB187" s="3">
        <f>ROUND(U187 - (V187+W187+X187+Y187) - (U187/Q187 * 2),0)</f>
        <v>34483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f>SUM(V187+W187+X187+Y187+AB187)</f>
        <v>93333</v>
      </c>
      <c r="AK187" s="3">
        <f>SUM(AJ187-AA187)</f>
        <v>93333</v>
      </c>
      <c r="AL187" s="3">
        <f>IF(V187&lt;=15000,V187*12%,1800)</f>
        <v>1800</v>
      </c>
      <c r="AM187" s="3">
        <v>0</v>
      </c>
      <c r="AN187" s="3">
        <f t="shared" si="23"/>
        <v>1800</v>
      </c>
      <c r="AO187" s="12">
        <v>200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3">
        <f t="shared" si="25"/>
        <v>200</v>
      </c>
      <c r="AV187" s="3">
        <f>SUM(AJ187 - AN187 - AU187)</f>
        <v>91333</v>
      </c>
      <c r="AW187" s="11">
        <v>0</v>
      </c>
      <c r="AX187" s="11">
        <v>0</v>
      </c>
      <c r="AY187" s="11">
        <v>0</v>
      </c>
      <c r="AZ187" s="11">
        <v>0</v>
      </c>
      <c r="BA187" s="3">
        <f t="shared" si="24"/>
        <v>91333</v>
      </c>
    </row>
    <row r="188" spans="1:53" x14ac:dyDescent="0.25">
      <c r="A188" s="1" t="s">
        <v>186</v>
      </c>
      <c r="B188" s="9" t="s">
        <v>1415</v>
      </c>
      <c r="C188" s="9" t="s">
        <v>1262</v>
      </c>
      <c r="D188" s="9" t="s">
        <v>1416</v>
      </c>
      <c r="E188" s="9" t="s">
        <v>1008</v>
      </c>
      <c r="F188" s="10">
        <v>44256</v>
      </c>
      <c r="G188" s="9" t="s">
        <v>1019</v>
      </c>
      <c r="I188" s="9" t="s">
        <v>1014</v>
      </c>
      <c r="J188" s="9" t="s">
        <v>1264</v>
      </c>
      <c r="K188" s="8" t="s">
        <v>1006</v>
      </c>
      <c r="L188" s="8" t="s">
        <v>1007</v>
      </c>
      <c r="M188" s="8" t="s">
        <v>2933</v>
      </c>
      <c r="N188" s="8" t="s">
        <v>2937</v>
      </c>
      <c r="O188" s="1" t="s">
        <v>2934</v>
      </c>
      <c r="P188">
        <v>30</v>
      </c>
      <c r="Q188">
        <v>30</v>
      </c>
      <c r="R188">
        <v>0</v>
      </c>
      <c r="S188">
        <f t="shared" si="26"/>
        <v>30</v>
      </c>
      <c r="T188" s="1" t="s">
        <v>2935</v>
      </c>
      <c r="U188" s="1" t="s">
        <v>2932</v>
      </c>
      <c r="V188" s="3">
        <f t="shared" si="27"/>
        <v>40000</v>
      </c>
      <c r="W188" s="3">
        <f t="shared" si="28"/>
        <v>16000</v>
      </c>
      <c r="X188" s="3">
        <f t="shared" si="20"/>
        <v>1250</v>
      </c>
      <c r="Y188" s="3">
        <f t="shared" si="21"/>
        <v>1600</v>
      </c>
      <c r="Z188" s="3">
        <f t="shared" si="22"/>
        <v>1800</v>
      </c>
      <c r="AA188" s="3">
        <v>0</v>
      </c>
      <c r="AB188" s="3">
        <f>ROUND(U188 - (V188+W188+X188+Y188) - (U188/Q188 * 2),0)</f>
        <v>34483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f>SUM(V188+W188+X188+Y188+AB188)</f>
        <v>93333</v>
      </c>
      <c r="AK188" s="3">
        <f>SUM(AJ188-AA188)</f>
        <v>93333</v>
      </c>
      <c r="AL188" s="3">
        <f>IF(V188&lt;=15000,V188*12%,1800)</f>
        <v>1800</v>
      </c>
      <c r="AM188" s="3">
        <v>0</v>
      </c>
      <c r="AN188" s="3">
        <f t="shared" si="23"/>
        <v>1800</v>
      </c>
      <c r="AO188" s="12">
        <v>200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3">
        <f t="shared" si="25"/>
        <v>200</v>
      </c>
      <c r="AV188" s="3">
        <f>SUM(AJ188 - AN188 - AU188)</f>
        <v>91333</v>
      </c>
      <c r="AW188" s="11">
        <v>0</v>
      </c>
      <c r="AX188" s="11">
        <v>0</v>
      </c>
      <c r="AY188" s="11">
        <v>0</v>
      </c>
      <c r="AZ188" s="11">
        <v>0</v>
      </c>
      <c r="BA188" s="3">
        <f t="shared" si="24"/>
        <v>91333</v>
      </c>
    </row>
    <row r="189" spans="1:53" x14ac:dyDescent="0.25">
      <c r="A189" s="1" t="s">
        <v>187</v>
      </c>
      <c r="B189" s="9" t="s">
        <v>1413</v>
      </c>
      <c r="C189" s="9" t="s">
        <v>1242</v>
      </c>
      <c r="D189" s="9" t="s">
        <v>1414</v>
      </c>
      <c r="E189" s="9" t="s">
        <v>1012</v>
      </c>
      <c r="F189" s="10">
        <v>44270</v>
      </c>
      <c r="G189" s="9" t="s">
        <v>1013</v>
      </c>
      <c r="I189" s="9" t="s">
        <v>1014</v>
      </c>
      <c r="J189" s="9" t="s">
        <v>1015</v>
      </c>
      <c r="K189" s="8" t="s">
        <v>1006</v>
      </c>
      <c r="L189" s="8" t="s">
        <v>1007</v>
      </c>
      <c r="M189" s="8" t="s">
        <v>2933</v>
      </c>
      <c r="N189" s="8" t="s">
        <v>2937</v>
      </c>
      <c r="O189" s="1" t="s">
        <v>2934</v>
      </c>
      <c r="P189">
        <v>30</v>
      </c>
      <c r="Q189">
        <v>30</v>
      </c>
      <c r="R189">
        <v>0</v>
      </c>
      <c r="S189">
        <f t="shared" si="26"/>
        <v>30</v>
      </c>
      <c r="T189" s="1" t="s">
        <v>2935</v>
      </c>
      <c r="U189" s="1" t="s">
        <v>2932</v>
      </c>
      <c r="V189" s="3">
        <f t="shared" si="27"/>
        <v>40000</v>
      </c>
      <c r="W189" s="3">
        <f t="shared" si="28"/>
        <v>16000</v>
      </c>
      <c r="X189" s="3">
        <f t="shared" si="20"/>
        <v>1250</v>
      </c>
      <c r="Y189" s="3">
        <f t="shared" si="21"/>
        <v>1600</v>
      </c>
      <c r="Z189" s="3">
        <f t="shared" si="22"/>
        <v>1800</v>
      </c>
      <c r="AA189" s="3">
        <v>0</v>
      </c>
      <c r="AB189" s="3">
        <f>ROUND(U189 - (V189+W189+X189+Y189) - (U189/Q189 * 2),0)</f>
        <v>34483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f>SUM(V189+W189+X189+Y189+AB189)</f>
        <v>93333</v>
      </c>
      <c r="AK189" s="3">
        <f>SUM(AJ189-AA189)</f>
        <v>93333</v>
      </c>
      <c r="AL189" s="3">
        <f>IF(V189&lt;=15000,V189*12%,1800)</f>
        <v>1800</v>
      </c>
      <c r="AM189" s="3">
        <v>0</v>
      </c>
      <c r="AN189" s="3">
        <f t="shared" si="23"/>
        <v>1800</v>
      </c>
      <c r="AO189" s="12">
        <v>200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3">
        <f t="shared" si="25"/>
        <v>200</v>
      </c>
      <c r="AV189" s="3">
        <f>SUM(AJ189 - AN189 - AU189)</f>
        <v>91333</v>
      </c>
      <c r="AW189" s="11">
        <v>0</v>
      </c>
      <c r="AX189" s="11">
        <v>0</v>
      </c>
      <c r="AY189" s="11">
        <v>0</v>
      </c>
      <c r="AZ189" s="11">
        <v>0</v>
      </c>
      <c r="BA189" s="3">
        <f t="shared" si="24"/>
        <v>91333</v>
      </c>
    </row>
    <row r="190" spans="1:53" x14ac:dyDescent="0.25">
      <c r="A190" s="1" t="s">
        <v>188</v>
      </c>
      <c r="B190" s="9" t="s">
        <v>1411</v>
      </c>
      <c r="C190" s="9" t="s">
        <v>1242</v>
      </c>
      <c r="D190" s="9" t="s">
        <v>1412</v>
      </c>
      <c r="E190" s="9" t="s">
        <v>1012</v>
      </c>
      <c r="F190" s="10">
        <v>44277</v>
      </c>
      <c r="G190" s="9" t="s">
        <v>1019</v>
      </c>
      <c r="I190" s="9" t="s">
        <v>1014</v>
      </c>
      <c r="J190" s="9" t="s">
        <v>1015</v>
      </c>
      <c r="K190" s="8" t="s">
        <v>1006</v>
      </c>
      <c r="L190" s="8" t="s">
        <v>1007</v>
      </c>
      <c r="M190" s="8" t="s">
        <v>2933</v>
      </c>
      <c r="N190" s="8" t="s">
        <v>2937</v>
      </c>
      <c r="O190" s="1" t="s">
        <v>2934</v>
      </c>
      <c r="P190">
        <v>30</v>
      </c>
      <c r="Q190">
        <v>30</v>
      </c>
      <c r="R190">
        <v>0</v>
      </c>
      <c r="S190">
        <f t="shared" si="26"/>
        <v>30</v>
      </c>
      <c r="T190" s="1" t="s">
        <v>2935</v>
      </c>
      <c r="U190" s="1" t="s">
        <v>2932</v>
      </c>
      <c r="V190" s="3">
        <f t="shared" si="27"/>
        <v>40000</v>
      </c>
      <c r="W190" s="3">
        <f t="shared" si="28"/>
        <v>16000</v>
      </c>
      <c r="X190" s="3">
        <f t="shared" si="20"/>
        <v>1250</v>
      </c>
      <c r="Y190" s="3">
        <f t="shared" si="21"/>
        <v>1600</v>
      </c>
      <c r="Z190" s="3">
        <f t="shared" si="22"/>
        <v>1800</v>
      </c>
      <c r="AA190" s="3">
        <v>0</v>
      </c>
      <c r="AB190" s="3">
        <f>ROUND(U190 - (V190+W190+X190+Y190) - (U190/Q190 * 2),0)</f>
        <v>34483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f>SUM(V190+W190+X190+Y190+AB190)</f>
        <v>93333</v>
      </c>
      <c r="AK190" s="3">
        <f>SUM(AJ190-AA190)</f>
        <v>93333</v>
      </c>
      <c r="AL190" s="3">
        <f>IF(V190&lt;=15000,V190*12%,1800)</f>
        <v>1800</v>
      </c>
      <c r="AM190" s="3">
        <v>0</v>
      </c>
      <c r="AN190" s="3">
        <f t="shared" si="23"/>
        <v>1800</v>
      </c>
      <c r="AO190" s="12">
        <v>200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3">
        <f t="shared" si="25"/>
        <v>200</v>
      </c>
      <c r="AV190" s="3">
        <f>SUM(AJ190 - AN190 - AU190)</f>
        <v>91333</v>
      </c>
      <c r="AW190" s="11">
        <v>0</v>
      </c>
      <c r="AX190" s="11">
        <v>0</v>
      </c>
      <c r="AY190" s="11">
        <v>0</v>
      </c>
      <c r="AZ190" s="11">
        <v>0</v>
      </c>
      <c r="BA190" s="3">
        <f t="shared" si="24"/>
        <v>91333</v>
      </c>
    </row>
    <row r="191" spans="1:53" x14ac:dyDescent="0.25">
      <c r="A191" s="1" t="s">
        <v>189</v>
      </c>
      <c r="B191" s="9" t="s">
        <v>1433</v>
      </c>
      <c r="C191" s="9" t="s">
        <v>1242</v>
      </c>
      <c r="D191" s="9" t="s">
        <v>1476</v>
      </c>
      <c r="E191" s="9" t="s">
        <v>1012</v>
      </c>
      <c r="F191" s="10">
        <v>44277</v>
      </c>
      <c r="G191" s="9" t="s">
        <v>1019</v>
      </c>
      <c r="I191" s="9" t="s">
        <v>1014</v>
      </c>
      <c r="J191" s="9" t="s">
        <v>1015</v>
      </c>
      <c r="K191" s="8" t="s">
        <v>1006</v>
      </c>
      <c r="L191" s="8" t="s">
        <v>1007</v>
      </c>
      <c r="M191" s="8" t="s">
        <v>2933</v>
      </c>
      <c r="N191" s="8" t="s">
        <v>2937</v>
      </c>
      <c r="O191" s="1" t="s">
        <v>2934</v>
      </c>
      <c r="P191">
        <v>30</v>
      </c>
      <c r="Q191">
        <v>30</v>
      </c>
      <c r="R191">
        <v>0</v>
      </c>
      <c r="S191">
        <f t="shared" si="26"/>
        <v>30</v>
      </c>
      <c r="T191" s="1" t="s">
        <v>2935</v>
      </c>
      <c r="U191" s="1" t="s">
        <v>2932</v>
      </c>
      <c r="V191" s="3">
        <f t="shared" si="27"/>
        <v>40000</v>
      </c>
      <c r="W191" s="3">
        <f t="shared" si="28"/>
        <v>16000</v>
      </c>
      <c r="X191" s="3">
        <f t="shared" si="20"/>
        <v>1250</v>
      </c>
      <c r="Y191" s="3">
        <f t="shared" si="21"/>
        <v>1600</v>
      </c>
      <c r="Z191" s="3">
        <f t="shared" si="22"/>
        <v>1800</v>
      </c>
      <c r="AA191" s="3">
        <v>0</v>
      </c>
      <c r="AB191" s="3">
        <f>ROUND(U191 - (V191+W191+X191+Y191) - (U191/Q191 * 2),0)</f>
        <v>34483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f>SUM(V191+W191+X191+Y191+AB191)</f>
        <v>93333</v>
      </c>
      <c r="AK191" s="3">
        <f>SUM(AJ191-AA191)</f>
        <v>93333</v>
      </c>
      <c r="AL191" s="3">
        <f>IF(V191&lt;=15000,V191*12%,1800)</f>
        <v>1800</v>
      </c>
      <c r="AM191" s="3">
        <v>0</v>
      </c>
      <c r="AN191" s="3">
        <f t="shared" si="23"/>
        <v>1800</v>
      </c>
      <c r="AO191" s="12">
        <v>200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3">
        <f t="shared" si="25"/>
        <v>200</v>
      </c>
      <c r="AV191" s="3">
        <f>SUM(AJ191 - AN191 - AU191)</f>
        <v>91333</v>
      </c>
      <c r="AW191" s="11">
        <v>0</v>
      </c>
      <c r="AX191" s="11">
        <v>0</v>
      </c>
      <c r="AY191" s="11">
        <v>0</v>
      </c>
      <c r="AZ191" s="11">
        <v>0</v>
      </c>
      <c r="BA191" s="3">
        <f t="shared" si="24"/>
        <v>91333</v>
      </c>
    </row>
    <row r="192" spans="1:53" x14ac:dyDescent="0.25">
      <c r="A192" s="1" t="s">
        <v>190</v>
      </c>
      <c r="B192" s="9" t="s">
        <v>1474</v>
      </c>
      <c r="C192" s="9" t="s">
        <v>1063</v>
      </c>
      <c r="D192" s="9" t="s">
        <v>1475</v>
      </c>
      <c r="E192" s="9" t="s">
        <v>1012</v>
      </c>
      <c r="F192" s="10">
        <v>44279</v>
      </c>
      <c r="G192" s="9" t="s">
        <v>1019</v>
      </c>
      <c r="I192" s="9" t="s">
        <v>1014</v>
      </c>
      <c r="J192" s="9" t="s">
        <v>1015</v>
      </c>
      <c r="K192" s="8" t="s">
        <v>1006</v>
      </c>
      <c r="L192" s="8" t="s">
        <v>1007</v>
      </c>
      <c r="M192" s="8" t="s">
        <v>2933</v>
      </c>
      <c r="N192" s="8" t="s">
        <v>2937</v>
      </c>
      <c r="O192" s="1" t="s">
        <v>2934</v>
      </c>
      <c r="P192">
        <v>30</v>
      </c>
      <c r="Q192">
        <v>30</v>
      </c>
      <c r="R192">
        <v>0</v>
      </c>
      <c r="S192">
        <f t="shared" si="26"/>
        <v>30</v>
      </c>
      <c r="T192" s="1" t="s">
        <v>2935</v>
      </c>
      <c r="U192" s="1" t="s">
        <v>2932</v>
      </c>
      <c r="V192" s="3">
        <f t="shared" si="27"/>
        <v>40000</v>
      </c>
      <c r="W192" s="3">
        <f t="shared" si="28"/>
        <v>16000</v>
      </c>
      <c r="X192" s="3">
        <f t="shared" si="20"/>
        <v>1250</v>
      </c>
      <c r="Y192" s="3">
        <f t="shared" si="21"/>
        <v>1600</v>
      </c>
      <c r="Z192" s="3">
        <f t="shared" si="22"/>
        <v>1800</v>
      </c>
      <c r="AA192" s="3">
        <v>0</v>
      </c>
      <c r="AB192" s="3">
        <f>ROUND(U192 - (V192+W192+X192+Y192) - (U192/Q192 * 2),0)</f>
        <v>34483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f>SUM(V192+W192+X192+Y192+AB192)</f>
        <v>93333</v>
      </c>
      <c r="AK192" s="3">
        <f>SUM(AJ192-AA192)</f>
        <v>93333</v>
      </c>
      <c r="AL192" s="3">
        <f>IF(V192&lt;=15000,V192*12%,1800)</f>
        <v>1800</v>
      </c>
      <c r="AM192" s="3">
        <v>0</v>
      </c>
      <c r="AN192" s="3">
        <f t="shared" si="23"/>
        <v>1800</v>
      </c>
      <c r="AO192" s="12">
        <v>200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3">
        <f t="shared" si="25"/>
        <v>200</v>
      </c>
      <c r="AV192" s="3">
        <f>SUM(AJ192 - AN192 - AU192)</f>
        <v>91333</v>
      </c>
      <c r="AW192" s="11">
        <v>0</v>
      </c>
      <c r="AX192" s="11">
        <v>0</v>
      </c>
      <c r="AY192" s="11">
        <v>0</v>
      </c>
      <c r="AZ192" s="11">
        <v>0</v>
      </c>
      <c r="BA192" s="3">
        <f t="shared" si="24"/>
        <v>91333</v>
      </c>
    </row>
    <row r="193" spans="1:53" x14ac:dyDescent="0.25">
      <c r="A193" s="1" t="s">
        <v>191</v>
      </c>
      <c r="B193" s="9" t="s">
        <v>1472</v>
      </c>
      <c r="C193" s="9" t="s">
        <v>1026</v>
      </c>
      <c r="D193" s="9" t="s">
        <v>1473</v>
      </c>
      <c r="E193" s="9" t="s">
        <v>1012</v>
      </c>
      <c r="F193" s="10">
        <v>44279</v>
      </c>
      <c r="G193" s="9" t="s">
        <v>1013</v>
      </c>
      <c r="I193" s="9" t="s">
        <v>1014</v>
      </c>
      <c r="J193" s="9" t="s">
        <v>1015</v>
      </c>
      <c r="K193" s="8" t="s">
        <v>1006</v>
      </c>
      <c r="L193" s="8" t="s">
        <v>1007</v>
      </c>
      <c r="M193" s="8" t="s">
        <v>2933</v>
      </c>
      <c r="N193" s="8" t="s">
        <v>2937</v>
      </c>
      <c r="O193" s="1" t="s">
        <v>2934</v>
      </c>
      <c r="P193">
        <v>30</v>
      </c>
      <c r="Q193">
        <v>30</v>
      </c>
      <c r="R193">
        <v>0</v>
      </c>
      <c r="S193">
        <f t="shared" si="26"/>
        <v>30</v>
      </c>
      <c r="T193" s="1" t="s">
        <v>2935</v>
      </c>
      <c r="U193" s="1" t="s">
        <v>2932</v>
      </c>
      <c r="V193" s="3">
        <f t="shared" si="27"/>
        <v>40000</v>
      </c>
      <c r="W193" s="3">
        <f t="shared" si="28"/>
        <v>16000</v>
      </c>
      <c r="X193" s="3">
        <f t="shared" si="20"/>
        <v>1250</v>
      </c>
      <c r="Y193" s="3">
        <f t="shared" si="21"/>
        <v>1600</v>
      </c>
      <c r="Z193" s="3">
        <f t="shared" si="22"/>
        <v>1800</v>
      </c>
      <c r="AA193" s="3">
        <v>0</v>
      </c>
      <c r="AB193" s="3">
        <f>ROUND(U193 - (V193+W193+X193+Y193) - (U193/Q193 * 2),0)</f>
        <v>34483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f>SUM(V193+W193+X193+Y193+AB193)</f>
        <v>93333</v>
      </c>
      <c r="AK193" s="3">
        <f>SUM(AJ193-AA193)</f>
        <v>93333</v>
      </c>
      <c r="AL193" s="3">
        <f>IF(V193&lt;=15000,V193*12%,1800)</f>
        <v>1800</v>
      </c>
      <c r="AM193" s="3">
        <v>0</v>
      </c>
      <c r="AN193" s="3">
        <f t="shared" si="23"/>
        <v>1800</v>
      </c>
      <c r="AO193" s="12">
        <v>200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3">
        <f t="shared" si="25"/>
        <v>200</v>
      </c>
      <c r="AV193" s="3">
        <f>SUM(AJ193 - AN193 - AU193)</f>
        <v>91333</v>
      </c>
      <c r="AW193" s="11">
        <v>0</v>
      </c>
      <c r="AX193" s="11">
        <v>0</v>
      </c>
      <c r="AY193" s="11">
        <v>0</v>
      </c>
      <c r="AZ193" s="11">
        <v>0</v>
      </c>
      <c r="BA193" s="3">
        <f t="shared" si="24"/>
        <v>91333</v>
      </c>
    </row>
    <row r="194" spans="1:53" x14ac:dyDescent="0.25">
      <c r="A194" s="1" t="s">
        <v>192</v>
      </c>
      <c r="B194" s="9" t="s">
        <v>1181</v>
      </c>
      <c r="C194" s="9" t="s">
        <v>1431</v>
      </c>
      <c r="D194" s="9" t="s">
        <v>1471</v>
      </c>
      <c r="E194" s="9" t="s">
        <v>1012</v>
      </c>
      <c r="F194" s="10">
        <v>44258</v>
      </c>
      <c r="G194" s="9" t="s">
        <v>1013</v>
      </c>
      <c r="I194" s="9" t="s">
        <v>1014</v>
      </c>
      <c r="J194" s="9" t="s">
        <v>1015</v>
      </c>
      <c r="K194" s="8" t="s">
        <v>1006</v>
      </c>
      <c r="L194" s="8" t="s">
        <v>1007</v>
      </c>
      <c r="M194" s="8" t="s">
        <v>2933</v>
      </c>
      <c r="N194" s="8" t="s">
        <v>2937</v>
      </c>
      <c r="O194" s="1" t="s">
        <v>2934</v>
      </c>
      <c r="P194">
        <v>30</v>
      </c>
      <c r="Q194">
        <v>30</v>
      </c>
      <c r="R194">
        <v>0</v>
      </c>
      <c r="S194">
        <f t="shared" si="26"/>
        <v>30</v>
      </c>
      <c r="T194" s="1" t="s">
        <v>2935</v>
      </c>
      <c r="U194" s="1" t="s">
        <v>2932</v>
      </c>
      <c r="V194" s="3">
        <f t="shared" si="27"/>
        <v>40000</v>
      </c>
      <c r="W194" s="3">
        <f t="shared" si="28"/>
        <v>16000</v>
      </c>
      <c r="X194" s="3">
        <f t="shared" si="20"/>
        <v>1250</v>
      </c>
      <c r="Y194" s="3">
        <f t="shared" si="21"/>
        <v>1600</v>
      </c>
      <c r="Z194" s="3">
        <f t="shared" si="22"/>
        <v>1800</v>
      </c>
      <c r="AA194" s="3">
        <v>0</v>
      </c>
      <c r="AB194" s="3">
        <f>ROUND(U194 - (V194+W194+X194+Y194) - (U194/Q194 * 2),0)</f>
        <v>34483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f>SUM(V194+W194+X194+Y194+AB194)</f>
        <v>93333</v>
      </c>
      <c r="AK194" s="3">
        <f>SUM(AJ194-AA194)</f>
        <v>93333</v>
      </c>
      <c r="AL194" s="3">
        <f>IF(V194&lt;=15000,V194*12%,1800)</f>
        <v>1800</v>
      </c>
      <c r="AM194" s="3">
        <v>0</v>
      </c>
      <c r="AN194" s="3">
        <f t="shared" si="23"/>
        <v>1800</v>
      </c>
      <c r="AO194" s="12">
        <v>200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3">
        <f t="shared" si="25"/>
        <v>200</v>
      </c>
      <c r="AV194" s="3">
        <f>SUM(AJ194 - AN194 - AU194)</f>
        <v>91333</v>
      </c>
      <c r="AW194" s="11">
        <v>0</v>
      </c>
      <c r="AX194" s="11">
        <v>0</v>
      </c>
      <c r="AY194" s="11">
        <v>0</v>
      </c>
      <c r="AZ194" s="11">
        <v>0</v>
      </c>
      <c r="BA194" s="3">
        <f t="shared" si="24"/>
        <v>91333</v>
      </c>
    </row>
    <row r="195" spans="1:53" x14ac:dyDescent="0.25">
      <c r="A195" s="1" t="s">
        <v>193</v>
      </c>
      <c r="B195" s="9" t="s">
        <v>1469</v>
      </c>
      <c r="C195" s="9" t="s">
        <v>1063</v>
      </c>
      <c r="D195" s="9" t="s">
        <v>1470</v>
      </c>
      <c r="E195" s="9" t="s">
        <v>1008</v>
      </c>
      <c r="F195" s="10">
        <v>45119</v>
      </c>
      <c r="G195" s="9" t="s">
        <v>1013</v>
      </c>
      <c r="I195" s="9" t="s">
        <v>1014</v>
      </c>
      <c r="J195" s="9" t="s">
        <v>1015</v>
      </c>
      <c r="K195" s="8" t="s">
        <v>1006</v>
      </c>
      <c r="L195" s="8" t="s">
        <v>1007</v>
      </c>
      <c r="M195" s="8" t="s">
        <v>2933</v>
      </c>
      <c r="N195" s="8" t="s">
        <v>2937</v>
      </c>
      <c r="O195" s="1" t="s">
        <v>2934</v>
      </c>
      <c r="P195">
        <v>30</v>
      </c>
      <c r="Q195">
        <v>30</v>
      </c>
      <c r="R195">
        <v>0</v>
      </c>
      <c r="S195">
        <f t="shared" si="26"/>
        <v>30</v>
      </c>
      <c r="T195" s="1" t="s">
        <v>2935</v>
      </c>
      <c r="U195" s="1" t="s">
        <v>2932</v>
      </c>
      <c r="V195" s="3">
        <f t="shared" si="27"/>
        <v>40000</v>
      </c>
      <c r="W195" s="3">
        <f t="shared" si="28"/>
        <v>16000</v>
      </c>
      <c r="X195" s="3">
        <f t="shared" ref="X195:X258" si="29">ROUND(1250 - ((1250/Q195)*R195),0)</f>
        <v>1250</v>
      </c>
      <c r="Y195" s="3">
        <f t="shared" ref="Y195:Y258" si="30">ROUND(1600 - (1600/Q195) *R195,0)</f>
        <v>1600</v>
      </c>
      <c r="Z195" s="3">
        <f t="shared" ref="Z195:Z258" si="31">IF(V195&lt;=15000,V195*12%,1800)</f>
        <v>1800</v>
      </c>
      <c r="AA195" s="3">
        <v>0</v>
      </c>
      <c r="AB195" s="3">
        <f>ROUND(U195 - (V195+W195+X195+Y195) - (U195/Q195 * 2),0)</f>
        <v>34483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f>SUM(V195+W195+X195+Y195+AB195)</f>
        <v>93333</v>
      </c>
      <c r="AK195" s="3">
        <f>SUM(AJ195-AA195)</f>
        <v>93333</v>
      </c>
      <c r="AL195" s="3">
        <f>IF(V195&lt;=15000,V195*12%,1800)</f>
        <v>1800</v>
      </c>
      <c r="AM195" s="3">
        <v>0</v>
      </c>
      <c r="AN195" s="3">
        <f t="shared" ref="AN195:AN258" si="32">SUM(AL195+AM195)</f>
        <v>1800</v>
      </c>
      <c r="AO195" s="12">
        <v>200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3">
        <f t="shared" si="25"/>
        <v>200</v>
      </c>
      <c r="AV195" s="3">
        <f>SUM(AJ195 - AN195 - AU195)</f>
        <v>91333</v>
      </c>
      <c r="AW195" s="11">
        <v>0</v>
      </c>
      <c r="AX195" s="11">
        <v>0</v>
      </c>
      <c r="AY195" s="11">
        <v>0</v>
      </c>
      <c r="AZ195" s="11">
        <v>0</v>
      </c>
      <c r="BA195" s="3">
        <f t="shared" ref="BA195:BA258" si="33">AV195+AW195+AX195+AZ195</f>
        <v>91333</v>
      </c>
    </row>
    <row r="196" spans="1:53" x14ac:dyDescent="0.25">
      <c r="A196" s="1" t="s">
        <v>194</v>
      </c>
      <c r="B196" s="9" t="s">
        <v>1466</v>
      </c>
      <c r="C196" s="9" t="s">
        <v>1467</v>
      </c>
      <c r="D196" s="9" t="s">
        <v>1468</v>
      </c>
      <c r="E196" s="9" t="s">
        <v>1008</v>
      </c>
      <c r="F196" s="10">
        <v>45579</v>
      </c>
      <c r="G196" s="9" t="s">
        <v>1013</v>
      </c>
      <c r="I196" s="9" t="s">
        <v>1020</v>
      </c>
      <c r="J196" s="9" t="s">
        <v>1021</v>
      </c>
      <c r="K196" s="8" t="s">
        <v>1006</v>
      </c>
      <c r="L196" s="8" t="s">
        <v>1007</v>
      </c>
      <c r="M196" s="8" t="s">
        <v>2933</v>
      </c>
      <c r="N196" s="8" t="s">
        <v>2937</v>
      </c>
      <c r="O196" s="1" t="s">
        <v>2934</v>
      </c>
      <c r="P196">
        <v>30</v>
      </c>
      <c r="Q196">
        <v>30</v>
      </c>
      <c r="R196">
        <v>0</v>
      </c>
      <c r="S196">
        <f t="shared" si="26"/>
        <v>30</v>
      </c>
      <c r="T196" s="1" t="s">
        <v>2935</v>
      </c>
      <c r="U196" s="1" t="s">
        <v>2932</v>
      </c>
      <c r="V196" s="3">
        <f t="shared" si="27"/>
        <v>40000</v>
      </c>
      <c r="W196" s="3">
        <f t="shared" si="28"/>
        <v>16000</v>
      </c>
      <c r="X196" s="3">
        <f t="shared" si="29"/>
        <v>1250</v>
      </c>
      <c r="Y196" s="3">
        <f t="shared" si="30"/>
        <v>1600</v>
      </c>
      <c r="Z196" s="3">
        <f t="shared" si="31"/>
        <v>1800</v>
      </c>
      <c r="AA196" s="3">
        <v>0</v>
      </c>
      <c r="AB196" s="3">
        <f>ROUND(U196 - (V196+W196+X196+Y196) - (U196/Q196 * 2),0)</f>
        <v>34483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f>SUM(V196+W196+X196+Y196+AB196)</f>
        <v>93333</v>
      </c>
      <c r="AK196" s="3">
        <f>SUM(AJ196-AA196)</f>
        <v>93333</v>
      </c>
      <c r="AL196" s="3">
        <f>IF(V196&lt;=15000,V196*12%,1800)</f>
        <v>1800</v>
      </c>
      <c r="AM196" s="3">
        <v>0</v>
      </c>
      <c r="AN196" s="3">
        <f t="shared" si="32"/>
        <v>1800</v>
      </c>
      <c r="AO196" s="12">
        <v>200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3">
        <f t="shared" ref="AU196:AU259" si="34">SUM(AO196:AT196)</f>
        <v>200</v>
      </c>
      <c r="AV196" s="3">
        <f>SUM(AJ196 - AN196 - AU196)</f>
        <v>91333</v>
      </c>
      <c r="AW196" s="11">
        <v>0</v>
      </c>
      <c r="AX196" s="11">
        <v>0</v>
      </c>
      <c r="AY196" s="11">
        <v>0</v>
      </c>
      <c r="AZ196" s="11">
        <v>0</v>
      </c>
      <c r="BA196" s="3">
        <f t="shared" si="33"/>
        <v>91333</v>
      </c>
    </row>
    <row r="197" spans="1:53" x14ac:dyDescent="0.25">
      <c r="A197" s="1" t="s">
        <v>195</v>
      </c>
      <c r="B197" s="9" t="s">
        <v>1464</v>
      </c>
      <c r="C197" s="9" t="s">
        <v>1010</v>
      </c>
      <c r="D197" s="9" t="s">
        <v>1465</v>
      </c>
      <c r="E197" s="9" t="s">
        <v>1012</v>
      </c>
      <c r="F197" s="10">
        <v>45124</v>
      </c>
      <c r="G197" s="9" t="s">
        <v>1019</v>
      </c>
      <c r="I197" s="9" t="s">
        <v>1014</v>
      </c>
      <c r="J197" s="9" t="s">
        <v>1015</v>
      </c>
      <c r="K197" s="8" t="s">
        <v>1006</v>
      </c>
      <c r="L197" s="8" t="s">
        <v>1007</v>
      </c>
      <c r="M197" s="8" t="s">
        <v>2933</v>
      </c>
      <c r="N197" s="8" t="s">
        <v>2937</v>
      </c>
      <c r="O197" s="1" t="s">
        <v>2934</v>
      </c>
      <c r="P197">
        <v>30</v>
      </c>
      <c r="Q197">
        <v>30</v>
      </c>
      <c r="R197">
        <v>0</v>
      </c>
      <c r="S197">
        <f t="shared" ref="S197:S260" si="35">SUM(Q197-R197)</f>
        <v>30</v>
      </c>
      <c r="T197" s="1" t="s">
        <v>2935</v>
      </c>
      <c r="U197" s="1" t="s">
        <v>2932</v>
      </c>
      <c r="V197" s="3">
        <f t="shared" ref="V197:V260" si="36">ROUND((U197*40%) / Q197  * S197,0)</f>
        <v>40000</v>
      </c>
      <c r="W197" s="3">
        <f t="shared" ref="W197:W260" si="37">ROUND((U197*16%) / Q197  * S197,0)</f>
        <v>16000</v>
      </c>
      <c r="X197" s="3">
        <f t="shared" si="29"/>
        <v>1250</v>
      </c>
      <c r="Y197" s="3">
        <f t="shared" si="30"/>
        <v>1600</v>
      </c>
      <c r="Z197" s="3">
        <f t="shared" si="31"/>
        <v>1800</v>
      </c>
      <c r="AA197" s="3">
        <v>0</v>
      </c>
      <c r="AB197" s="3">
        <f>ROUND(U197 - (V197+W197+X197+Y197) - (U197/Q197 * 2),0)</f>
        <v>34483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f>SUM(V197+W197+X197+Y197+AB197)</f>
        <v>93333</v>
      </c>
      <c r="AK197" s="3">
        <f>SUM(AJ197-AA197)</f>
        <v>93333</v>
      </c>
      <c r="AL197" s="3">
        <f>IF(V197&lt;=15000,V197*12%,1800)</f>
        <v>1800</v>
      </c>
      <c r="AM197" s="3">
        <v>0</v>
      </c>
      <c r="AN197" s="3">
        <f t="shared" si="32"/>
        <v>1800</v>
      </c>
      <c r="AO197" s="12">
        <v>200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3">
        <f t="shared" si="34"/>
        <v>200</v>
      </c>
      <c r="AV197" s="3">
        <f>SUM(AJ197 - AN197 - AU197)</f>
        <v>91333</v>
      </c>
      <c r="AW197" s="11">
        <v>0</v>
      </c>
      <c r="AX197" s="11">
        <v>0</v>
      </c>
      <c r="AY197" s="11">
        <v>0</v>
      </c>
      <c r="AZ197" s="11">
        <v>0</v>
      </c>
      <c r="BA197" s="3">
        <f t="shared" si="33"/>
        <v>91333</v>
      </c>
    </row>
    <row r="198" spans="1:53" x14ac:dyDescent="0.25">
      <c r="A198" s="1" t="s">
        <v>196</v>
      </c>
      <c r="B198" s="9" t="s">
        <v>1462</v>
      </c>
      <c r="C198" s="9" t="s">
        <v>1026</v>
      </c>
      <c r="D198" s="9" t="s">
        <v>1463</v>
      </c>
      <c r="E198" s="9" t="s">
        <v>1008</v>
      </c>
      <c r="F198" s="10">
        <v>45126</v>
      </c>
      <c r="G198" s="9" t="s">
        <v>1019</v>
      </c>
      <c r="I198" s="9" t="s">
        <v>1020</v>
      </c>
      <c r="J198" s="9" t="s">
        <v>1015</v>
      </c>
      <c r="K198" s="8" t="s">
        <v>1006</v>
      </c>
      <c r="L198" s="8" t="s">
        <v>1007</v>
      </c>
      <c r="M198" s="8" t="s">
        <v>2933</v>
      </c>
      <c r="N198" s="8" t="s">
        <v>2937</v>
      </c>
      <c r="O198" s="1" t="s">
        <v>2934</v>
      </c>
      <c r="P198">
        <v>30</v>
      </c>
      <c r="Q198">
        <v>30</v>
      </c>
      <c r="R198">
        <v>0</v>
      </c>
      <c r="S198">
        <f t="shared" si="35"/>
        <v>30</v>
      </c>
      <c r="T198" s="1" t="s">
        <v>2935</v>
      </c>
      <c r="U198" s="1" t="s">
        <v>2932</v>
      </c>
      <c r="V198" s="3">
        <f t="shared" si="36"/>
        <v>40000</v>
      </c>
      <c r="W198" s="3">
        <f t="shared" si="37"/>
        <v>16000</v>
      </c>
      <c r="X198" s="3">
        <f t="shared" si="29"/>
        <v>1250</v>
      </c>
      <c r="Y198" s="3">
        <f t="shared" si="30"/>
        <v>1600</v>
      </c>
      <c r="Z198" s="3">
        <f t="shared" si="31"/>
        <v>1800</v>
      </c>
      <c r="AA198" s="3">
        <v>0</v>
      </c>
      <c r="AB198" s="3">
        <f>ROUND(U198 - (V198+W198+X198+Y198) - (U198/Q198 * 2),0)</f>
        <v>34483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f>SUM(V198+W198+X198+Y198+AB198)</f>
        <v>93333</v>
      </c>
      <c r="AK198" s="3">
        <f>SUM(AJ198-AA198)</f>
        <v>93333</v>
      </c>
      <c r="AL198" s="3">
        <f>IF(V198&lt;=15000,V198*12%,1800)</f>
        <v>1800</v>
      </c>
      <c r="AM198" s="3">
        <v>0</v>
      </c>
      <c r="AN198" s="3">
        <f t="shared" si="32"/>
        <v>1800</v>
      </c>
      <c r="AO198" s="12">
        <v>200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3">
        <f t="shared" si="34"/>
        <v>200</v>
      </c>
      <c r="AV198" s="3">
        <f>SUM(AJ198 - AN198 - AU198)</f>
        <v>91333</v>
      </c>
      <c r="AW198" s="11">
        <v>0</v>
      </c>
      <c r="AX198" s="11">
        <v>0</v>
      </c>
      <c r="AY198" s="11">
        <v>0</v>
      </c>
      <c r="AZ198" s="11">
        <v>0</v>
      </c>
      <c r="BA198" s="3">
        <f t="shared" si="33"/>
        <v>91333</v>
      </c>
    </row>
    <row r="199" spans="1:53" x14ac:dyDescent="0.25">
      <c r="A199" s="1" t="s">
        <v>197</v>
      </c>
      <c r="B199" s="9" t="s">
        <v>1460</v>
      </c>
      <c r="C199" s="9" t="s">
        <v>1029</v>
      </c>
      <c r="D199" s="9" t="s">
        <v>1461</v>
      </c>
      <c r="E199" s="9" t="s">
        <v>1012</v>
      </c>
      <c r="F199" s="10">
        <v>45126</v>
      </c>
      <c r="G199" s="9" t="s">
        <v>1019</v>
      </c>
      <c r="I199" s="9" t="s">
        <v>1020</v>
      </c>
      <c r="J199" s="9" t="s">
        <v>1015</v>
      </c>
      <c r="K199" s="8" t="s">
        <v>1006</v>
      </c>
      <c r="L199" s="8" t="s">
        <v>1007</v>
      </c>
      <c r="M199" s="8" t="s">
        <v>2933</v>
      </c>
      <c r="N199" s="8" t="s">
        <v>2937</v>
      </c>
      <c r="O199" s="1" t="s">
        <v>2934</v>
      </c>
      <c r="P199">
        <v>30</v>
      </c>
      <c r="Q199">
        <v>30</v>
      </c>
      <c r="R199">
        <v>0</v>
      </c>
      <c r="S199">
        <f t="shared" si="35"/>
        <v>30</v>
      </c>
      <c r="T199" s="1" t="s">
        <v>2935</v>
      </c>
      <c r="U199" s="1" t="s">
        <v>2932</v>
      </c>
      <c r="V199" s="3">
        <f t="shared" si="36"/>
        <v>40000</v>
      </c>
      <c r="W199" s="3">
        <f t="shared" si="37"/>
        <v>16000</v>
      </c>
      <c r="X199" s="3">
        <f t="shared" si="29"/>
        <v>1250</v>
      </c>
      <c r="Y199" s="3">
        <f t="shared" si="30"/>
        <v>1600</v>
      </c>
      <c r="Z199" s="3">
        <f t="shared" si="31"/>
        <v>1800</v>
      </c>
      <c r="AA199" s="3">
        <v>0</v>
      </c>
      <c r="AB199" s="3">
        <f>ROUND(U199 - (V199+W199+X199+Y199) - (U199/Q199 * 2),0)</f>
        <v>34483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f>SUM(V199+W199+X199+Y199+AB199)</f>
        <v>93333</v>
      </c>
      <c r="AK199" s="3">
        <f>SUM(AJ199-AA199)</f>
        <v>93333</v>
      </c>
      <c r="AL199" s="3">
        <f>IF(V199&lt;=15000,V199*12%,1800)</f>
        <v>1800</v>
      </c>
      <c r="AM199" s="3">
        <v>0</v>
      </c>
      <c r="AN199" s="3">
        <f t="shared" si="32"/>
        <v>1800</v>
      </c>
      <c r="AO199" s="12">
        <v>200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3">
        <f t="shared" si="34"/>
        <v>200</v>
      </c>
      <c r="AV199" s="3">
        <f>SUM(AJ199 - AN199 - AU199)</f>
        <v>91333</v>
      </c>
      <c r="AW199" s="11">
        <v>0</v>
      </c>
      <c r="AX199" s="11">
        <v>0</v>
      </c>
      <c r="AY199" s="11">
        <v>0</v>
      </c>
      <c r="AZ199" s="11">
        <v>0</v>
      </c>
      <c r="BA199" s="3">
        <f t="shared" si="33"/>
        <v>91333</v>
      </c>
    </row>
    <row r="200" spans="1:53" x14ac:dyDescent="0.25">
      <c r="A200" s="1" t="s">
        <v>198</v>
      </c>
      <c r="B200" s="9" t="s">
        <v>1458</v>
      </c>
      <c r="C200" s="9" t="s">
        <v>1063</v>
      </c>
      <c r="D200" s="9" t="s">
        <v>1459</v>
      </c>
      <c r="E200" s="9" t="s">
        <v>1012</v>
      </c>
      <c r="F200" s="10">
        <v>45127</v>
      </c>
      <c r="G200" s="9" t="s">
        <v>1019</v>
      </c>
      <c r="I200" s="9" t="s">
        <v>1014</v>
      </c>
      <c r="J200" s="9" t="s">
        <v>1015</v>
      </c>
      <c r="K200" s="8" t="s">
        <v>1006</v>
      </c>
      <c r="L200" s="8" t="s">
        <v>1007</v>
      </c>
      <c r="M200" s="8" t="s">
        <v>2933</v>
      </c>
      <c r="N200" s="8" t="s">
        <v>2937</v>
      </c>
      <c r="O200" s="1" t="s">
        <v>2934</v>
      </c>
      <c r="P200">
        <v>30</v>
      </c>
      <c r="Q200">
        <v>30</v>
      </c>
      <c r="R200">
        <v>0</v>
      </c>
      <c r="S200">
        <f t="shared" si="35"/>
        <v>30</v>
      </c>
      <c r="T200" s="1" t="s">
        <v>2935</v>
      </c>
      <c r="U200" s="1" t="s">
        <v>2932</v>
      </c>
      <c r="V200" s="3">
        <f t="shared" si="36"/>
        <v>40000</v>
      </c>
      <c r="W200" s="3">
        <f t="shared" si="37"/>
        <v>16000</v>
      </c>
      <c r="X200" s="3">
        <f t="shared" si="29"/>
        <v>1250</v>
      </c>
      <c r="Y200" s="3">
        <f t="shared" si="30"/>
        <v>1600</v>
      </c>
      <c r="Z200" s="3">
        <f t="shared" si="31"/>
        <v>1800</v>
      </c>
      <c r="AA200" s="3">
        <v>0</v>
      </c>
      <c r="AB200" s="3">
        <f>ROUND(U200 - (V200+W200+X200+Y200) - (U200/Q200 * 2),0)</f>
        <v>34483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f>SUM(V200+W200+X200+Y200+AB200)</f>
        <v>93333</v>
      </c>
      <c r="AK200" s="3">
        <f>SUM(AJ200-AA200)</f>
        <v>93333</v>
      </c>
      <c r="AL200" s="3">
        <f>IF(V200&lt;=15000,V200*12%,1800)</f>
        <v>1800</v>
      </c>
      <c r="AM200" s="3">
        <v>0</v>
      </c>
      <c r="AN200" s="3">
        <f t="shared" si="32"/>
        <v>1800</v>
      </c>
      <c r="AO200" s="12">
        <v>200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3">
        <f t="shared" si="34"/>
        <v>200</v>
      </c>
      <c r="AV200" s="3">
        <f>SUM(AJ200 - AN200 - AU200)</f>
        <v>91333</v>
      </c>
      <c r="AW200" s="11">
        <v>0</v>
      </c>
      <c r="AX200" s="11">
        <v>0</v>
      </c>
      <c r="AY200" s="11">
        <v>0</v>
      </c>
      <c r="AZ200" s="11">
        <v>0</v>
      </c>
      <c r="BA200" s="3">
        <f t="shared" si="33"/>
        <v>91333</v>
      </c>
    </row>
    <row r="201" spans="1:53" x14ac:dyDescent="0.25">
      <c r="A201" s="1" t="s">
        <v>199</v>
      </c>
      <c r="B201" s="9" t="s">
        <v>1456</v>
      </c>
      <c r="C201" s="9" t="s">
        <v>1284</v>
      </c>
      <c r="D201" s="9" t="s">
        <v>1457</v>
      </c>
      <c r="E201" s="9" t="s">
        <v>1012</v>
      </c>
      <c r="F201" s="10">
        <v>45131</v>
      </c>
      <c r="G201" s="9" t="s">
        <v>1013</v>
      </c>
      <c r="I201" s="9" t="s">
        <v>1020</v>
      </c>
      <c r="J201" s="9" t="s">
        <v>1021</v>
      </c>
      <c r="K201" s="8" t="s">
        <v>1006</v>
      </c>
      <c r="L201" s="8" t="s">
        <v>1007</v>
      </c>
      <c r="M201" s="8" t="s">
        <v>2933</v>
      </c>
      <c r="N201" s="8" t="s">
        <v>2937</v>
      </c>
      <c r="O201" s="1" t="s">
        <v>2934</v>
      </c>
      <c r="P201">
        <v>30</v>
      </c>
      <c r="Q201">
        <v>30</v>
      </c>
      <c r="R201">
        <v>0</v>
      </c>
      <c r="S201">
        <f t="shared" si="35"/>
        <v>30</v>
      </c>
      <c r="T201" s="1" t="s">
        <v>2935</v>
      </c>
      <c r="U201" s="1" t="s">
        <v>2932</v>
      </c>
      <c r="V201" s="3">
        <f t="shared" si="36"/>
        <v>40000</v>
      </c>
      <c r="W201" s="3">
        <f t="shared" si="37"/>
        <v>16000</v>
      </c>
      <c r="X201" s="3">
        <f t="shared" si="29"/>
        <v>1250</v>
      </c>
      <c r="Y201" s="3">
        <f t="shared" si="30"/>
        <v>1600</v>
      </c>
      <c r="Z201" s="3">
        <f t="shared" si="31"/>
        <v>1800</v>
      </c>
      <c r="AA201" s="3">
        <v>0</v>
      </c>
      <c r="AB201" s="3">
        <f>ROUND(U201 - (V201+W201+X201+Y201) - (U201/Q201 * 2),0)</f>
        <v>34483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f>SUM(V201+W201+X201+Y201+AB201)</f>
        <v>93333</v>
      </c>
      <c r="AK201" s="3">
        <f>SUM(AJ201-AA201)</f>
        <v>93333</v>
      </c>
      <c r="AL201" s="3">
        <f>IF(V201&lt;=15000,V201*12%,1800)</f>
        <v>1800</v>
      </c>
      <c r="AM201" s="3">
        <v>0</v>
      </c>
      <c r="AN201" s="3">
        <f t="shared" si="32"/>
        <v>1800</v>
      </c>
      <c r="AO201" s="12">
        <v>200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3">
        <f t="shared" si="34"/>
        <v>200</v>
      </c>
      <c r="AV201" s="3">
        <f>SUM(AJ201 - AN201 - AU201)</f>
        <v>91333</v>
      </c>
      <c r="AW201" s="11">
        <v>0</v>
      </c>
      <c r="AX201" s="11">
        <v>0</v>
      </c>
      <c r="AY201" s="11">
        <v>0</v>
      </c>
      <c r="AZ201" s="11">
        <v>0</v>
      </c>
      <c r="BA201" s="3">
        <f t="shared" si="33"/>
        <v>91333</v>
      </c>
    </row>
    <row r="202" spans="1:53" x14ac:dyDescent="0.25">
      <c r="A202" s="1" t="s">
        <v>200</v>
      </c>
      <c r="B202" s="9" t="s">
        <v>1454</v>
      </c>
      <c r="C202" s="9" t="s">
        <v>1026</v>
      </c>
      <c r="D202" s="9" t="s">
        <v>1455</v>
      </c>
      <c r="E202" s="9" t="s">
        <v>1012</v>
      </c>
      <c r="F202" s="10">
        <v>45131</v>
      </c>
      <c r="G202" s="9" t="s">
        <v>1019</v>
      </c>
      <c r="I202" s="9" t="s">
        <v>1014</v>
      </c>
      <c r="J202" s="9" t="s">
        <v>1015</v>
      </c>
      <c r="K202" s="8" t="s">
        <v>1006</v>
      </c>
      <c r="L202" s="8" t="s">
        <v>1007</v>
      </c>
      <c r="M202" s="8" t="s">
        <v>2933</v>
      </c>
      <c r="N202" s="8" t="s">
        <v>2937</v>
      </c>
      <c r="O202" s="1" t="s">
        <v>2934</v>
      </c>
      <c r="P202">
        <v>30</v>
      </c>
      <c r="Q202">
        <v>30</v>
      </c>
      <c r="R202">
        <v>0</v>
      </c>
      <c r="S202">
        <f t="shared" si="35"/>
        <v>30</v>
      </c>
      <c r="T202" s="1" t="s">
        <v>2935</v>
      </c>
      <c r="U202" s="1" t="s">
        <v>2932</v>
      </c>
      <c r="V202" s="3">
        <f t="shared" si="36"/>
        <v>40000</v>
      </c>
      <c r="W202" s="3">
        <f t="shared" si="37"/>
        <v>16000</v>
      </c>
      <c r="X202" s="3">
        <f t="shared" si="29"/>
        <v>1250</v>
      </c>
      <c r="Y202" s="3">
        <f t="shared" si="30"/>
        <v>1600</v>
      </c>
      <c r="Z202" s="3">
        <f t="shared" si="31"/>
        <v>1800</v>
      </c>
      <c r="AA202" s="3">
        <v>0</v>
      </c>
      <c r="AB202" s="3">
        <f>ROUND(U202 - (V202+W202+X202+Y202) - (U202/Q202 * 2),0)</f>
        <v>34483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f>SUM(V202+W202+X202+Y202+AB202)</f>
        <v>93333</v>
      </c>
      <c r="AK202" s="3">
        <f>SUM(AJ202-AA202)</f>
        <v>93333</v>
      </c>
      <c r="AL202" s="3">
        <f>IF(V202&lt;=15000,V202*12%,1800)</f>
        <v>1800</v>
      </c>
      <c r="AM202" s="3">
        <v>0</v>
      </c>
      <c r="AN202" s="3">
        <f t="shared" si="32"/>
        <v>1800</v>
      </c>
      <c r="AO202" s="12">
        <v>200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3">
        <f t="shared" si="34"/>
        <v>200</v>
      </c>
      <c r="AV202" s="3">
        <f>SUM(AJ202 - AN202 - AU202)</f>
        <v>91333</v>
      </c>
      <c r="AW202" s="11">
        <v>0</v>
      </c>
      <c r="AX202" s="11">
        <v>0</v>
      </c>
      <c r="AY202" s="11">
        <v>0</v>
      </c>
      <c r="AZ202" s="11">
        <v>0</v>
      </c>
      <c r="BA202" s="3">
        <f t="shared" si="33"/>
        <v>91333</v>
      </c>
    </row>
    <row r="203" spans="1:53" x14ac:dyDescent="0.25">
      <c r="A203" s="1" t="s">
        <v>201</v>
      </c>
      <c r="B203" s="9" t="s">
        <v>1452</v>
      </c>
      <c r="C203" s="9" t="s">
        <v>1284</v>
      </c>
      <c r="D203" s="9" t="s">
        <v>1453</v>
      </c>
      <c r="E203" s="9" t="s">
        <v>1012</v>
      </c>
      <c r="F203" s="10">
        <v>45140</v>
      </c>
      <c r="G203" s="9" t="s">
        <v>1013</v>
      </c>
      <c r="I203" s="9" t="s">
        <v>1020</v>
      </c>
      <c r="J203" s="9" t="s">
        <v>1021</v>
      </c>
      <c r="K203" s="8" t="s">
        <v>1006</v>
      </c>
      <c r="L203" s="8" t="s">
        <v>1007</v>
      </c>
      <c r="M203" s="8" t="s">
        <v>2933</v>
      </c>
      <c r="N203" s="8" t="s">
        <v>2937</v>
      </c>
      <c r="O203" s="1" t="s">
        <v>2934</v>
      </c>
      <c r="P203">
        <v>30</v>
      </c>
      <c r="Q203">
        <v>30</v>
      </c>
      <c r="R203">
        <v>0</v>
      </c>
      <c r="S203">
        <f t="shared" si="35"/>
        <v>30</v>
      </c>
      <c r="T203" s="1" t="s">
        <v>2935</v>
      </c>
      <c r="U203" s="1" t="s">
        <v>2932</v>
      </c>
      <c r="V203" s="3">
        <f t="shared" si="36"/>
        <v>40000</v>
      </c>
      <c r="W203" s="3">
        <f t="shared" si="37"/>
        <v>16000</v>
      </c>
      <c r="X203" s="3">
        <f t="shared" si="29"/>
        <v>1250</v>
      </c>
      <c r="Y203" s="3">
        <f t="shared" si="30"/>
        <v>1600</v>
      </c>
      <c r="Z203" s="3">
        <f t="shared" si="31"/>
        <v>1800</v>
      </c>
      <c r="AA203" s="3">
        <v>0</v>
      </c>
      <c r="AB203" s="3">
        <f>ROUND(U203 - (V203+W203+X203+Y203) - (U203/Q203 * 2),0)</f>
        <v>34483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f>SUM(V203+W203+X203+Y203+AB203)</f>
        <v>93333</v>
      </c>
      <c r="AK203" s="3">
        <f>SUM(AJ203-AA203)</f>
        <v>93333</v>
      </c>
      <c r="AL203" s="3">
        <f>IF(V203&lt;=15000,V203*12%,1800)</f>
        <v>1800</v>
      </c>
      <c r="AM203" s="3">
        <v>0</v>
      </c>
      <c r="AN203" s="3">
        <f t="shared" si="32"/>
        <v>1800</v>
      </c>
      <c r="AO203" s="12">
        <v>200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3">
        <f t="shared" si="34"/>
        <v>200</v>
      </c>
      <c r="AV203" s="3">
        <f>SUM(AJ203 - AN203 - AU203)</f>
        <v>91333</v>
      </c>
      <c r="AW203" s="11">
        <v>0</v>
      </c>
      <c r="AX203" s="11">
        <v>0</v>
      </c>
      <c r="AY203" s="11">
        <v>0</v>
      </c>
      <c r="AZ203" s="11">
        <v>0</v>
      </c>
      <c r="BA203" s="3">
        <f t="shared" si="33"/>
        <v>91333</v>
      </c>
    </row>
    <row r="204" spans="1:53" x14ac:dyDescent="0.25">
      <c r="A204" s="1" t="s">
        <v>202</v>
      </c>
      <c r="B204" s="9" t="s">
        <v>1450</v>
      </c>
      <c r="C204" s="9" t="s">
        <v>1029</v>
      </c>
      <c r="D204" s="9" t="s">
        <v>1451</v>
      </c>
      <c r="E204" s="9" t="s">
        <v>1012</v>
      </c>
      <c r="F204" s="10">
        <v>45140</v>
      </c>
      <c r="G204" s="9" t="s">
        <v>1013</v>
      </c>
      <c r="I204" s="9" t="s">
        <v>1020</v>
      </c>
      <c r="J204" s="9" t="s">
        <v>1031</v>
      </c>
      <c r="K204" s="8" t="s">
        <v>1006</v>
      </c>
      <c r="L204" s="8" t="s">
        <v>1007</v>
      </c>
      <c r="M204" s="8" t="s">
        <v>2933</v>
      </c>
      <c r="N204" s="8" t="s">
        <v>2937</v>
      </c>
      <c r="O204" s="1" t="s">
        <v>2934</v>
      </c>
      <c r="P204">
        <v>30</v>
      </c>
      <c r="Q204">
        <v>30</v>
      </c>
      <c r="R204">
        <v>0</v>
      </c>
      <c r="S204">
        <f t="shared" si="35"/>
        <v>30</v>
      </c>
      <c r="T204" s="1" t="s">
        <v>2935</v>
      </c>
      <c r="U204" s="1" t="s">
        <v>2932</v>
      </c>
      <c r="V204" s="3">
        <f t="shared" si="36"/>
        <v>40000</v>
      </c>
      <c r="W204" s="3">
        <f t="shared" si="37"/>
        <v>16000</v>
      </c>
      <c r="X204" s="3">
        <f t="shared" si="29"/>
        <v>1250</v>
      </c>
      <c r="Y204" s="3">
        <f t="shared" si="30"/>
        <v>1600</v>
      </c>
      <c r="Z204" s="3">
        <f t="shared" si="31"/>
        <v>1800</v>
      </c>
      <c r="AA204" s="3">
        <v>0</v>
      </c>
      <c r="AB204" s="3">
        <f>ROUND(U204 - (V204+W204+X204+Y204) - (U204/Q204 * 2),0)</f>
        <v>34483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f>SUM(V204+W204+X204+Y204+AB204)</f>
        <v>93333</v>
      </c>
      <c r="AK204" s="3">
        <f>SUM(AJ204-AA204)</f>
        <v>93333</v>
      </c>
      <c r="AL204" s="3">
        <f>IF(V204&lt;=15000,V204*12%,1800)</f>
        <v>1800</v>
      </c>
      <c r="AM204" s="3">
        <v>0</v>
      </c>
      <c r="AN204" s="3">
        <f t="shared" si="32"/>
        <v>1800</v>
      </c>
      <c r="AO204" s="12">
        <v>200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3">
        <f t="shared" si="34"/>
        <v>200</v>
      </c>
      <c r="AV204" s="3">
        <f>SUM(AJ204 - AN204 - AU204)</f>
        <v>91333</v>
      </c>
      <c r="AW204" s="11">
        <v>0</v>
      </c>
      <c r="AX204" s="11">
        <v>0</v>
      </c>
      <c r="AY204" s="11">
        <v>0</v>
      </c>
      <c r="AZ204" s="11">
        <v>0</v>
      </c>
      <c r="BA204" s="3">
        <f t="shared" si="33"/>
        <v>91333</v>
      </c>
    </row>
    <row r="205" spans="1:53" x14ac:dyDescent="0.25">
      <c r="A205" s="1" t="s">
        <v>203</v>
      </c>
      <c r="B205" s="9" t="s">
        <v>1448</v>
      </c>
      <c r="C205" s="9" t="s">
        <v>1029</v>
      </c>
      <c r="D205" s="9" t="s">
        <v>1449</v>
      </c>
      <c r="E205" s="9" t="s">
        <v>1012</v>
      </c>
      <c r="F205" s="10">
        <v>45140</v>
      </c>
      <c r="G205" s="9" t="s">
        <v>1013</v>
      </c>
      <c r="I205" s="9" t="s">
        <v>1020</v>
      </c>
      <c r="J205" s="9" t="s">
        <v>1031</v>
      </c>
      <c r="K205" s="8" t="s">
        <v>1006</v>
      </c>
      <c r="L205" s="8" t="s">
        <v>1007</v>
      </c>
      <c r="M205" s="8" t="s">
        <v>2933</v>
      </c>
      <c r="N205" s="8" t="s">
        <v>2937</v>
      </c>
      <c r="O205" s="1" t="s">
        <v>2934</v>
      </c>
      <c r="P205">
        <v>30</v>
      </c>
      <c r="Q205">
        <v>30</v>
      </c>
      <c r="R205">
        <v>0</v>
      </c>
      <c r="S205">
        <f t="shared" si="35"/>
        <v>30</v>
      </c>
      <c r="T205" s="1" t="s">
        <v>2935</v>
      </c>
      <c r="U205" s="1" t="s">
        <v>2932</v>
      </c>
      <c r="V205" s="3">
        <f t="shared" si="36"/>
        <v>40000</v>
      </c>
      <c r="W205" s="3">
        <f t="shared" si="37"/>
        <v>16000</v>
      </c>
      <c r="X205" s="3">
        <f t="shared" si="29"/>
        <v>1250</v>
      </c>
      <c r="Y205" s="3">
        <f t="shared" si="30"/>
        <v>1600</v>
      </c>
      <c r="Z205" s="3">
        <f t="shared" si="31"/>
        <v>1800</v>
      </c>
      <c r="AA205" s="3">
        <v>0</v>
      </c>
      <c r="AB205" s="3">
        <f>ROUND(U205 - (V205+W205+X205+Y205) - (U205/Q205 * 2),0)</f>
        <v>34483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f>SUM(V205+W205+X205+Y205+AB205)</f>
        <v>93333</v>
      </c>
      <c r="AK205" s="3">
        <f>SUM(AJ205-AA205)</f>
        <v>93333</v>
      </c>
      <c r="AL205" s="3">
        <f>IF(V205&lt;=15000,V205*12%,1800)</f>
        <v>1800</v>
      </c>
      <c r="AM205" s="3">
        <v>0</v>
      </c>
      <c r="AN205" s="3">
        <f t="shared" si="32"/>
        <v>1800</v>
      </c>
      <c r="AO205" s="12">
        <v>200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3">
        <f t="shared" si="34"/>
        <v>200</v>
      </c>
      <c r="AV205" s="3">
        <f>SUM(AJ205 - AN205 - AU205)</f>
        <v>91333</v>
      </c>
      <c r="AW205" s="11">
        <v>0</v>
      </c>
      <c r="AX205" s="11">
        <v>0</v>
      </c>
      <c r="AY205" s="11">
        <v>0</v>
      </c>
      <c r="AZ205" s="11">
        <v>0</v>
      </c>
      <c r="BA205" s="3">
        <f t="shared" si="33"/>
        <v>91333</v>
      </c>
    </row>
    <row r="206" spans="1:53" x14ac:dyDescent="0.25">
      <c r="A206" s="1" t="s">
        <v>204</v>
      </c>
      <c r="B206" s="9" t="s">
        <v>1446</v>
      </c>
      <c r="C206" s="9" t="s">
        <v>1010</v>
      </c>
      <c r="D206" s="9" t="s">
        <v>1447</v>
      </c>
      <c r="E206" s="9" t="s">
        <v>1008</v>
      </c>
      <c r="F206" s="10">
        <v>45145</v>
      </c>
      <c r="G206" s="9" t="s">
        <v>1019</v>
      </c>
      <c r="I206" s="9" t="s">
        <v>1014</v>
      </c>
      <c r="J206" s="9" t="s">
        <v>1015</v>
      </c>
      <c r="K206" s="8" t="s">
        <v>1006</v>
      </c>
      <c r="L206" s="8" t="s">
        <v>1007</v>
      </c>
      <c r="M206" s="8" t="s">
        <v>2933</v>
      </c>
      <c r="N206" s="8" t="s">
        <v>2937</v>
      </c>
      <c r="O206" s="1" t="s">
        <v>2934</v>
      </c>
      <c r="P206">
        <v>30</v>
      </c>
      <c r="Q206">
        <v>30</v>
      </c>
      <c r="R206">
        <v>0</v>
      </c>
      <c r="S206">
        <f t="shared" si="35"/>
        <v>30</v>
      </c>
      <c r="T206" s="1" t="s">
        <v>2935</v>
      </c>
      <c r="U206" s="1" t="s">
        <v>2932</v>
      </c>
      <c r="V206" s="3">
        <f t="shared" si="36"/>
        <v>40000</v>
      </c>
      <c r="W206" s="3">
        <f t="shared" si="37"/>
        <v>16000</v>
      </c>
      <c r="X206" s="3">
        <f t="shared" si="29"/>
        <v>1250</v>
      </c>
      <c r="Y206" s="3">
        <f t="shared" si="30"/>
        <v>1600</v>
      </c>
      <c r="Z206" s="3">
        <f t="shared" si="31"/>
        <v>1800</v>
      </c>
      <c r="AA206" s="3">
        <v>0</v>
      </c>
      <c r="AB206" s="3">
        <f>ROUND(U206 - (V206+W206+X206+Y206) - (U206/Q206 * 2),0)</f>
        <v>34483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f>SUM(V206+W206+X206+Y206+AB206)</f>
        <v>93333</v>
      </c>
      <c r="AK206" s="3">
        <f>SUM(AJ206-AA206)</f>
        <v>93333</v>
      </c>
      <c r="AL206" s="3">
        <f>IF(V206&lt;=15000,V206*12%,1800)</f>
        <v>1800</v>
      </c>
      <c r="AM206" s="3">
        <v>0</v>
      </c>
      <c r="AN206" s="3">
        <f t="shared" si="32"/>
        <v>1800</v>
      </c>
      <c r="AO206" s="12">
        <v>200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3">
        <f t="shared" si="34"/>
        <v>200</v>
      </c>
      <c r="AV206" s="3">
        <f>SUM(AJ206 - AN206 - AU206)</f>
        <v>91333</v>
      </c>
      <c r="AW206" s="11">
        <v>0</v>
      </c>
      <c r="AX206" s="11">
        <v>0</v>
      </c>
      <c r="AY206" s="11">
        <v>0</v>
      </c>
      <c r="AZ206" s="11">
        <v>0</v>
      </c>
      <c r="BA206" s="3">
        <f t="shared" si="33"/>
        <v>91333</v>
      </c>
    </row>
    <row r="207" spans="1:53" x14ac:dyDescent="0.25">
      <c r="A207" s="1" t="s">
        <v>205</v>
      </c>
      <c r="B207" s="9" t="s">
        <v>1505</v>
      </c>
      <c r="C207" s="9" t="s">
        <v>1029</v>
      </c>
      <c r="D207" s="9" t="s">
        <v>1506</v>
      </c>
      <c r="E207" s="9" t="s">
        <v>1012</v>
      </c>
      <c r="F207" s="10">
        <v>45147</v>
      </c>
      <c r="G207" s="9" t="s">
        <v>1019</v>
      </c>
      <c r="I207" s="9" t="s">
        <v>1020</v>
      </c>
      <c r="J207" s="9" t="s">
        <v>1015</v>
      </c>
      <c r="K207" s="8" t="s">
        <v>1006</v>
      </c>
      <c r="L207" s="8" t="s">
        <v>1007</v>
      </c>
      <c r="M207" s="8" t="s">
        <v>2933</v>
      </c>
      <c r="N207" s="8" t="s">
        <v>2937</v>
      </c>
      <c r="O207" s="1" t="s">
        <v>2934</v>
      </c>
      <c r="P207">
        <v>30</v>
      </c>
      <c r="Q207">
        <v>30</v>
      </c>
      <c r="R207">
        <v>0</v>
      </c>
      <c r="S207">
        <f t="shared" si="35"/>
        <v>30</v>
      </c>
      <c r="T207" s="1" t="s">
        <v>2935</v>
      </c>
      <c r="U207" s="1" t="s">
        <v>2932</v>
      </c>
      <c r="V207" s="3">
        <f t="shared" si="36"/>
        <v>40000</v>
      </c>
      <c r="W207" s="3">
        <f t="shared" si="37"/>
        <v>16000</v>
      </c>
      <c r="X207" s="3">
        <f t="shared" si="29"/>
        <v>1250</v>
      </c>
      <c r="Y207" s="3">
        <f t="shared" si="30"/>
        <v>1600</v>
      </c>
      <c r="Z207" s="3">
        <f t="shared" si="31"/>
        <v>1800</v>
      </c>
      <c r="AA207" s="3">
        <v>0</v>
      </c>
      <c r="AB207" s="3">
        <f>ROUND(U207 - (V207+W207+X207+Y207) - (U207/Q207 * 2),0)</f>
        <v>34483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f>SUM(V207+W207+X207+Y207+AB207)</f>
        <v>93333</v>
      </c>
      <c r="AK207" s="3">
        <f>SUM(AJ207-AA207)</f>
        <v>93333</v>
      </c>
      <c r="AL207" s="3">
        <f>IF(V207&lt;=15000,V207*12%,1800)</f>
        <v>1800</v>
      </c>
      <c r="AM207" s="3">
        <v>0</v>
      </c>
      <c r="AN207" s="3">
        <f t="shared" si="32"/>
        <v>1800</v>
      </c>
      <c r="AO207" s="12">
        <v>200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3">
        <f t="shared" si="34"/>
        <v>200</v>
      </c>
      <c r="AV207" s="3">
        <f>SUM(AJ207 - AN207 - AU207)</f>
        <v>91333</v>
      </c>
      <c r="AW207" s="11">
        <v>0</v>
      </c>
      <c r="AX207" s="11">
        <v>0</v>
      </c>
      <c r="AY207" s="11">
        <v>0</v>
      </c>
      <c r="AZ207" s="11">
        <v>0</v>
      </c>
      <c r="BA207" s="3">
        <f t="shared" si="33"/>
        <v>91333</v>
      </c>
    </row>
    <row r="208" spans="1:53" x14ac:dyDescent="0.25">
      <c r="A208" s="1" t="s">
        <v>206</v>
      </c>
      <c r="B208" s="9" t="s">
        <v>1503</v>
      </c>
      <c r="C208" s="9" t="s">
        <v>1029</v>
      </c>
      <c r="D208" s="9" t="s">
        <v>1504</v>
      </c>
      <c r="E208" s="9" t="s">
        <v>1012</v>
      </c>
      <c r="F208" s="10">
        <v>45152</v>
      </c>
      <c r="G208" s="9" t="s">
        <v>1013</v>
      </c>
      <c r="I208" s="9" t="s">
        <v>1020</v>
      </c>
      <c r="J208" s="9" t="s">
        <v>1031</v>
      </c>
      <c r="K208" s="8" t="s">
        <v>1006</v>
      </c>
      <c r="L208" s="8" t="s">
        <v>1007</v>
      </c>
      <c r="M208" s="8" t="s">
        <v>2933</v>
      </c>
      <c r="N208" s="8" t="s">
        <v>2937</v>
      </c>
      <c r="O208" s="1" t="s">
        <v>2934</v>
      </c>
      <c r="P208">
        <v>30</v>
      </c>
      <c r="Q208">
        <v>30</v>
      </c>
      <c r="R208">
        <v>0</v>
      </c>
      <c r="S208">
        <f t="shared" si="35"/>
        <v>30</v>
      </c>
      <c r="T208" s="1" t="s">
        <v>2935</v>
      </c>
      <c r="U208" s="1" t="s">
        <v>2932</v>
      </c>
      <c r="V208" s="3">
        <f t="shared" si="36"/>
        <v>40000</v>
      </c>
      <c r="W208" s="3">
        <f t="shared" si="37"/>
        <v>16000</v>
      </c>
      <c r="X208" s="3">
        <f t="shared" si="29"/>
        <v>1250</v>
      </c>
      <c r="Y208" s="3">
        <f t="shared" si="30"/>
        <v>1600</v>
      </c>
      <c r="Z208" s="3">
        <f t="shared" si="31"/>
        <v>1800</v>
      </c>
      <c r="AA208" s="3">
        <v>0</v>
      </c>
      <c r="AB208" s="3">
        <f>ROUND(U208 - (V208+W208+X208+Y208) - (U208/Q208 * 2),0)</f>
        <v>34483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f>SUM(V208+W208+X208+Y208+AB208)</f>
        <v>93333</v>
      </c>
      <c r="AK208" s="3">
        <f>SUM(AJ208-AA208)</f>
        <v>93333</v>
      </c>
      <c r="AL208" s="3">
        <f>IF(V208&lt;=15000,V208*12%,1800)</f>
        <v>1800</v>
      </c>
      <c r="AM208" s="3">
        <v>0</v>
      </c>
      <c r="AN208" s="3">
        <f t="shared" si="32"/>
        <v>1800</v>
      </c>
      <c r="AO208" s="12">
        <v>200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3">
        <f t="shared" si="34"/>
        <v>200</v>
      </c>
      <c r="AV208" s="3">
        <f>SUM(AJ208 - AN208 - AU208)</f>
        <v>91333</v>
      </c>
      <c r="AW208" s="11">
        <v>0</v>
      </c>
      <c r="AX208" s="11">
        <v>0</v>
      </c>
      <c r="AY208" s="11">
        <v>0</v>
      </c>
      <c r="AZ208" s="11">
        <v>0</v>
      </c>
      <c r="BA208" s="3">
        <f t="shared" si="33"/>
        <v>91333</v>
      </c>
    </row>
    <row r="209" spans="1:53" x14ac:dyDescent="0.25">
      <c r="A209" s="1" t="s">
        <v>207</v>
      </c>
      <c r="B209" s="9" t="s">
        <v>1501</v>
      </c>
      <c r="C209" s="9" t="s">
        <v>1063</v>
      </c>
      <c r="D209" s="9" t="s">
        <v>1502</v>
      </c>
      <c r="E209" s="9" t="s">
        <v>1012</v>
      </c>
      <c r="F209" s="10">
        <v>45152</v>
      </c>
      <c r="G209" s="9" t="s">
        <v>1019</v>
      </c>
      <c r="I209" s="9" t="s">
        <v>1014</v>
      </c>
      <c r="J209" s="9" t="s">
        <v>1015</v>
      </c>
      <c r="K209" s="8" t="s">
        <v>1006</v>
      </c>
      <c r="L209" s="8" t="s">
        <v>1007</v>
      </c>
      <c r="M209" s="8" t="s">
        <v>2933</v>
      </c>
      <c r="N209" s="8" t="s">
        <v>2937</v>
      </c>
      <c r="O209" s="1" t="s">
        <v>2934</v>
      </c>
      <c r="P209">
        <v>30</v>
      </c>
      <c r="Q209">
        <v>30</v>
      </c>
      <c r="R209">
        <v>0</v>
      </c>
      <c r="S209">
        <f t="shared" si="35"/>
        <v>30</v>
      </c>
      <c r="T209" s="1" t="s">
        <v>2935</v>
      </c>
      <c r="U209" s="1" t="s">
        <v>2932</v>
      </c>
      <c r="V209" s="3">
        <f t="shared" si="36"/>
        <v>40000</v>
      </c>
      <c r="W209" s="3">
        <f t="shared" si="37"/>
        <v>16000</v>
      </c>
      <c r="X209" s="3">
        <f t="shared" si="29"/>
        <v>1250</v>
      </c>
      <c r="Y209" s="3">
        <f t="shared" si="30"/>
        <v>1600</v>
      </c>
      <c r="Z209" s="3">
        <f t="shared" si="31"/>
        <v>1800</v>
      </c>
      <c r="AA209" s="3">
        <v>0</v>
      </c>
      <c r="AB209" s="3">
        <f>ROUND(U209 - (V209+W209+X209+Y209) - (U209/Q209 * 2),0)</f>
        <v>34483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f>SUM(V209+W209+X209+Y209+AB209)</f>
        <v>93333</v>
      </c>
      <c r="AK209" s="3">
        <f>SUM(AJ209-AA209)</f>
        <v>93333</v>
      </c>
      <c r="AL209" s="3">
        <f>IF(V209&lt;=15000,V209*12%,1800)</f>
        <v>1800</v>
      </c>
      <c r="AM209" s="3">
        <v>0</v>
      </c>
      <c r="AN209" s="3">
        <f t="shared" si="32"/>
        <v>1800</v>
      </c>
      <c r="AO209" s="12">
        <v>200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3">
        <f t="shared" si="34"/>
        <v>200</v>
      </c>
      <c r="AV209" s="3">
        <f>SUM(AJ209 - AN209 - AU209)</f>
        <v>91333</v>
      </c>
      <c r="AW209" s="11">
        <v>0</v>
      </c>
      <c r="AX209" s="11">
        <v>0</v>
      </c>
      <c r="AY209" s="11">
        <v>0</v>
      </c>
      <c r="AZ209" s="11">
        <v>0</v>
      </c>
      <c r="BA209" s="3">
        <f t="shared" si="33"/>
        <v>91333</v>
      </c>
    </row>
    <row r="210" spans="1:53" x14ac:dyDescent="0.25">
      <c r="A210" s="1" t="s">
        <v>208</v>
      </c>
      <c r="B210" s="9" t="s">
        <v>1499</v>
      </c>
      <c r="C210" s="9" t="s">
        <v>1026</v>
      </c>
      <c r="D210" s="9" t="s">
        <v>1500</v>
      </c>
      <c r="E210" s="9" t="s">
        <v>1008</v>
      </c>
      <c r="F210" s="10">
        <v>45159</v>
      </c>
      <c r="G210" s="9" t="s">
        <v>1019</v>
      </c>
      <c r="I210" s="9" t="s">
        <v>1014</v>
      </c>
      <c r="J210" s="9" t="s">
        <v>1015</v>
      </c>
      <c r="K210" s="8" t="s">
        <v>1006</v>
      </c>
      <c r="L210" s="8" t="s">
        <v>1007</v>
      </c>
      <c r="M210" s="8" t="s">
        <v>2933</v>
      </c>
      <c r="N210" s="8" t="s">
        <v>2937</v>
      </c>
      <c r="O210" s="1" t="s">
        <v>2934</v>
      </c>
      <c r="P210">
        <v>30</v>
      </c>
      <c r="Q210">
        <v>30</v>
      </c>
      <c r="R210">
        <v>0</v>
      </c>
      <c r="S210">
        <f t="shared" si="35"/>
        <v>30</v>
      </c>
      <c r="T210" s="1" t="s">
        <v>2935</v>
      </c>
      <c r="U210" s="1" t="s">
        <v>2932</v>
      </c>
      <c r="V210" s="3">
        <f t="shared" si="36"/>
        <v>40000</v>
      </c>
      <c r="W210" s="3">
        <f t="shared" si="37"/>
        <v>16000</v>
      </c>
      <c r="X210" s="3">
        <f t="shared" si="29"/>
        <v>1250</v>
      </c>
      <c r="Y210" s="3">
        <f t="shared" si="30"/>
        <v>1600</v>
      </c>
      <c r="Z210" s="3">
        <f t="shared" si="31"/>
        <v>1800</v>
      </c>
      <c r="AA210" s="3">
        <v>0</v>
      </c>
      <c r="AB210" s="3">
        <f>ROUND(U210 - (V210+W210+X210+Y210) - (U210/Q210 * 2),0)</f>
        <v>34483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f>SUM(V210+W210+X210+Y210+AB210)</f>
        <v>93333</v>
      </c>
      <c r="AK210" s="3">
        <f>SUM(AJ210-AA210)</f>
        <v>93333</v>
      </c>
      <c r="AL210" s="3">
        <f>IF(V210&lt;=15000,V210*12%,1800)</f>
        <v>1800</v>
      </c>
      <c r="AM210" s="3">
        <v>0</v>
      </c>
      <c r="AN210" s="3">
        <f t="shared" si="32"/>
        <v>1800</v>
      </c>
      <c r="AO210" s="12">
        <v>200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3">
        <f t="shared" si="34"/>
        <v>200</v>
      </c>
      <c r="AV210" s="3">
        <f>SUM(AJ210 - AN210 - AU210)</f>
        <v>91333</v>
      </c>
      <c r="AW210" s="11">
        <v>0</v>
      </c>
      <c r="AX210" s="11">
        <v>0</v>
      </c>
      <c r="AY210" s="11">
        <v>0</v>
      </c>
      <c r="AZ210" s="11">
        <v>0</v>
      </c>
      <c r="BA210" s="3">
        <f t="shared" si="33"/>
        <v>91333</v>
      </c>
    </row>
    <row r="211" spans="1:53" x14ac:dyDescent="0.25">
      <c r="A211" s="1" t="s">
        <v>209</v>
      </c>
      <c r="B211" s="9" t="s">
        <v>1403</v>
      </c>
      <c r="C211" s="9" t="s">
        <v>1026</v>
      </c>
      <c r="D211" s="9" t="s">
        <v>1498</v>
      </c>
      <c r="E211" s="9" t="s">
        <v>1012</v>
      </c>
      <c r="F211" s="10">
        <v>45175</v>
      </c>
      <c r="G211" s="9" t="s">
        <v>1019</v>
      </c>
      <c r="I211" s="9" t="s">
        <v>1014</v>
      </c>
      <c r="J211" s="9" t="s">
        <v>1015</v>
      </c>
      <c r="K211" s="8" t="s">
        <v>1006</v>
      </c>
      <c r="L211" s="8" t="s">
        <v>1007</v>
      </c>
      <c r="M211" s="8" t="s">
        <v>2933</v>
      </c>
      <c r="N211" s="8" t="s">
        <v>2937</v>
      </c>
      <c r="O211" s="1" t="s">
        <v>2934</v>
      </c>
      <c r="P211">
        <v>30</v>
      </c>
      <c r="Q211">
        <v>30</v>
      </c>
      <c r="R211">
        <v>0</v>
      </c>
      <c r="S211">
        <f t="shared" si="35"/>
        <v>30</v>
      </c>
      <c r="T211" s="1" t="s">
        <v>2935</v>
      </c>
      <c r="U211" s="1" t="s">
        <v>2932</v>
      </c>
      <c r="V211" s="3">
        <f t="shared" si="36"/>
        <v>40000</v>
      </c>
      <c r="W211" s="3">
        <f t="shared" si="37"/>
        <v>16000</v>
      </c>
      <c r="X211" s="3">
        <f t="shared" si="29"/>
        <v>1250</v>
      </c>
      <c r="Y211" s="3">
        <f t="shared" si="30"/>
        <v>1600</v>
      </c>
      <c r="Z211" s="3">
        <f t="shared" si="31"/>
        <v>1800</v>
      </c>
      <c r="AA211" s="3">
        <v>0</v>
      </c>
      <c r="AB211" s="3">
        <f>ROUND(U211 - (V211+W211+X211+Y211) - (U211/Q211 * 2),0)</f>
        <v>34483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f>SUM(V211+W211+X211+Y211+AB211)</f>
        <v>93333</v>
      </c>
      <c r="AK211" s="3">
        <f>SUM(AJ211-AA211)</f>
        <v>93333</v>
      </c>
      <c r="AL211" s="3">
        <f>IF(V211&lt;=15000,V211*12%,1800)</f>
        <v>1800</v>
      </c>
      <c r="AM211" s="3">
        <v>0</v>
      </c>
      <c r="AN211" s="3">
        <f t="shared" si="32"/>
        <v>1800</v>
      </c>
      <c r="AO211" s="12">
        <v>200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3">
        <f t="shared" si="34"/>
        <v>200</v>
      </c>
      <c r="AV211" s="3">
        <f>SUM(AJ211 - AN211 - AU211)</f>
        <v>91333</v>
      </c>
      <c r="AW211" s="11">
        <v>0</v>
      </c>
      <c r="AX211" s="11">
        <v>0</v>
      </c>
      <c r="AY211" s="11">
        <v>0</v>
      </c>
      <c r="AZ211" s="11">
        <v>0</v>
      </c>
      <c r="BA211" s="3">
        <f t="shared" si="33"/>
        <v>91333</v>
      </c>
    </row>
    <row r="212" spans="1:53" x14ac:dyDescent="0.25">
      <c r="A212" s="1" t="s">
        <v>210</v>
      </c>
      <c r="B212" s="9" t="s">
        <v>1496</v>
      </c>
      <c r="C212" s="9" t="s">
        <v>1063</v>
      </c>
      <c r="D212" s="9" t="s">
        <v>1497</v>
      </c>
      <c r="E212" s="9" t="s">
        <v>1012</v>
      </c>
      <c r="F212" s="10">
        <v>45175</v>
      </c>
      <c r="G212" s="9" t="s">
        <v>1019</v>
      </c>
      <c r="I212" s="9" t="s">
        <v>1014</v>
      </c>
      <c r="J212" s="9" t="s">
        <v>1015</v>
      </c>
      <c r="K212" s="8" t="s">
        <v>1006</v>
      </c>
      <c r="L212" s="8" t="s">
        <v>1007</v>
      </c>
      <c r="M212" s="8" t="s">
        <v>2933</v>
      </c>
      <c r="N212" s="8" t="s">
        <v>2937</v>
      </c>
      <c r="O212" s="1" t="s">
        <v>2934</v>
      </c>
      <c r="P212">
        <v>30</v>
      </c>
      <c r="Q212">
        <v>30</v>
      </c>
      <c r="R212">
        <v>0</v>
      </c>
      <c r="S212">
        <f t="shared" si="35"/>
        <v>30</v>
      </c>
      <c r="T212" s="1" t="s">
        <v>2935</v>
      </c>
      <c r="U212" s="1" t="s">
        <v>2932</v>
      </c>
      <c r="V212" s="3">
        <f t="shared" si="36"/>
        <v>40000</v>
      </c>
      <c r="W212" s="3">
        <f t="shared" si="37"/>
        <v>16000</v>
      </c>
      <c r="X212" s="3">
        <f t="shared" si="29"/>
        <v>1250</v>
      </c>
      <c r="Y212" s="3">
        <f t="shared" si="30"/>
        <v>1600</v>
      </c>
      <c r="Z212" s="3">
        <f t="shared" si="31"/>
        <v>1800</v>
      </c>
      <c r="AA212" s="3">
        <v>0</v>
      </c>
      <c r="AB212" s="3">
        <f>ROUND(U212 - (V212+W212+X212+Y212) - (U212/Q212 * 2),0)</f>
        <v>34483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f>SUM(V212+W212+X212+Y212+AB212)</f>
        <v>93333</v>
      </c>
      <c r="AK212" s="3">
        <f>SUM(AJ212-AA212)</f>
        <v>93333</v>
      </c>
      <c r="AL212" s="3">
        <f>IF(V212&lt;=15000,V212*12%,1800)</f>
        <v>1800</v>
      </c>
      <c r="AM212" s="3">
        <v>0</v>
      </c>
      <c r="AN212" s="3">
        <f t="shared" si="32"/>
        <v>1800</v>
      </c>
      <c r="AO212" s="12">
        <v>200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3">
        <f t="shared" si="34"/>
        <v>200</v>
      </c>
      <c r="AV212" s="3">
        <f>SUM(AJ212 - AN212 - AU212)</f>
        <v>91333</v>
      </c>
      <c r="AW212" s="11">
        <v>0</v>
      </c>
      <c r="AX212" s="11">
        <v>0</v>
      </c>
      <c r="AY212" s="11">
        <v>0</v>
      </c>
      <c r="AZ212" s="11">
        <v>0</v>
      </c>
      <c r="BA212" s="3">
        <f t="shared" si="33"/>
        <v>91333</v>
      </c>
    </row>
    <row r="213" spans="1:53" x14ac:dyDescent="0.25">
      <c r="A213" s="1" t="s">
        <v>211</v>
      </c>
      <c r="B213" s="9" t="s">
        <v>1494</v>
      </c>
      <c r="C213" s="9" t="s">
        <v>1063</v>
      </c>
      <c r="D213" s="9" t="s">
        <v>1495</v>
      </c>
      <c r="E213" s="9" t="s">
        <v>1012</v>
      </c>
      <c r="F213" s="10">
        <v>45176</v>
      </c>
      <c r="G213" s="9" t="s">
        <v>1013</v>
      </c>
      <c r="I213" s="9" t="s">
        <v>1014</v>
      </c>
      <c r="J213" s="9" t="s">
        <v>1015</v>
      </c>
      <c r="K213" s="8" t="s">
        <v>1006</v>
      </c>
      <c r="L213" s="8" t="s">
        <v>1007</v>
      </c>
      <c r="M213" s="8" t="s">
        <v>2933</v>
      </c>
      <c r="N213" s="8" t="s">
        <v>2937</v>
      </c>
      <c r="O213" s="1" t="s">
        <v>2934</v>
      </c>
      <c r="P213">
        <v>30</v>
      </c>
      <c r="Q213">
        <v>30</v>
      </c>
      <c r="R213">
        <v>0</v>
      </c>
      <c r="S213">
        <f t="shared" si="35"/>
        <v>30</v>
      </c>
      <c r="T213" s="1" t="s">
        <v>2935</v>
      </c>
      <c r="U213" s="1" t="s">
        <v>2932</v>
      </c>
      <c r="V213" s="3">
        <f t="shared" si="36"/>
        <v>40000</v>
      </c>
      <c r="W213" s="3">
        <f t="shared" si="37"/>
        <v>16000</v>
      </c>
      <c r="X213" s="3">
        <f t="shared" si="29"/>
        <v>1250</v>
      </c>
      <c r="Y213" s="3">
        <f t="shared" si="30"/>
        <v>1600</v>
      </c>
      <c r="Z213" s="3">
        <f t="shared" si="31"/>
        <v>1800</v>
      </c>
      <c r="AA213" s="3">
        <v>0</v>
      </c>
      <c r="AB213" s="3">
        <f>ROUND(U213 - (V213+W213+X213+Y213) - (U213/Q213 * 2),0)</f>
        <v>34483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f>SUM(V213+W213+X213+Y213+AB213)</f>
        <v>93333</v>
      </c>
      <c r="AK213" s="3">
        <f>SUM(AJ213-AA213)</f>
        <v>93333</v>
      </c>
      <c r="AL213" s="3">
        <f>IF(V213&lt;=15000,V213*12%,1800)</f>
        <v>1800</v>
      </c>
      <c r="AM213" s="3">
        <v>0</v>
      </c>
      <c r="AN213" s="3">
        <f t="shared" si="32"/>
        <v>1800</v>
      </c>
      <c r="AO213" s="12">
        <v>200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3">
        <f t="shared" si="34"/>
        <v>200</v>
      </c>
      <c r="AV213" s="3">
        <f>SUM(AJ213 - AN213 - AU213)</f>
        <v>91333</v>
      </c>
      <c r="AW213" s="11">
        <v>0</v>
      </c>
      <c r="AX213" s="11">
        <v>0</v>
      </c>
      <c r="AY213" s="11">
        <v>0</v>
      </c>
      <c r="AZ213" s="11">
        <v>0</v>
      </c>
      <c r="BA213" s="3">
        <f t="shared" si="33"/>
        <v>91333</v>
      </c>
    </row>
    <row r="214" spans="1:53" x14ac:dyDescent="0.25">
      <c r="A214" s="1" t="s">
        <v>212</v>
      </c>
      <c r="B214" s="9" t="s">
        <v>1430</v>
      </c>
      <c r="C214" s="9" t="s">
        <v>1482</v>
      </c>
      <c r="D214" s="9" t="s">
        <v>1493</v>
      </c>
      <c r="E214" s="9" t="s">
        <v>1012</v>
      </c>
      <c r="F214" s="10">
        <v>45188</v>
      </c>
      <c r="G214" s="9" t="s">
        <v>1013</v>
      </c>
      <c r="I214" s="9" t="s">
        <v>1035</v>
      </c>
      <c r="J214" s="9" t="s">
        <v>1048</v>
      </c>
      <c r="K214" s="8" t="s">
        <v>1006</v>
      </c>
      <c r="L214" s="8" t="s">
        <v>1007</v>
      </c>
      <c r="M214" s="8" t="s">
        <v>2933</v>
      </c>
      <c r="N214" s="8" t="s">
        <v>2937</v>
      </c>
      <c r="O214" s="1" t="s">
        <v>2934</v>
      </c>
      <c r="P214">
        <v>30</v>
      </c>
      <c r="Q214">
        <v>30</v>
      </c>
      <c r="R214">
        <v>0</v>
      </c>
      <c r="S214">
        <f t="shared" si="35"/>
        <v>30</v>
      </c>
      <c r="T214" s="1" t="s">
        <v>2935</v>
      </c>
      <c r="U214" s="1" t="s">
        <v>2932</v>
      </c>
      <c r="V214" s="3">
        <f t="shared" si="36"/>
        <v>40000</v>
      </c>
      <c r="W214" s="3">
        <f t="shared" si="37"/>
        <v>16000</v>
      </c>
      <c r="X214" s="3">
        <f t="shared" si="29"/>
        <v>1250</v>
      </c>
      <c r="Y214" s="3">
        <f t="shared" si="30"/>
        <v>1600</v>
      </c>
      <c r="Z214" s="3">
        <f t="shared" si="31"/>
        <v>1800</v>
      </c>
      <c r="AA214" s="3">
        <v>0</v>
      </c>
      <c r="AB214" s="3">
        <f>ROUND(U214 - (V214+W214+X214+Y214) - (U214/Q214 * 2),0)</f>
        <v>34483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f>SUM(V214+W214+X214+Y214+AB214)</f>
        <v>93333</v>
      </c>
      <c r="AK214" s="3">
        <f>SUM(AJ214-AA214)</f>
        <v>93333</v>
      </c>
      <c r="AL214" s="3">
        <f>IF(V214&lt;=15000,V214*12%,1800)</f>
        <v>1800</v>
      </c>
      <c r="AM214" s="3">
        <v>0</v>
      </c>
      <c r="AN214" s="3">
        <f t="shared" si="32"/>
        <v>1800</v>
      </c>
      <c r="AO214" s="12">
        <v>200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3">
        <f t="shared" si="34"/>
        <v>200</v>
      </c>
      <c r="AV214" s="3">
        <f>SUM(AJ214 - AN214 - AU214)</f>
        <v>91333</v>
      </c>
      <c r="AW214" s="11">
        <v>0</v>
      </c>
      <c r="AX214" s="11">
        <v>0</v>
      </c>
      <c r="AY214" s="11">
        <v>0</v>
      </c>
      <c r="AZ214" s="11">
        <v>0</v>
      </c>
      <c r="BA214" s="3">
        <f t="shared" si="33"/>
        <v>91333</v>
      </c>
    </row>
    <row r="215" spans="1:53" x14ac:dyDescent="0.25">
      <c r="A215" s="1" t="s">
        <v>213</v>
      </c>
      <c r="B215" s="9" t="s">
        <v>1491</v>
      </c>
      <c r="C215" s="9" t="s">
        <v>1010</v>
      </c>
      <c r="D215" s="9" t="s">
        <v>1492</v>
      </c>
      <c r="E215" s="9" t="s">
        <v>1008</v>
      </c>
      <c r="F215" s="10">
        <v>45189</v>
      </c>
      <c r="G215" s="9" t="s">
        <v>1019</v>
      </c>
      <c r="I215" s="9" t="s">
        <v>1014</v>
      </c>
      <c r="J215" s="9" t="s">
        <v>1015</v>
      </c>
      <c r="K215" s="8" t="s">
        <v>1006</v>
      </c>
      <c r="L215" s="8" t="s">
        <v>1007</v>
      </c>
      <c r="M215" s="8" t="s">
        <v>2933</v>
      </c>
      <c r="N215" s="8" t="s">
        <v>2937</v>
      </c>
      <c r="O215" s="1" t="s">
        <v>2934</v>
      </c>
      <c r="P215">
        <v>30</v>
      </c>
      <c r="Q215">
        <v>30</v>
      </c>
      <c r="R215">
        <v>0</v>
      </c>
      <c r="S215">
        <f t="shared" si="35"/>
        <v>30</v>
      </c>
      <c r="T215" s="1" t="s">
        <v>2935</v>
      </c>
      <c r="U215" s="1" t="s">
        <v>2932</v>
      </c>
      <c r="V215" s="3">
        <f t="shared" si="36"/>
        <v>40000</v>
      </c>
      <c r="W215" s="3">
        <f t="shared" si="37"/>
        <v>16000</v>
      </c>
      <c r="X215" s="3">
        <f t="shared" si="29"/>
        <v>1250</v>
      </c>
      <c r="Y215" s="3">
        <f t="shared" si="30"/>
        <v>1600</v>
      </c>
      <c r="Z215" s="3">
        <f t="shared" si="31"/>
        <v>1800</v>
      </c>
      <c r="AA215" s="3">
        <v>0</v>
      </c>
      <c r="AB215" s="3">
        <f>ROUND(U215 - (V215+W215+X215+Y215) - (U215/Q215 * 2),0)</f>
        <v>34483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f>SUM(V215+W215+X215+Y215+AB215)</f>
        <v>93333</v>
      </c>
      <c r="AK215" s="3">
        <f>SUM(AJ215-AA215)</f>
        <v>93333</v>
      </c>
      <c r="AL215" s="3">
        <f>IF(V215&lt;=15000,V215*12%,1800)</f>
        <v>1800</v>
      </c>
      <c r="AM215" s="3">
        <v>0</v>
      </c>
      <c r="AN215" s="3">
        <f t="shared" si="32"/>
        <v>1800</v>
      </c>
      <c r="AO215" s="12">
        <v>200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3">
        <f t="shared" si="34"/>
        <v>200</v>
      </c>
      <c r="AV215" s="3">
        <f>SUM(AJ215 - AN215 - AU215)</f>
        <v>91333</v>
      </c>
      <c r="AW215" s="11">
        <v>0</v>
      </c>
      <c r="AX215" s="11">
        <v>0</v>
      </c>
      <c r="AY215" s="11">
        <v>0</v>
      </c>
      <c r="AZ215" s="11">
        <v>0</v>
      </c>
      <c r="BA215" s="3">
        <f t="shared" si="33"/>
        <v>91333</v>
      </c>
    </row>
    <row r="216" spans="1:53" x14ac:dyDescent="0.25">
      <c r="A216" s="1" t="s">
        <v>214</v>
      </c>
      <c r="B216" s="9" t="s">
        <v>1223</v>
      </c>
      <c r="C216" s="9" t="s">
        <v>1026</v>
      </c>
      <c r="D216" s="9" t="s">
        <v>1490</v>
      </c>
      <c r="E216" s="9" t="s">
        <v>1008</v>
      </c>
      <c r="F216" s="10">
        <v>45201</v>
      </c>
      <c r="G216" s="9" t="s">
        <v>1019</v>
      </c>
      <c r="I216" s="9" t="s">
        <v>1014</v>
      </c>
      <c r="J216" s="9" t="s">
        <v>1015</v>
      </c>
      <c r="K216" s="8" t="s">
        <v>1006</v>
      </c>
      <c r="L216" s="8" t="s">
        <v>1007</v>
      </c>
      <c r="M216" s="8" t="s">
        <v>2933</v>
      </c>
      <c r="N216" s="8" t="s">
        <v>2937</v>
      </c>
      <c r="O216" s="1" t="s">
        <v>2934</v>
      </c>
      <c r="P216">
        <v>30</v>
      </c>
      <c r="Q216">
        <v>30</v>
      </c>
      <c r="R216">
        <v>0</v>
      </c>
      <c r="S216">
        <f t="shared" si="35"/>
        <v>30</v>
      </c>
      <c r="T216" s="1" t="s">
        <v>2935</v>
      </c>
      <c r="U216" s="1" t="s">
        <v>2932</v>
      </c>
      <c r="V216" s="3">
        <f t="shared" si="36"/>
        <v>40000</v>
      </c>
      <c r="W216" s="3">
        <f t="shared" si="37"/>
        <v>16000</v>
      </c>
      <c r="X216" s="3">
        <f t="shared" si="29"/>
        <v>1250</v>
      </c>
      <c r="Y216" s="3">
        <f t="shared" si="30"/>
        <v>1600</v>
      </c>
      <c r="Z216" s="3">
        <f t="shared" si="31"/>
        <v>1800</v>
      </c>
      <c r="AA216" s="3">
        <v>0</v>
      </c>
      <c r="AB216" s="3">
        <f>ROUND(U216 - (V216+W216+X216+Y216) - (U216/Q216 * 2),0)</f>
        <v>34483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f>SUM(V216+W216+X216+Y216+AB216)</f>
        <v>93333</v>
      </c>
      <c r="AK216" s="3">
        <f>SUM(AJ216-AA216)</f>
        <v>93333</v>
      </c>
      <c r="AL216" s="3">
        <f>IF(V216&lt;=15000,V216*12%,1800)</f>
        <v>1800</v>
      </c>
      <c r="AM216" s="3">
        <v>0</v>
      </c>
      <c r="AN216" s="3">
        <f t="shared" si="32"/>
        <v>1800</v>
      </c>
      <c r="AO216" s="12">
        <v>200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3">
        <f t="shared" si="34"/>
        <v>200</v>
      </c>
      <c r="AV216" s="3">
        <f>SUM(AJ216 - AN216 - AU216)</f>
        <v>91333</v>
      </c>
      <c r="AW216" s="11">
        <v>0</v>
      </c>
      <c r="AX216" s="11">
        <v>0</v>
      </c>
      <c r="AY216" s="11">
        <v>0</v>
      </c>
      <c r="AZ216" s="11">
        <v>0</v>
      </c>
      <c r="BA216" s="3">
        <f t="shared" si="33"/>
        <v>91333</v>
      </c>
    </row>
    <row r="217" spans="1:53" x14ac:dyDescent="0.25">
      <c r="A217" s="1" t="s">
        <v>215</v>
      </c>
      <c r="B217" s="9" t="s">
        <v>1488</v>
      </c>
      <c r="C217" s="9" t="s">
        <v>1320</v>
      </c>
      <c r="D217" s="9" t="s">
        <v>1489</v>
      </c>
      <c r="E217" s="9" t="s">
        <v>1008</v>
      </c>
      <c r="F217" s="10">
        <v>45201</v>
      </c>
      <c r="G217" s="9" t="s">
        <v>1019</v>
      </c>
      <c r="I217" s="9" t="s">
        <v>1014</v>
      </c>
      <c r="J217" s="9" t="s">
        <v>1015</v>
      </c>
      <c r="K217" s="8" t="s">
        <v>1006</v>
      </c>
      <c r="L217" s="8" t="s">
        <v>1007</v>
      </c>
      <c r="M217" s="8" t="s">
        <v>2933</v>
      </c>
      <c r="N217" s="8" t="s">
        <v>2937</v>
      </c>
      <c r="O217" s="1" t="s">
        <v>2934</v>
      </c>
      <c r="P217">
        <v>30</v>
      </c>
      <c r="Q217">
        <v>30</v>
      </c>
      <c r="R217">
        <v>0</v>
      </c>
      <c r="S217">
        <f t="shared" si="35"/>
        <v>30</v>
      </c>
      <c r="T217" s="1" t="s">
        <v>2935</v>
      </c>
      <c r="U217" s="1" t="s">
        <v>2932</v>
      </c>
      <c r="V217" s="3">
        <f t="shared" si="36"/>
        <v>40000</v>
      </c>
      <c r="W217" s="3">
        <f t="shared" si="37"/>
        <v>16000</v>
      </c>
      <c r="X217" s="3">
        <f t="shared" si="29"/>
        <v>1250</v>
      </c>
      <c r="Y217" s="3">
        <f t="shared" si="30"/>
        <v>1600</v>
      </c>
      <c r="Z217" s="3">
        <f t="shared" si="31"/>
        <v>1800</v>
      </c>
      <c r="AA217" s="3">
        <v>0</v>
      </c>
      <c r="AB217" s="3">
        <f>ROUND(U217 - (V217+W217+X217+Y217) - (U217/Q217 * 2),0)</f>
        <v>34483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f>SUM(V217+W217+X217+Y217+AB217)</f>
        <v>93333</v>
      </c>
      <c r="AK217" s="3">
        <f>SUM(AJ217-AA217)</f>
        <v>93333</v>
      </c>
      <c r="AL217" s="3">
        <f>IF(V217&lt;=15000,V217*12%,1800)</f>
        <v>1800</v>
      </c>
      <c r="AM217" s="3">
        <v>0</v>
      </c>
      <c r="AN217" s="3">
        <f t="shared" si="32"/>
        <v>1800</v>
      </c>
      <c r="AO217" s="12">
        <v>200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3">
        <f t="shared" si="34"/>
        <v>200</v>
      </c>
      <c r="AV217" s="3">
        <f>SUM(AJ217 - AN217 - AU217)</f>
        <v>91333</v>
      </c>
      <c r="AW217" s="11">
        <v>0</v>
      </c>
      <c r="AX217" s="11">
        <v>0</v>
      </c>
      <c r="AY217" s="11">
        <v>0</v>
      </c>
      <c r="AZ217" s="11">
        <v>0</v>
      </c>
      <c r="BA217" s="3">
        <f t="shared" si="33"/>
        <v>91333</v>
      </c>
    </row>
    <row r="218" spans="1:53" x14ac:dyDescent="0.25">
      <c r="A218" s="1" t="s">
        <v>216</v>
      </c>
      <c r="B218" s="9" t="s">
        <v>1486</v>
      </c>
      <c r="C218" s="9" t="s">
        <v>1026</v>
      </c>
      <c r="D218" s="9" t="s">
        <v>1487</v>
      </c>
      <c r="E218" s="9" t="s">
        <v>1012</v>
      </c>
      <c r="F218" s="10">
        <v>45203</v>
      </c>
      <c r="G218" s="9" t="s">
        <v>1019</v>
      </c>
      <c r="I218" s="9" t="s">
        <v>1014</v>
      </c>
      <c r="J218" s="9" t="s">
        <v>1015</v>
      </c>
      <c r="K218" s="8" t="s">
        <v>1006</v>
      </c>
      <c r="L218" s="8" t="s">
        <v>1007</v>
      </c>
      <c r="M218" s="8" t="s">
        <v>2933</v>
      </c>
      <c r="N218" s="8" t="s">
        <v>2937</v>
      </c>
      <c r="O218" s="1" t="s">
        <v>2934</v>
      </c>
      <c r="P218">
        <v>30</v>
      </c>
      <c r="Q218">
        <v>30</v>
      </c>
      <c r="R218">
        <v>0</v>
      </c>
      <c r="S218">
        <f t="shared" si="35"/>
        <v>30</v>
      </c>
      <c r="T218" s="1" t="s">
        <v>2935</v>
      </c>
      <c r="U218" s="1" t="s">
        <v>2932</v>
      </c>
      <c r="V218" s="3">
        <f t="shared" si="36"/>
        <v>40000</v>
      </c>
      <c r="W218" s="3">
        <f t="shared" si="37"/>
        <v>16000</v>
      </c>
      <c r="X218" s="3">
        <f t="shared" si="29"/>
        <v>1250</v>
      </c>
      <c r="Y218" s="3">
        <f t="shared" si="30"/>
        <v>1600</v>
      </c>
      <c r="Z218" s="3">
        <f t="shared" si="31"/>
        <v>1800</v>
      </c>
      <c r="AA218" s="3">
        <v>0</v>
      </c>
      <c r="AB218" s="3">
        <f>ROUND(U218 - (V218+W218+X218+Y218) - (U218/Q218 * 2),0)</f>
        <v>34483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f>SUM(V218+W218+X218+Y218+AB218)</f>
        <v>93333</v>
      </c>
      <c r="AK218" s="3">
        <f>SUM(AJ218-AA218)</f>
        <v>93333</v>
      </c>
      <c r="AL218" s="3">
        <f>IF(V218&lt;=15000,V218*12%,1800)</f>
        <v>1800</v>
      </c>
      <c r="AM218" s="3">
        <v>0</v>
      </c>
      <c r="AN218" s="3">
        <f t="shared" si="32"/>
        <v>1800</v>
      </c>
      <c r="AO218" s="12">
        <v>200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3">
        <f t="shared" si="34"/>
        <v>200</v>
      </c>
      <c r="AV218" s="3">
        <f>SUM(AJ218 - AN218 - AU218)</f>
        <v>91333</v>
      </c>
      <c r="AW218" s="11">
        <v>0</v>
      </c>
      <c r="AX218" s="11">
        <v>0</v>
      </c>
      <c r="AY218" s="11">
        <v>0</v>
      </c>
      <c r="AZ218" s="11">
        <v>0</v>
      </c>
      <c r="BA218" s="3">
        <f t="shared" si="33"/>
        <v>91333</v>
      </c>
    </row>
    <row r="219" spans="1:53" x14ac:dyDescent="0.25">
      <c r="A219" s="1" t="s">
        <v>217</v>
      </c>
      <c r="B219" s="9" t="s">
        <v>1484</v>
      </c>
      <c r="C219" s="9" t="s">
        <v>1063</v>
      </c>
      <c r="D219" s="9" t="s">
        <v>1485</v>
      </c>
      <c r="E219" s="9" t="s">
        <v>1012</v>
      </c>
      <c r="F219" s="10">
        <v>45208</v>
      </c>
      <c r="G219" s="9" t="s">
        <v>1019</v>
      </c>
      <c r="I219" s="9" t="s">
        <v>1014</v>
      </c>
      <c r="J219" s="9" t="s">
        <v>1015</v>
      </c>
      <c r="K219" s="8" t="s">
        <v>1006</v>
      </c>
      <c r="L219" s="8" t="s">
        <v>1007</v>
      </c>
      <c r="M219" s="8" t="s">
        <v>2933</v>
      </c>
      <c r="N219" s="8" t="s">
        <v>2937</v>
      </c>
      <c r="O219" s="1" t="s">
        <v>2934</v>
      </c>
      <c r="P219">
        <v>30</v>
      </c>
      <c r="Q219">
        <v>30</v>
      </c>
      <c r="R219">
        <v>0</v>
      </c>
      <c r="S219">
        <f t="shared" si="35"/>
        <v>30</v>
      </c>
      <c r="T219" s="1" t="s">
        <v>2935</v>
      </c>
      <c r="U219" s="1" t="s">
        <v>2932</v>
      </c>
      <c r="V219" s="3">
        <f t="shared" si="36"/>
        <v>40000</v>
      </c>
      <c r="W219" s="3">
        <f t="shared" si="37"/>
        <v>16000</v>
      </c>
      <c r="X219" s="3">
        <f t="shared" si="29"/>
        <v>1250</v>
      </c>
      <c r="Y219" s="3">
        <f t="shared" si="30"/>
        <v>1600</v>
      </c>
      <c r="Z219" s="3">
        <f t="shared" si="31"/>
        <v>1800</v>
      </c>
      <c r="AA219" s="3">
        <v>0</v>
      </c>
      <c r="AB219" s="3">
        <f>ROUND(U219 - (V219+W219+X219+Y219) - (U219/Q219 * 2),0)</f>
        <v>34483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f>SUM(V219+W219+X219+Y219+AB219)</f>
        <v>93333</v>
      </c>
      <c r="AK219" s="3">
        <f>SUM(AJ219-AA219)</f>
        <v>93333</v>
      </c>
      <c r="AL219" s="3">
        <f>IF(V219&lt;=15000,V219*12%,1800)</f>
        <v>1800</v>
      </c>
      <c r="AM219" s="3">
        <v>0</v>
      </c>
      <c r="AN219" s="3">
        <f t="shared" si="32"/>
        <v>1800</v>
      </c>
      <c r="AO219" s="12">
        <v>200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3">
        <f t="shared" si="34"/>
        <v>200</v>
      </c>
      <c r="AV219" s="3">
        <f>SUM(AJ219 - AN219 - AU219)</f>
        <v>91333</v>
      </c>
      <c r="AW219" s="11">
        <v>0</v>
      </c>
      <c r="AX219" s="11">
        <v>0</v>
      </c>
      <c r="AY219" s="11">
        <v>0</v>
      </c>
      <c r="AZ219" s="11">
        <v>0</v>
      </c>
      <c r="BA219" s="3">
        <f t="shared" si="33"/>
        <v>91333</v>
      </c>
    </row>
    <row r="220" spans="1:53" x14ac:dyDescent="0.25">
      <c r="A220" s="1" t="s">
        <v>218</v>
      </c>
      <c r="B220" s="9" t="s">
        <v>1481</v>
      </c>
      <c r="C220" s="9" t="s">
        <v>1482</v>
      </c>
      <c r="D220" s="9" t="s">
        <v>1483</v>
      </c>
      <c r="E220" s="9" t="s">
        <v>1012</v>
      </c>
      <c r="F220" s="10">
        <v>45166</v>
      </c>
      <c r="G220" s="9" t="s">
        <v>1019</v>
      </c>
      <c r="I220" s="9" t="s">
        <v>1042</v>
      </c>
      <c r="J220" s="9" t="s">
        <v>1048</v>
      </c>
      <c r="K220" s="8" t="s">
        <v>1006</v>
      </c>
      <c r="L220" s="8" t="s">
        <v>1007</v>
      </c>
      <c r="M220" s="8" t="s">
        <v>2933</v>
      </c>
      <c r="N220" s="8" t="s">
        <v>2937</v>
      </c>
      <c r="O220" s="1" t="s">
        <v>2934</v>
      </c>
      <c r="P220">
        <v>30</v>
      </c>
      <c r="Q220">
        <v>30</v>
      </c>
      <c r="R220">
        <v>0</v>
      </c>
      <c r="S220">
        <f t="shared" si="35"/>
        <v>30</v>
      </c>
      <c r="T220" s="1" t="s">
        <v>2935</v>
      </c>
      <c r="U220" s="1" t="s">
        <v>2932</v>
      </c>
      <c r="V220" s="3">
        <f t="shared" si="36"/>
        <v>40000</v>
      </c>
      <c r="W220" s="3">
        <f t="shared" si="37"/>
        <v>16000</v>
      </c>
      <c r="X220" s="3">
        <f t="shared" si="29"/>
        <v>1250</v>
      </c>
      <c r="Y220" s="3">
        <f t="shared" si="30"/>
        <v>1600</v>
      </c>
      <c r="Z220" s="3">
        <f t="shared" si="31"/>
        <v>1800</v>
      </c>
      <c r="AA220" s="3">
        <v>0</v>
      </c>
      <c r="AB220" s="3">
        <f>ROUND(U220 - (V220+W220+X220+Y220) - (U220/Q220 * 2),0)</f>
        <v>34483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f>SUM(V220+W220+X220+Y220+AB220)</f>
        <v>93333</v>
      </c>
      <c r="AK220" s="3">
        <f>SUM(AJ220-AA220)</f>
        <v>93333</v>
      </c>
      <c r="AL220" s="3">
        <f>IF(V220&lt;=15000,V220*12%,1800)</f>
        <v>1800</v>
      </c>
      <c r="AM220" s="3">
        <v>0</v>
      </c>
      <c r="AN220" s="3">
        <f t="shared" si="32"/>
        <v>1800</v>
      </c>
      <c r="AO220" s="12">
        <v>200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3">
        <f t="shared" si="34"/>
        <v>200</v>
      </c>
      <c r="AV220" s="3">
        <f>SUM(AJ220 - AN220 - AU220)</f>
        <v>91333</v>
      </c>
      <c r="AW220" s="11">
        <v>0</v>
      </c>
      <c r="AX220" s="11">
        <v>0</v>
      </c>
      <c r="AY220" s="11">
        <v>0</v>
      </c>
      <c r="AZ220" s="11">
        <v>0</v>
      </c>
      <c r="BA220" s="3">
        <f t="shared" si="33"/>
        <v>91333</v>
      </c>
    </row>
    <row r="221" spans="1:53" x14ac:dyDescent="0.25">
      <c r="A221" s="1" t="s">
        <v>219</v>
      </c>
      <c r="B221" s="9" t="s">
        <v>1479</v>
      </c>
      <c r="C221" s="9" t="s">
        <v>1063</v>
      </c>
      <c r="D221" s="9" t="s">
        <v>1480</v>
      </c>
      <c r="E221" s="9" t="s">
        <v>1012</v>
      </c>
      <c r="F221" s="10">
        <v>45210</v>
      </c>
      <c r="G221" s="9" t="s">
        <v>1013</v>
      </c>
      <c r="I221" s="9" t="s">
        <v>1020</v>
      </c>
      <c r="J221" s="9" t="s">
        <v>1015</v>
      </c>
      <c r="K221" s="8" t="s">
        <v>1006</v>
      </c>
      <c r="L221" s="8" t="s">
        <v>1007</v>
      </c>
      <c r="M221" s="8" t="s">
        <v>2933</v>
      </c>
      <c r="N221" s="8" t="s">
        <v>2937</v>
      </c>
      <c r="O221" s="1" t="s">
        <v>2934</v>
      </c>
      <c r="P221">
        <v>30</v>
      </c>
      <c r="Q221">
        <v>30</v>
      </c>
      <c r="R221">
        <v>0</v>
      </c>
      <c r="S221">
        <f t="shared" si="35"/>
        <v>30</v>
      </c>
      <c r="T221" s="1" t="s">
        <v>2935</v>
      </c>
      <c r="U221" s="1" t="s">
        <v>2932</v>
      </c>
      <c r="V221" s="3">
        <f t="shared" si="36"/>
        <v>40000</v>
      </c>
      <c r="W221" s="3">
        <f t="shared" si="37"/>
        <v>16000</v>
      </c>
      <c r="X221" s="3">
        <f t="shared" si="29"/>
        <v>1250</v>
      </c>
      <c r="Y221" s="3">
        <f t="shared" si="30"/>
        <v>1600</v>
      </c>
      <c r="Z221" s="3">
        <f t="shared" si="31"/>
        <v>1800</v>
      </c>
      <c r="AA221" s="3">
        <v>0</v>
      </c>
      <c r="AB221" s="3">
        <f>ROUND(U221 - (V221+W221+X221+Y221) - (U221/Q221 * 2),0)</f>
        <v>34483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f>SUM(V221+W221+X221+Y221+AB221)</f>
        <v>93333</v>
      </c>
      <c r="AK221" s="3">
        <f>SUM(AJ221-AA221)</f>
        <v>93333</v>
      </c>
      <c r="AL221" s="3">
        <f>IF(V221&lt;=15000,V221*12%,1800)</f>
        <v>1800</v>
      </c>
      <c r="AM221" s="3">
        <v>0</v>
      </c>
      <c r="AN221" s="3">
        <f t="shared" si="32"/>
        <v>1800</v>
      </c>
      <c r="AO221" s="12">
        <v>200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3">
        <f t="shared" si="34"/>
        <v>200</v>
      </c>
      <c r="AV221" s="3">
        <f>SUM(AJ221 - AN221 - AU221)</f>
        <v>91333</v>
      </c>
      <c r="AW221" s="11">
        <v>0</v>
      </c>
      <c r="AX221" s="11">
        <v>0</v>
      </c>
      <c r="AY221" s="11">
        <v>0</v>
      </c>
      <c r="AZ221" s="11">
        <v>0</v>
      </c>
      <c r="BA221" s="3">
        <f t="shared" si="33"/>
        <v>91333</v>
      </c>
    </row>
    <row r="222" spans="1:53" x14ac:dyDescent="0.25">
      <c r="A222" s="1" t="s">
        <v>220</v>
      </c>
      <c r="B222" s="9" t="s">
        <v>1477</v>
      </c>
      <c r="C222" s="9" t="s">
        <v>1023</v>
      </c>
      <c r="D222" s="9" t="s">
        <v>1478</v>
      </c>
      <c r="E222" s="9" t="s">
        <v>1012</v>
      </c>
      <c r="F222" s="10">
        <v>45225</v>
      </c>
      <c r="G222" s="9" t="s">
        <v>1013</v>
      </c>
      <c r="I222" s="9" t="s">
        <v>1014</v>
      </c>
      <c r="J222" s="9" t="s">
        <v>1021</v>
      </c>
      <c r="K222" s="8" t="s">
        <v>1006</v>
      </c>
      <c r="L222" s="8" t="s">
        <v>1007</v>
      </c>
      <c r="M222" s="8" t="s">
        <v>2933</v>
      </c>
      <c r="N222" s="8" t="s">
        <v>2937</v>
      </c>
      <c r="O222" s="1" t="s">
        <v>2934</v>
      </c>
      <c r="P222">
        <v>30</v>
      </c>
      <c r="Q222">
        <v>30</v>
      </c>
      <c r="R222">
        <v>0</v>
      </c>
      <c r="S222">
        <f t="shared" si="35"/>
        <v>30</v>
      </c>
      <c r="T222" s="1" t="s">
        <v>2935</v>
      </c>
      <c r="U222" s="1" t="s">
        <v>2932</v>
      </c>
      <c r="V222" s="3">
        <f t="shared" si="36"/>
        <v>40000</v>
      </c>
      <c r="W222" s="3">
        <f t="shared" si="37"/>
        <v>16000</v>
      </c>
      <c r="X222" s="3">
        <f t="shared" si="29"/>
        <v>1250</v>
      </c>
      <c r="Y222" s="3">
        <f t="shared" si="30"/>
        <v>1600</v>
      </c>
      <c r="Z222" s="3">
        <f t="shared" si="31"/>
        <v>1800</v>
      </c>
      <c r="AA222" s="3">
        <v>0</v>
      </c>
      <c r="AB222" s="3">
        <f>ROUND(U222 - (V222+W222+X222+Y222) - (U222/Q222 * 2),0)</f>
        <v>34483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f>SUM(V222+W222+X222+Y222+AB222)</f>
        <v>93333</v>
      </c>
      <c r="AK222" s="3">
        <f>SUM(AJ222-AA222)</f>
        <v>93333</v>
      </c>
      <c r="AL222" s="3">
        <f>IF(V222&lt;=15000,V222*12%,1800)</f>
        <v>1800</v>
      </c>
      <c r="AM222" s="3">
        <v>0</v>
      </c>
      <c r="AN222" s="3">
        <f t="shared" si="32"/>
        <v>1800</v>
      </c>
      <c r="AO222" s="12">
        <v>200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3">
        <f t="shared" si="34"/>
        <v>200</v>
      </c>
      <c r="AV222" s="3">
        <f>SUM(AJ222 - AN222 - AU222)</f>
        <v>91333</v>
      </c>
      <c r="AW222" s="11">
        <v>0</v>
      </c>
      <c r="AX222" s="11">
        <v>0</v>
      </c>
      <c r="AY222" s="11">
        <v>0</v>
      </c>
      <c r="AZ222" s="11">
        <v>0</v>
      </c>
      <c r="BA222" s="3">
        <f t="shared" si="33"/>
        <v>91333</v>
      </c>
    </row>
    <row r="223" spans="1:53" x14ac:dyDescent="0.25">
      <c r="A223" s="1" t="s">
        <v>221</v>
      </c>
      <c r="B223" s="9" t="s">
        <v>1534</v>
      </c>
      <c r="C223" s="9" t="s">
        <v>1023</v>
      </c>
      <c r="D223" s="9" t="s">
        <v>1535</v>
      </c>
      <c r="E223" s="9" t="s">
        <v>1012</v>
      </c>
      <c r="F223" s="10">
        <v>45225</v>
      </c>
      <c r="G223" s="9" t="s">
        <v>1013</v>
      </c>
      <c r="I223" s="9" t="s">
        <v>1014</v>
      </c>
      <c r="J223" s="9" t="s">
        <v>1021</v>
      </c>
      <c r="K223" s="8" t="s">
        <v>1006</v>
      </c>
      <c r="L223" s="8" t="s">
        <v>1007</v>
      </c>
      <c r="M223" s="8" t="s">
        <v>2933</v>
      </c>
      <c r="N223" s="8" t="s">
        <v>2937</v>
      </c>
      <c r="O223" s="1" t="s">
        <v>2934</v>
      </c>
      <c r="P223">
        <v>30</v>
      </c>
      <c r="Q223">
        <v>30</v>
      </c>
      <c r="R223">
        <v>0</v>
      </c>
      <c r="S223">
        <f t="shared" si="35"/>
        <v>30</v>
      </c>
      <c r="T223" s="1" t="s">
        <v>2935</v>
      </c>
      <c r="U223" s="1" t="s">
        <v>2932</v>
      </c>
      <c r="V223" s="3">
        <f t="shared" si="36"/>
        <v>40000</v>
      </c>
      <c r="W223" s="3">
        <f t="shared" si="37"/>
        <v>16000</v>
      </c>
      <c r="X223" s="3">
        <f t="shared" si="29"/>
        <v>1250</v>
      </c>
      <c r="Y223" s="3">
        <f t="shared" si="30"/>
        <v>1600</v>
      </c>
      <c r="Z223" s="3">
        <f t="shared" si="31"/>
        <v>1800</v>
      </c>
      <c r="AA223" s="3">
        <v>0</v>
      </c>
      <c r="AB223" s="3">
        <f>ROUND(U223 - (V223+W223+X223+Y223) - (U223/Q223 * 2),0)</f>
        <v>34483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f>SUM(V223+W223+X223+Y223+AB223)</f>
        <v>93333</v>
      </c>
      <c r="AK223" s="3">
        <f>SUM(AJ223-AA223)</f>
        <v>93333</v>
      </c>
      <c r="AL223" s="3">
        <f>IF(V223&lt;=15000,V223*12%,1800)</f>
        <v>1800</v>
      </c>
      <c r="AM223" s="3">
        <v>0</v>
      </c>
      <c r="AN223" s="3">
        <f t="shared" si="32"/>
        <v>1800</v>
      </c>
      <c r="AO223" s="12">
        <v>200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3">
        <f t="shared" si="34"/>
        <v>200</v>
      </c>
      <c r="AV223" s="3">
        <f>SUM(AJ223 - AN223 - AU223)</f>
        <v>91333</v>
      </c>
      <c r="AW223" s="11">
        <v>0</v>
      </c>
      <c r="AX223" s="11">
        <v>0</v>
      </c>
      <c r="AY223" s="11">
        <v>0</v>
      </c>
      <c r="AZ223" s="11">
        <v>0</v>
      </c>
      <c r="BA223" s="3">
        <f t="shared" si="33"/>
        <v>91333</v>
      </c>
    </row>
    <row r="224" spans="1:53" x14ac:dyDescent="0.25">
      <c r="A224" s="1" t="s">
        <v>222</v>
      </c>
      <c r="B224" s="9" t="s">
        <v>1532</v>
      </c>
      <c r="C224" s="9" t="s">
        <v>1063</v>
      </c>
      <c r="D224" s="9" t="s">
        <v>1533</v>
      </c>
      <c r="E224" s="9" t="s">
        <v>1008</v>
      </c>
      <c r="F224" s="10">
        <v>45250</v>
      </c>
      <c r="G224" s="9" t="s">
        <v>1019</v>
      </c>
      <c r="I224" s="9" t="s">
        <v>1020</v>
      </c>
      <c r="J224" s="9" t="s">
        <v>1015</v>
      </c>
      <c r="K224" s="8" t="s">
        <v>1006</v>
      </c>
      <c r="L224" s="8" t="s">
        <v>1007</v>
      </c>
      <c r="M224" s="8" t="s">
        <v>2933</v>
      </c>
      <c r="N224" s="8" t="s">
        <v>2937</v>
      </c>
      <c r="O224" s="1" t="s">
        <v>2934</v>
      </c>
      <c r="P224">
        <v>30</v>
      </c>
      <c r="Q224">
        <v>30</v>
      </c>
      <c r="R224">
        <v>0</v>
      </c>
      <c r="S224">
        <f t="shared" si="35"/>
        <v>30</v>
      </c>
      <c r="T224" s="1" t="s">
        <v>2935</v>
      </c>
      <c r="U224" s="1" t="s">
        <v>2932</v>
      </c>
      <c r="V224" s="3">
        <f t="shared" si="36"/>
        <v>40000</v>
      </c>
      <c r="W224" s="3">
        <f t="shared" si="37"/>
        <v>16000</v>
      </c>
      <c r="X224" s="3">
        <f t="shared" si="29"/>
        <v>1250</v>
      </c>
      <c r="Y224" s="3">
        <f t="shared" si="30"/>
        <v>1600</v>
      </c>
      <c r="Z224" s="3">
        <f t="shared" si="31"/>
        <v>1800</v>
      </c>
      <c r="AA224" s="3">
        <v>0</v>
      </c>
      <c r="AB224" s="3">
        <f>ROUND(U224 - (V224+W224+X224+Y224) - (U224/Q224 * 2),0)</f>
        <v>34483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f>SUM(V224+W224+X224+Y224+AB224)</f>
        <v>93333</v>
      </c>
      <c r="AK224" s="3">
        <f>SUM(AJ224-AA224)</f>
        <v>93333</v>
      </c>
      <c r="AL224" s="3">
        <f>IF(V224&lt;=15000,V224*12%,1800)</f>
        <v>1800</v>
      </c>
      <c r="AM224" s="3">
        <v>0</v>
      </c>
      <c r="AN224" s="3">
        <f t="shared" si="32"/>
        <v>1800</v>
      </c>
      <c r="AO224" s="12">
        <v>200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3">
        <f t="shared" si="34"/>
        <v>200</v>
      </c>
      <c r="AV224" s="3">
        <f>SUM(AJ224 - AN224 - AU224)</f>
        <v>91333</v>
      </c>
      <c r="AW224" s="11">
        <v>0</v>
      </c>
      <c r="AX224" s="11">
        <v>0</v>
      </c>
      <c r="AY224" s="11">
        <v>0</v>
      </c>
      <c r="AZ224" s="11">
        <v>0</v>
      </c>
      <c r="BA224" s="3">
        <f t="shared" si="33"/>
        <v>91333</v>
      </c>
    </row>
    <row r="225" spans="1:53" x14ac:dyDescent="0.25">
      <c r="A225" s="1" t="s">
        <v>223</v>
      </c>
      <c r="B225" s="9" t="s">
        <v>1531</v>
      </c>
      <c r="C225" s="9" t="s">
        <v>1017</v>
      </c>
      <c r="D225" s="9">
        <v>0</v>
      </c>
      <c r="E225" s="9" t="s">
        <v>1012</v>
      </c>
      <c r="F225" s="10">
        <v>45266</v>
      </c>
      <c r="G225" s="9" t="s">
        <v>1013</v>
      </c>
      <c r="I225" s="9" t="s">
        <v>1042</v>
      </c>
      <c r="J225" s="9" t="s">
        <v>1440</v>
      </c>
      <c r="K225" s="8" t="s">
        <v>1006</v>
      </c>
      <c r="L225" s="8" t="s">
        <v>1007</v>
      </c>
      <c r="M225" s="8" t="s">
        <v>2933</v>
      </c>
      <c r="N225" s="8" t="s">
        <v>2937</v>
      </c>
      <c r="O225" s="1" t="s">
        <v>2934</v>
      </c>
      <c r="P225">
        <v>30</v>
      </c>
      <c r="Q225">
        <v>30</v>
      </c>
      <c r="R225">
        <v>0</v>
      </c>
      <c r="S225">
        <f t="shared" si="35"/>
        <v>30</v>
      </c>
      <c r="T225" s="1" t="s">
        <v>2935</v>
      </c>
      <c r="U225" s="1" t="s">
        <v>2932</v>
      </c>
      <c r="V225" s="3">
        <f t="shared" si="36"/>
        <v>40000</v>
      </c>
      <c r="W225" s="3">
        <f t="shared" si="37"/>
        <v>16000</v>
      </c>
      <c r="X225" s="3">
        <f t="shared" si="29"/>
        <v>1250</v>
      </c>
      <c r="Y225" s="3">
        <f t="shared" si="30"/>
        <v>1600</v>
      </c>
      <c r="Z225" s="3">
        <f t="shared" si="31"/>
        <v>1800</v>
      </c>
      <c r="AA225" s="3">
        <v>0</v>
      </c>
      <c r="AB225" s="3">
        <f>ROUND(U225 - (V225+W225+X225+Y225) - (U225/Q225 * 2),0)</f>
        <v>34483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f>SUM(V225+W225+X225+Y225+AB225)</f>
        <v>93333</v>
      </c>
      <c r="AK225" s="3">
        <f>SUM(AJ225-AA225)</f>
        <v>93333</v>
      </c>
      <c r="AL225" s="3">
        <f>IF(V225&lt;=15000,V225*12%,1800)</f>
        <v>1800</v>
      </c>
      <c r="AM225" s="3">
        <v>0</v>
      </c>
      <c r="AN225" s="3">
        <f t="shared" si="32"/>
        <v>1800</v>
      </c>
      <c r="AO225" s="12">
        <v>200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3">
        <f t="shared" si="34"/>
        <v>200</v>
      </c>
      <c r="AV225" s="3">
        <f>SUM(AJ225 - AN225 - AU225)</f>
        <v>91333</v>
      </c>
      <c r="AW225" s="11">
        <v>0</v>
      </c>
      <c r="AX225" s="11">
        <v>0</v>
      </c>
      <c r="AY225" s="11">
        <v>0</v>
      </c>
      <c r="AZ225" s="11">
        <v>0</v>
      </c>
      <c r="BA225" s="3">
        <f t="shared" si="33"/>
        <v>91333</v>
      </c>
    </row>
    <row r="226" spans="1:53" x14ac:dyDescent="0.25">
      <c r="A226" s="1" t="s">
        <v>224</v>
      </c>
      <c r="B226" s="9" t="s">
        <v>1529</v>
      </c>
      <c r="C226" s="9" t="s">
        <v>1063</v>
      </c>
      <c r="D226" s="9" t="s">
        <v>1530</v>
      </c>
      <c r="E226" s="9" t="s">
        <v>1012</v>
      </c>
      <c r="F226" s="10">
        <v>45264</v>
      </c>
      <c r="G226" s="9" t="s">
        <v>1013</v>
      </c>
      <c r="I226" s="9" t="s">
        <v>1020</v>
      </c>
      <c r="J226" s="9" t="s">
        <v>1015</v>
      </c>
      <c r="K226" s="8" t="s">
        <v>1006</v>
      </c>
      <c r="L226" s="8" t="s">
        <v>1007</v>
      </c>
      <c r="M226" s="8" t="s">
        <v>2933</v>
      </c>
      <c r="N226" s="8" t="s">
        <v>2937</v>
      </c>
      <c r="O226" s="1" t="s">
        <v>2934</v>
      </c>
      <c r="P226">
        <v>30</v>
      </c>
      <c r="Q226">
        <v>30</v>
      </c>
      <c r="R226">
        <v>0</v>
      </c>
      <c r="S226">
        <f t="shared" si="35"/>
        <v>30</v>
      </c>
      <c r="T226" s="1" t="s">
        <v>2935</v>
      </c>
      <c r="U226" s="1" t="s">
        <v>2932</v>
      </c>
      <c r="V226" s="3">
        <f t="shared" si="36"/>
        <v>40000</v>
      </c>
      <c r="W226" s="3">
        <f t="shared" si="37"/>
        <v>16000</v>
      </c>
      <c r="X226" s="3">
        <f t="shared" si="29"/>
        <v>1250</v>
      </c>
      <c r="Y226" s="3">
        <f t="shared" si="30"/>
        <v>1600</v>
      </c>
      <c r="Z226" s="3">
        <f t="shared" si="31"/>
        <v>1800</v>
      </c>
      <c r="AA226" s="3">
        <v>0</v>
      </c>
      <c r="AB226" s="3">
        <f>ROUND(U226 - (V226+W226+X226+Y226) - (U226/Q226 * 2),0)</f>
        <v>34483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f>SUM(V226+W226+X226+Y226+AB226)</f>
        <v>93333</v>
      </c>
      <c r="AK226" s="3">
        <f>SUM(AJ226-AA226)</f>
        <v>93333</v>
      </c>
      <c r="AL226" s="3">
        <f>IF(V226&lt;=15000,V226*12%,1800)</f>
        <v>1800</v>
      </c>
      <c r="AM226" s="3">
        <v>0</v>
      </c>
      <c r="AN226" s="3">
        <f t="shared" si="32"/>
        <v>1800</v>
      </c>
      <c r="AO226" s="12">
        <v>200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3">
        <f t="shared" si="34"/>
        <v>200</v>
      </c>
      <c r="AV226" s="3">
        <f>SUM(AJ226 - AN226 - AU226)</f>
        <v>91333</v>
      </c>
      <c r="AW226" s="11">
        <v>0</v>
      </c>
      <c r="AX226" s="11">
        <v>0</v>
      </c>
      <c r="AY226" s="11">
        <v>0</v>
      </c>
      <c r="AZ226" s="11">
        <v>0</v>
      </c>
      <c r="BA226" s="3">
        <f t="shared" si="33"/>
        <v>91333</v>
      </c>
    </row>
    <row r="227" spans="1:53" x14ac:dyDescent="0.25">
      <c r="A227" s="1" t="s">
        <v>225</v>
      </c>
      <c r="B227" s="9" t="s">
        <v>1527</v>
      </c>
      <c r="C227" s="9" t="s">
        <v>1063</v>
      </c>
      <c r="D227" s="9" t="s">
        <v>1528</v>
      </c>
      <c r="E227" s="9" t="s">
        <v>1008</v>
      </c>
      <c r="F227" s="10">
        <v>45267</v>
      </c>
      <c r="G227" s="9" t="s">
        <v>1013</v>
      </c>
      <c r="I227" s="9" t="s">
        <v>1020</v>
      </c>
      <c r="J227" s="9" t="s">
        <v>1015</v>
      </c>
      <c r="K227" s="8" t="s">
        <v>1006</v>
      </c>
      <c r="L227" s="8" t="s">
        <v>1007</v>
      </c>
      <c r="M227" s="8" t="s">
        <v>2933</v>
      </c>
      <c r="N227" s="8" t="s">
        <v>2937</v>
      </c>
      <c r="O227" s="1" t="s">
        <v>2934</v>
      </c>
      <c r="P227">
        <v>30</v>
      </c>
      <c r="Q227">
        <v>30</v>
      </c>
      <c r="R227">
        <v>0</v>
      </c>
      <c r="S227">
        <f t="shared" si="35"/>
        <v>30</v>
      </c>
      <c r="T227" s="1" t="s">
        <v>2935</v>
      </c>
      <c r="U227" s="1" t="s">
        <v>2932</v>
      </c>
      <c r="V227" s="3">
        <f t="shared" si="36"/>
        <v>40000</v>
      </c>
      <c r="W227" s="3">
        <f t="shared" si="37"/>
        <v>16000</v>
      </c>
      <c r="X227" s="3">
        <f t="shared" si="29"/>
        <v>1250</v>
      </c>
      <c r="Y227" s="3">
        <f t="shared" si="30"/>
        <v>1600</v>
      </c>
      <c r="Z227" s="3">
        <f t="shared" si="31"/>
        <v>1800</v>
      </c>
      <c r="AA227" s="3">
        <v>0</v>
      </c>
      <c r="AB227" s="3">
        <f>ROUND(U227 - (V227+W227+X227+Y227) - (U227/Q227 * 2),0)</f>
        <v>34483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f>SUM(V227+W227+X227+Y227+AB227)</f>
        <v>93333</v>
      </c>
      <c r="AK227" s="3">
        <f>SUM(AJ227-AA227)</f>
        <v>93333</v>
      </c>
      <c r="AL227" s="3">
        <f>IF(V227&lt;=15000,V227*12%,1800)</f>
        <v>1800</v>
      </c>
      <c r="AM227" s="3">
        <v>0</v>
      </c>
      <c r="AN227" s="3">
        <f t="shared" si="32"/>
        <v>1800</v>
      </c>
      <c r="AO227" s="12">
        <v>200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3">
        <f t="shared" si="34"/>
        <v>200</v>
      </c>
      <c r="AV227" s="3">
        <f>SUM(AJ227 - AN227 - AU227)</f>
        <v>91333</v>
      </c>
      <c r="AW227" s="11">
        <v>0</v>
      </c>
      <c r="AX227" s="11">
        <v>0</v>
      </c>
      <c r="AY227" s="11">
        <v>0</v>
      </c>
      <c r="AZ227" s="11">
        <v>0</v>
      </c>
      <c r="BA227" s="3">
        <f t="shared" si="33"/>
        <v>91333</v>
      </c>
    </row>
    <row r="228" spans="1:53" x14ac:dyDescent="0.25">
      <c r="A228" s="1" t="s">
        <v>226</v>
      </c>
      <c r="B228" s="9" t="s">
        <v>1525</v>
      </c>
      <c r="C228" s="9" t="s">
        <v>1063</v>
      </c>
      <c r="D228" s="9" t="s">
        <v>1526</v>
      </c>
      <c r="E228" s="9" t="s">
        <v>1008</v>
      </c>
      <c r="F228" s="10">
        <v>45266</v>
      </c>
      <c r="G228" s="9" t="s">
        <v>1019</v>
      </c>
      <c r="I228" s="9" t="s">
        <v>1020</v>
      </c>
      <c r="J228" s="9" t="s">
        <v>1015</v>
      </c>
      <c r="K228" s="8" t="s">
        <v>1006</v>
      </c>
      <c r="L228" s="8" t="s">
        <v>1007</v>
      </c>
      <c r="M228" s="8" t="s">
        <v>2933</v>
      </c>
      <c r="N228" s="8" t="s">
        <v>2937</v>
      </c>
      <c r="O228" s="1" t="s">
        <v>2934</v>
      </c>
      <c r="P228">
        <v>30</v>
      </c>
      <c r="Q228">
        <v>30</v>
      </c>
      <c r="R228">
        <v>0</v>
      </c>
      <c r="S228">
        <f t="shared" si="35"/>
        <v>30</v>
      </c>
      <c r="T228" s="1" t="s">
        <v>2935</v>
      </c>
      <c r="U228" s="1" t="s">
        <v>2932</v>
      </c>
      <c r="V228" s="3">
        <f t="shared" si="36"/>
        <v>40000</v>
      </c>
      <c r="W228" s="3">
        <f t="shared" si="37"/>
        <v>16000</v>
      </c>
      <c r="X228" s="3">
        <f t="shared" si="29"/>
        <v>1250</v>
      </c>
      <c r="Y228" s="3">
        <f t="shared" si="30"/>
        <v>1600</v>
      </c>
      <c r="Z228" s="3">
        <f t="shared" si="31"/>
        <v>1800</v>
      </c>
      <c r="AA228" s="3">
        <v>0</v>
      </c>
      <c r="AB228" s="3">
        <f>ROUND(U228 - (V228+W228+X228+Y228) - (U228/Q228 * 2),0)</f>
        <v>34483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f>SUM(V228+W228+X228+Y228+AB228)</f>
        <v>93333</v>
      </c>
      <c r="AK228" s="3">
        <f>SUM(AJ228-AA228)</f>
        <v>93333</v>
      </c>
      <c r="AL228" s="3">
        <f>IF(V228&lt;=15000,V228*12%,1800)</f>
        <v>1800</v>
      </c>
      <c r="AM228" s="3">
        <v>0</v>
      </c>
      <c r="AN228" s="3">
        <f t="shared" si="32"/>
        <v>1800</v>
      </c>
      <c r="AO228" s="12">
        <v>200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3">
        <f t="shared" si="34"/>
        <v>200</v>
      </c>
      <c r="AV228" s="3">
        <f>SUM(AJ228 - AN228 - AU228)</f>
        <v>91333</v>
      </c>
      <c r="AW228" s="11">
        <v>0</v>
      </c>
      <c r="AX228" s="11">
        <v>0</v>
      </c>
      <c r="AY228" s="11">
        <v>0</v>
      </c>
      <c r="AZ228" s="11">
        <v>0</v>
      </c>
      <c r="BA228" s="3">
        <f t="shared" si="33"/>
        <v>91333</v>
      </c>
    </row>
    <row r="229" spans="1:53" x14ac:dyDescent="0.25">
      <c r="A229" s="1" t="s">
        <v>227</v>
      </c>
      <c r="B229" s="9" t="s">
        <v>1523</v>
      </c>
      <c r="C229" s="9" t="s">
        <v>1026</v>
      </c>
      <c r="D229" s="9" t="s">
        <v>1524</v>
      </c>
      <c r="E229" s="9" t="s">
        <v>1012</v>
      </c>
      <c r="F229" s="10">
        <v>45278</v>
      </c>
      <c r="G229" s="9" t="s">
        <v>1019</v>
      </c>
      <c r="I229" s="9" t="s">
        <v>1014</v>
      </c>
      <c r="J229" s="9" t="s">
        <v>1015</v>
      </c>
      <c r="K229" s="8" t="s">
        <v>1006</v>
      </c>
      <c r="L229" s="8" t="s">
        <v>1007</v>
      </c>
      <c r="M229" s="8" t="s">
        <v>2933</v>
      </c>
      <c r="N229" s="8" t="s">
        <v>2937</v>
      </c>
      <c r="O229" s="1" t="s">
        <v>2934</v>
      </c>
      <c r="P229">
        <v>30</v>
      </c>
      <c r="Q229">
        <v>30</v>
      </c>
      <c r="R229">
        <v>0</v>
      </c>
      <c r="S229">
        <f t="shared" si="35"/>
        <v>30</v>
      </c>
      <c r="T229" s="1" t="s">
        <v>2935</v>
      </c>
      <c r="U229" s="1" t="s">
        <v>2932</v>
      </c>
      <c r="V229" s="3">
        <f t="shared" si="36"/>
        <v>40000</v>
      </c>
      <c r="W229" s="3">
        <f t="shared" si="37"/>
        <v>16000</v>
      </c>
      <c r="X229" s="3">
        <f t="shared" si="29"/>
        <v>1250</v>
      </c>
      <c r="Y229" s="3">
        <f t="shared" si="30"/>
        <v>1600</v>
      </c>
      <c r="Z229" s="3">
        <f t="shared" si="31"/>
        <v>1800</v>
      </c>
      <c r="AA229" s="3">
        <v>0</v>
      </c>
      <c r="AB229" s="3">
        <f>ROUND(U229 - (V229+W229+X229+Y229) - (U229/Q229 * 2),0)</f>
        <v>34483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f>SUM(V229+W229+X229+Y229+AB229)</f>
        <v>93333</v>
      </c>
      <c r="AK229" s="3">
        <f>SUM(AJ229-AA229)</f>
        <v>93333</v>
      </c>
      <c r="AL229" s="3">
        <f>IF(V229&lt;=15000,V229*12%,1800)</f>
        <v>1800</v>
      </c>
      <c r="AM229" s="3">
        <v>0</v>
      </c>
      <c r="AN229" s="3">
        <f t="shared" si="32"/>
        <v>1800</v>
      </c>
      <c r="AO229" s="12">
        <v>200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3">
        <f t="shared" si="34"/>
        <v>200</v>
      </c>
      <c r="AV229" s="3">
        <f>SUM(AJ229 - AN229 - AU229)</f>
        <v>91333</v>
      </c>
      <c r="AW229" s="11">
        <v>0</v>
      </c>
      <c r="AX229" s="11">
        <v>0</v>
      </c>
      <c r="AY229" s="11">
        <v>0</v>
      </c>
      <c r="AZ229" s="11">
        <v>0</v>
      </c>
      <c r="BA229" s="3">
        <f t="shared" si="33"/>
        <v>91333</v>
      </c>
    </row>
    <row r="230" spans="1:53" x14ac:dyDescent="0.25">
      <c r="A230" s="1" t="s">
        <v>228</v>
      </c>
      <c r="B230" s="9" t="s">
        <v>1521</v>
      </c>
      <c r="C230" s="9" t="s">
        <v>1026</v>
      </c>
      <c r="D230" s="9" t="s">
        <v>1522</v>
      </c>
      <c r="E230" s="9" t="s">
        <v>1008</v>
      </c>
      <c r="F230" s="10">
        <v>45294</v>
      </c>
      <c r="G230" s="9" t="s">
        <v>1019</v>
      </c>
      <c r="I230" s="9" t="s">
        <v>1014</v>
      </c>
      <c r="J230" s="9" t="s">
        <v>1015</v>
      </c>
      <c r="K230" s="8" t="s">
        <v>1006</v>
      </c>
      <c r="L230" s="8" t="s">
        <v>1007</v>
      </c>
      <c r="M230" s="8" t="s">
        <v>2933</v>
      </c>
      <c r="N230" s="8" t="s">
        <v>2937</v>
      </c>
      <c r="O230" s="1" t="s">
        <v>2934</v>
      </c>
      <c r="P230">
        <v>30</v>
      </c>
      <c r="Q230">
        <v>30</v>
      </c>
      <c r="R230">
        <v>0</v>
      </c>
      <c r="S230">
        <f t="shared" si="35"/>
        <v>30</v>
      </c>
      <c r="T230" s="1" t="s">
        <v>2935</v>
      </c>
      <c r="U230" s="1" t="s">
        <v>2932</v>
      </c>
      <c r="V230" s="3">
        <f t="shared" si="36"/>
        <v>40000</v>
      </c>
      <c r="W230" s="3">
        <f t="shared" si="37"/>
        <v>16000</v>
      </c>
      <c r="X230" s="3">
        <f t="shared" si="29"/>
        <v>1250</v>
      </c>
      <c r="Y230" s="3">
        <f t="shared" si="30"/>
        <v>1600</v>
      </c>
      <c r="Z230" s="3">
        <f t="shared" si="31"/>
        <v>1800</v>
      </c>
      <c r="AA230" s="3">
        <v>0</v>
      </c>
      <c r="AB230" s="3">
        <f>ROUND(U230 - (V230+W230+X230+Y230) - (U230/Q230 * 2),0)</f>
        <v>34483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f>SUM(V230+W230+X230+Y230+AB230)</f>
        <v>93333</v>
      </c>
      <c r="AK230" s="3">
        <f>SUM(AJ230-AA230)</f>
        <v>93333</v>
      </c>
      <c r="AL230" s="3">
        <f>IF(V230&lt;=15000,V230*12%,1800)</f>
        <v>1800</v>
      </c>
      <c r="AM230" s="3">
        <v>0</v>
      </c>
      <c r="AN230" s="3">
        <f t="shared" si="32"/>
        <v>1800</v>
      </c>
      <c r="AO230" s="12">
        <v>200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3">
        <f t="shared" si="34"/>
        <v>200</v>
      </c>
      <c r="AV230" s="3">
        <f>SUM(AJ230 - AN230 - AU230)</f>
        <v>91333</v>
      </c>
      <c r="AW230" s="11">
        <v>0</v>
      </c>
      <c r="AX230" s="11">
        <v>0</v>
      </c>
      <c r="AY230" s="11">
        <v>0</v>
      </c>
      <c r="AZ230" s="11">
        <v>0</v>
      </c>
      <c r="BA230" s="3">
        <f t="shared" si="33"/>
        <v>91333</v>
      </c>
    </row>
    <row r="231" spans="1:53" x14ac:dyDescent="0.25">
      <c r="A231" s="1" t="s">
        <v>229</v>
      </c>
      <c r="B231" s="9" t="s">
        <v>1518</v>
      </c>
      <c r="C231" s="9" t="s">
        <v>1519</v>
      </c>
      <c r="D231" s="9" t="s">
        <v>1520</v>
      </c>
      <c r="E231" s="9" t="s">
        <v>1012</v>
      </c>
      <c r="F231" s="10">
        <v>45294</v>
      </c>
      <c r="G231" s="9" t="s">
        <v>1013</v>
      </c>
      <c r="I231" s="9" t="s">
        <v>1014</v>
      </c>
      <c r="J231" s="9" t="s">
        <v>1015</v>
      </c>
      <c r="K231" s="8" t="s">
        <v>1006</v>
      </c>
      <c r="L231" s="8" t="s">
        <v>1007</v>
      </c>
      <c r="M231" s="8" t="s">
        <v>2933</v>
      </c>
      <c r="N231" s="8" t="s">
        <v>2937</v>
      </c>
      <c r="O231" s="1" t="s">
        <v>2934</v>
      </c>
      <c r="P231">
        <v>30</v>
      </c>
      <c r="Q231">
        <v>30</v>
      </c>
      <c r="R231">
        <v>0</v>
      </c>
      <c r="S231">
        <f t="shared" si="35"/>
        <v>30</v>
      </c>
      <c r="T231" s="1" t="s">
        <v>2935</v>
      </c>
      <c r="U231" s="1" t="s">
        <v>2932</v>
      </c>
      <c r="V231" s="3">
        <f t="shared" si="36"/>
        <v>40000</v>
      </c>
      <c r="W231" s="3">
        <f t="shared" si="37"/>
        <v>16000</v>
      </c>
      <c r="X231" s="3">
        <f t="shared" si="29"/>
        <v>1250</v>
      </c>
      <c r="Y231" s="3">
        <f t="shared" si="30"/>
        <v>1600</v>
      </c>
      <c r="Z231" s="3">
        <f t="shared" si="31"/>
        <v>1800</v>
      </c>
      <c r="AA231" s="3">
        <v>0</v>
      </c>
      <c r="AB231" s="3">
        <f>ROUND(U231 - (V231+W231+X231+Y231) - (U231/Q231 * 2),0)</f>
        <v>34483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f>SUM(V231+W231+X231+Y231+AB231)</f>
        <v>93333</v>
      </c>
      <c r="AK231" s="3">
        <f>SUM(AJ231-AA231)</f>
        <v>93333</v>
      </c>
      <c r="AL231" s="3">
        <f>IF(V231&lt;=15000,V231*12%,1800)</f>
        <v>1800</v>
      </c>
      <c r="AM231" s="3">
        <v>0</v>
      </c>
      <c r="AN231" s="3">
        <f t="shared" si="32"/>
        <v>1800</v>
      </c>
      <c r="AO231" s="12">
        <v>200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3">
        <f t="shared" si="34"/>
        <v>200</v>
      </c>
      <c r="AV231" s="3">
        <f>SUM(AJ231 - AN231 - AU231)</f>
        <v>91333</v>
      </c>
      <c r="AW231" s="11">
        <v>0</v>
      </c>
      <c r="AX231" s="11">
        <v>0</v>
      </c>
      <c r="AY231" s="11">
        <v>0</v>
      </c>
      <c r="AZ231" s="11">
        <v>0</v>
      </c>
      <c r="BA231" s="3">
        <f t="shared" si="33"/>
        <v>91333</v>
      </c>
    </row>
    <row r="232" spans="1:53" x14ac:dyDescent="0.25">
      <c r="A232" s="1" t="s">
        <v>230</v>
      </c>
      <c r="B232" s="9" t="s">
        <v>1433</v>
      </c>
      <c r="C232" s="9" t="s">
        <v>1026</v>
      </c>
      <c r="D232" s="9" t="s">
        <v>1517</v>
      </c>
      <c r="E232" s="9" t="s">
        <v>1012</v>
      </c>
      <c r="F232" s="10">
        <v>45294</v>
      </c>
      <c r="G232" s="9" t="s">
        <v>1019</v>
      </c>
      <c r="I232" s="9" t="s">
        <v>1014</v>
      </c>
      <c r="J232" s="9" t="s">
        <v>1015</v>
      </c>
      <c r="K232" s="8" t="s">
        <v>1006</v>
      </c>
      <c r="L232" s="8" t="s">
        <v>1007</v>
      </c>
      <c r="M232" s="8" t="s">
        <v>2933</v>
      </c>
      <c r="N232" s="8" t="s">
        <v>2937</v>
      </c>
      <c r="O232" s="1" t="s">
        <v>2934</v>
      </c>
      <c r="P232">
        <v>30</v>
      </c>
      <c r="Q232">
        <v>30</v>
      </c>
      <c r="R232">
        <v>0</v>
      </c>
      <c r="S232">
        <f t="shared" si="35"/>
        <v>30</v>
      </c>
      <c r="T232" s="1" t="s">
        <v>2935</v>
      </c>
      <c r="U232" s="1" t="s">
        <v>2932</v>
      </c>
      <c r="V232" s="3">
        <f t="shared" si="36"/>
        <v>40000</v>
      </c>
      <c r="W232" s="3">
        <f t="shared" si="37"/>
        <v>16000</v>
      </c>
      <c r="X232" s="3">
        <f t="shared" si="29"/>
        <v>1250</v>
      </c>
      <c r="Y232" s="3">
        <f t="shared" si="30"/>
        <v>1600</v>
      </c>
      <c r="Z232" s="3">
        <f t="shared" si="31"/>
        <v>1800</v>
      </c>
      <c r="AA232" s="3">
        <v>0</v>
      </c>
      <c r="AB232" s="3">
        <f>ROUND(U232 - (V232+W232+X232+Y232) - (U232/Q232 * 2),0)</f>
        <v>34483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f>SUM(V232+W232+X232+Y232+AB232)</f>
        <v>93333</v>
      </c>
      <c r="AK232" s="3">
        <f>SUM(AJ232-AA232)</f>
        <v>93333</v>
      </c>
      <c r="AL232" s="3">
        <f>IF(V232&lt;=15000,V232*12%,1800)</f>
        <v>1800</v>
      </c>
      <c r="AM232" s="3">
        <v>0</v>
      </c>
      <c r="AN232" s="3">
        <f t="shared" si="32"/>
        <v>1800</v>
      </c>
      <c r="AO232" s="12">
        <v>200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3">
        <f t="shared" si="34"/>
        <v>200</v>
      </c>
      <c r="AV232" s="3">
        <f>SUM(AJ232 - AN232 - AU232)</f>
        <v>91333</v>
      </c>
      <c r="AW232" s="11">
        <v>0</v>
      </c>
      <c r="AX232" s="11">
        <v>0</v>
      </c>
      <c r="AY232" s="11">
        <v>0</v>
      </c>
      <c r="AZ232" s="11">
        <v>0</v>
      </c>
      <c r="BA232" s="3">
        <f t="shared" si="33"/>
        <v>91333</v>
      </c>
    </row>
    <row r="233" spans="1:53" x14ac:dyDescent="0.25">
      <c r="A233" s="1" t="s">
        <v>231</v>
      </c>
      <c r="B233" s="9" t="s">
        <v>1515</v>
      </c>
      <c r="C233" s="9" t="s">
        <v>1026</v>
      </c>
      <c r="D233" s="9" t="s">
        <v>1516</v>
      </c>
      <c r="E233" s="9" t="s">
        <v>1012</v>
      </c>
      <c r="F233" s="10">
        <v>45313</v>
      </c>
      <c r="G233" s="9" t="s">
        <v>1019</v>
      </c>
      <c r="I233" s="9" t="s">
        <v>1014</v>
      </c>
      <c r="J233" s="9" t="s">
        <v>1015</v>
      </c>
      <c r="K233" s="8" t="s">
        <v>1006</v>
      </c>
      <c r="L233" s="8" t="s">
        <v>1007</v>
      </c>
      <c r="M233" s="8" t="s">
        <v>2933</v>
      </c>
      <c r="N233" s="8" t="s">
        <v>2937</v>
      </c>
      <c r="O233" s="1" t="s">
        <v>2934</v>
      </c>
      <c r="P233">
        <v>30</v>
      </c>
      <c r="Q233">
        <v>30</v>
      </c>
      <c r="R233">
        <v>0</v>
      </c>
      <c r="S233">
        <f t="shared" si="35"/>
        <v>30</v>
      </c>
      <c r="T233" s="1" t="s">
        <v>2935</v>
      </c>
      <c r="U233" s="1" t="s">
        <v>2932</v>
      </c>
      <c r="V233" s="3">
        <f t="shared" si="36"/>
        <v>40000</v>
      </c>
      <c r="W233" s="3">
        <f t="shared" si="37"/>
        <v>16000</v>
      </c>
      <c r="X233" s="3">
        <f t="shared" si="29"/>
        <v>1250</v>
      </c>
      <c r="Y233" s="3">
        <f t="shared" si="30"/>
        <v>1600</v>
      </c>
      <c r="Z233" s="3">
        <f t="shared" si="31"/>
        <v>1800</v>
      </c>
      <c r="AA233" s="3">
        <v>0</v>
      </c>
      <c r="AB233" s="3">
        <f>ROUND(U233 - (V233+W233+X233+Y233) - (U233/Q233 * 2),0)</f>
        <v>34483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f>SUM(V233+W233+X233+Y233+AB233)</f>
        <v>93333</v>
      </c>
      <c r="AK233" s="3">
        <f>SUM(AJ233-AA233)</f>
        <v>93333</v>
      </c>
      <c r="AL233" s="3">
        <f>IF(V233&lt;=15000,V233*12%,1800)</f>
        <v>1800</v>
      </c>
      <c r="AM233" s="3">
        <v>0</v>
      </c>
      <c r="AN233" s="3">
        <f t="shared" si="32"/>
        <v>1800</v>
      </c>
      <c r="AO233" s="12">
        <v>200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3">
        <f t="shared" si="34"/>
        <v>200</v>
      </c>
      <c r="AV233" s="3">
        <f>SUM(AJ233 - AN233 - AU233)</f>
        <v>91333</v>
      </c>
      <c r="AW233" s="11">
        <v>0</v>
      </c>
      <c r="AX233" s="11">
        <v>0</v>
      </c>
      <c r="AY233" s="11">
        <v>0</v>
      </c>
      <c r="AZ233" s="11">
        <v>0</v>
      </c>
      <c r="BA233" s="3">
        <f t="shared" si="33"/>
        <v>91333</v>
      </c>
    </row>
    <row r="234" spans="1:53" x14ac:dyDescent="0.25">
      <c r="A234" s="1" t="s">
        <v>232</v>
      </c>
      <c r="B234" s="9" t="s">
        <v>1513</v>
      </c>
      <c r="C234" s="9" t="s">
        <v>1063</v>
      </c>
      <c r="D234" s="9" t="s">
        <v>1514</v>
      </c>
      <c r="E234" s="9" t="s">
        <v>1012</v>
      </c>
      <c r="F234" s="10">
        <v>45315</v>
      </c>
      <c r="G234" s="9" t="s">
        <v>1013</v>
      </c>
      <c r="I234" s="9" t="s">
        <v>1014</v>
      </c>
      <c r="J234" s="9" t="s">
        <v>1015</v>
      </c>
      <c r="K234" s="8" t="s">
        <v>1006</v>
      </c>
      <c r="L234" s="8" t="s">
        <v>1007</v>
      </c>
      <c r="M234" s="8" t="s">
        <v>2933</v>
      </c>
      <c r="N234" s="8" t="s">
        <v>2937</v>
      </c>
      <c r="O234" s="1" t="s">
        <v>2934</v>
      </c>
      <c r="P234">
        <v>30</v>
      </c>
      <c r="Q234">
        <v>30</v>
      </c>
      <c r="R234">
        <v>0</v>
      </c>
      <c r="S234">
        <f t="shared" si="35"/>
        <v>30</v>
      </c>
      <c r="T234" s="1" t="s">
        <v>2935</v>
      </c>
      <c r="U234" s="1" t="s">
        <v>2932</v>
      </c>
      <c r="V234" s="3">
        <f t="shared" si="36"/>
        <v>40000</v>
      </c>
      <c r="W234" s="3">
        <f t="shared" si="37"/>
        <v>16000</v>
      </c>
      <c r="X234" s="3">
        <f t="shared" si="29"/>
        <v>1250</v>
      </c>
      <c r="Y234" s="3">
        <f t="shared" si="30"/>
        <v>1600</v>
      </c>
      <c r="Z234" s="3">
        <f t="shared" si="31"/>
        <v>1800</v>
      </c>
      <c r="AA234" s="3">
        <v>0</v>
      </c>
      <c r="AB234" s="3">
        <f>ROUND(U234 - (V234+W234+X234+Y234) - (U234/Q234 * 2),0)</f>
        <v>34483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f>SUM(V234+W234+X234+Y234+AB234)</f>
        <v>93333</v>
      </c>
      <c r="AK234" s="3">
        <f>SUM(AJ234-AA234)</f>
        <v>93333</v>
      </c>
      <c r="AL234" s="3">
        <f>IF(V234&lt;=15000,V234*12%,1800)</f>
        <v>1800</v>
      </c>
      <c r="AM234" s="3">
        <v>0</v>
      </c>
      <c r="AN234" s="3">
        <f t="shared" si="32"/>
        <v>1800</v>
      </c>
      <c r="AO234" s="12">
        <v>200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3">
        <f t="shared" si="34"/>
        <v>200</v>
      </c>
      <c r="AV234" s="3">
        <f>SUM(AJ234 - AN234 - AU234)</f>
        <v>91333</v>
      </c>
      <c r="AW234" s="11">
        <v>0</v>
      </c>
      <c r="AX234" s="11">
        <v>0</v>
      </c>
      <c r="AY234" s="11">
        <v>0</v>
      </c>
      <c r="AZ234" s="11">
        <v>0</v>
      </c>
      <c r="BA234" s="3">
        <f t="shared" si="33"/>
        <v>91333</v>
      </c>
    </row>
    <row r="235" spans="1:53" x14ac:dyDescent="0.25">
      <c r="A235" s="1" t="s">
        <v>233</v>
      </c>
      <c r="B235" s="9" t="s">
        <v>1433</v>
      </c>
      <c r="C235" s="9" t="s">
        <v>1434</v>
      </c>
      <c r="D235" s="9" t="s">
        <v>1512</v>
      </c>
      <c r="E235" s="9" t="s">
        <v>1012</v>
      </c>
      <c r="F235" s="10">
        <v>44258</v>
      </c>
      <c r="G235" s="9" t="s">
        <v>1019</v>
      </c>
      <c r="I235" s="9" t="s">
        <v>1014</v>
      </c>
      <c r="J235" s="9" t="s">
        <v>1015</v>
      </c>
      <c r="K235" s="8" t="s">
        <v>1006</v>
      </c>
      <c r="L235" s="8" t="s">
        <v>1007</v>
      </c>
      <c r="M235" s="8" t="s">
        <v>2933</v>
      </c>
      <c r="N235" s="8" t="s">
        <v>2937</v>
      </c>
      <c r="O235" s="1" t="s">
        <v>2934</v>
      </c>
      <c r="P235">
        <v>30</v>
      </c>
      <c r="Q235">
        <v>30</v>
      </c>
      <c r="R235">
        <v>0</v>
      </c>
      <c r="S235">
        <f t="shared" si="35"/>
        <v>30</v>
      </c>
      <c r="T235" s="1" t="s">
        <v>2935</v>
      </c>
      <c r="U235" s="1" t="s">
        <v>2932</v>
      </c>
      <c r="V235" s="3">
        <f t="shared" si="36"/>
        <v>40000</v>
      </c>
      <c r="W235" s="3">
        <f t="shared" si="37"/>
        <v>16000</v>
      </c>
      <c r="X235" s="3">
        <f t="shared" si="29"/>
        <v>1250</v>
      </c>
      <c r="Y235" s="3">
        <f t="shared" si="30"/>
        <v>1600</v>
      </c>
      <c r="Z235" s="3">
        <f t="shared" si="31"/>
        <v>1800</v>
      </c>
      <c r="AA235" s="3">
        <v>0</v>
      </c>
      <c r="AB235" s="3">
        <f>ROUND(U235 - (V235+W235+X235+Y235) - (U235/Q235 * 2),0)</f>
        <v>34483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f>SUM(V235+W235+X235+Y235+AB235)</f>
        <v>93333</v>
      </c>
      <c r="AK235" s="3">
        <f>SUM(AJ235-AA235)</f>
        <v>93333</v>
      </c>
      <c r="AL235" s="3">
        <f>IF(V235&lt;=15000,V235*12%,1800)</f>
        <v>1800</v>
      </c>
      <c r="AM235" s="3">
        <v>0</v>
      </c>
      <c r="AN235" s="3">
        <f t="shared" si="32"/>
        <v>1800</v>
      </c>
      <c r="AO235" s="12">
        <v>200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3">
        <f t="shared" si="34"/>
        <v>200</v>
      </c>
      <c r="AV235" s="3">
        <f>SUM(AJ235 - AN235 - AU235)</f>
        <v>91333</v>
      </c>
      <c r="AW235" s="11">
        <v>0</v>
      </c>
      <c r="AX235" s="11">
        <v>0</v>
      </c>
      <c r="AY235" s="11">
        <v>0</v>
      </c>
      <c r="AZ235" s="11">
        <v>0</v>
      </c>
      <c r="BA235" s="3">
        <f t="shared" si="33"/>
        <v>91333</v>
      </c>
    </row>
    <row r="236" spans="1:53" x14ac:dyDescent="0.25">
      <c r="A236" s="1" t="s">
        <v>234</v>
      </c>
      <c r="B236" s="9" t="s">
        <v>1215</v>
      </c>
      <c r="C236" s="9" t="s">
        <v>1242</v>
      </c>
      <c r="D236" s="9" t="s">
        <v>1511</v>
      </c>
      <c r="E236" s="9" t="s">
        <v>1012</v>
      </c>
      <c r="F236" s="10">
        <v>44287</v>
      </c>
      <c r="G236" s="9" t="s">
        <v>1019</v>
      </c>
      <c r="I236" s="9" t="s">
        <v>1014</v>
      </c>
      <c r="J236" s="9" t="s">
        <v>1015</v>
      </c>
      <c r="K236" s="8" t="s">
        <v>1006</v>
      </c>
      <c r="L236" s="8" t="s">
        <v>1007</v>
      </c>
      <c r="M236" s="8" t="s">
        <v>2933</v>
      </c>
      <c r="N236" s="8" t="s">
        <v>2937</v>
      </c>
      <c r="O236" s="1" t="s">
        <v>2934</v>
      </c>
      <c r="P236">
        <v>30</v>
      </c>
      <c r="Q236">
        <v>30</v>
      </c>
      <c r="R236">
        <v>0</v>
      </c>
      <c r="S236">
        <f t="shared" si="35"/>
        <v>30</v>
      </c>
      <c r="T236" s="1" t="s">
        <v>2935</v>
      </c>
      <c r="U236" s="1" t="s">
        <v>2932</v>
      </c>
      <c r="V236" s="3">
        <f t="shared" si="36"/>
        <v>40000</v>
      </c>
      <c r="W236" s="3">
        <f t="shared" si="37"/>
        <v>16000</v>
      </c>
      <c r="X236" s="3">
        <f t="shared" si="29"/>
        <v>1250</v>
      </c>
      <c r="Y236" s="3">
        <f t="shared" si="30"/>
        <v>1600</v>
      </c>
      <c r="Z236" s="3">
        <f t="shared" si="31"/>
        <v>1800</v>
      </c>
      <c r="AA236" s="3">
        <v>0</v>
      </c>
      <c r="AB236" s="3">
        <f>ROUND(U236 - (V236+W236+X236+Y236) - (U236/Q236 * 2),0)</f>
        <v>34483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f>SUM(V236+W236+X236+Y236+AB236)</f>
        <v>93333</v>
      </c>
      <c r="AK236" s="3">
        <f>SUM(AJ236-AA236)</f>
        <v>93333</v>
      </c>
      <c r="AL236" s="3">
        <f>IF(V236&lt;=15000,V236*12%,1800)</f>
        <v>1800</v>
      </c>
      <c r="AM236" s="3">
        <v>0</v>
      </c>
      <c r="AN236" s="3">
        <f t="shared" si="32"/>
        <v>1800</v>
      </c>
      <c r="AO236" s="12">
        <v>200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3">
        <f t="shared" si="34"/>
        <v>200</v>
      </c>
      <c r="AV236" s="3">
        <f>SUM(AJ236 - AN236 - AU236)</f>
        <v>91333</v>
      </c>
      <c r="AW236" s="11">
        <v>0</v>
      </c>
      <c r="AX236" s="11">
        <v>0</v>
      </c>
      <c r="AY236" s="11">
        <v>0</v>
      </c>
      <c r="AZ236" s="11">
        <v>0</v>
      </c>
      <c r="BA236" s="3">
        <f t="shared" si="33"/>
        <v>91333</v>
      </c>
    </row>
    <row r="237" spans="1:53" x14ac:dyDescent="0.25">
      <c r="A237" s="1" t="s">
        <v>235</v>
      </c>
      <c r="B237" s="9" t="s">
        <v>1509</v>
      </c>
      <c r="C237" s="9" t="s">
        <v>1320</v>
      </c>
      <c r="D237" s="9" t="s">
        <v>1510</v>
      </c>
      <c r="E237" s="9" t="s">
        <v>1008</v>
      </c>
      <c r="F237" s="10">
        <v>44291</v>
      </c>
      <c r="G237" s="9" t="s">
        <v>1019</v>
      </c>
      <c r="I237" s="9" t="s">
        <v>1014</v>
      </c>
      <c r="J237" s="9" t="s">
        <v>1015</v>
      </c>
      <c r="K237" s="8" t="s">
        <v>1006</v>
      </c>
      <c r="L237" s="8" t="s">
        <v>1007</v>
      </c>
      <c r="M237" s="8" t="s">
        <v>2933</v>
      </c>
      <c r="N237" s="8" t="s">
        <v>2937</v>
      </c>
      <c r="O237" s="1" t="s">
        <v>2934</v>
      </c>
      <c r="P237">
        <v>30</v>
      </c>
      <c r="Q237">
        <v>30</v>
      </c>
      <c r="R237">
        <v>0</v>
      </c>
      <c r="S237">
        <f t="shared" si="35"/>
        <v>30</v>
      </c>
      <c r="T237" s="1" t="s">
        <v>2935</v>
      </c>
      <c r="U237" s="1" t="s">
        <v>2932</v>
      </c>
      <c r="V237" s="3">
        <f t="shared" si="36"/>
        <v>40000</v>
      </c>
      <c r="W237" s="3">
        <f t="shared" si="37"/>
        <v>16000</v>
      </c>
      <c r="X237" s="3">
        <f t="shared" si="29"/>
        <v>1250</v>
      </c>
      <c r="Y237" s="3">
        <f t="shared" si="30"/>
        <v>1600</v>
      </c>
      <c r="Z237" s="3">
        <f t="shared" si="31"/>
        <v>1800</v>
      </c>
      <c r="AA237" s="3">
        <v>0</v>
      </c>
      <c r="AB237" s="3">
        <f>ROUND(U237 - (V237+W237+X237+Y237) - (U237/Q237 * 2),0)</f>
        <v>34483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f>SUM(V237+W237+X237+Y237+AB237)</f>
        <v>93333</v>
      </c>
      <c r="AK237" s="3">
        <f>SUM(AJ237-AA237)</f>
        <v>93333</v>
      </c>
      <c r="AL237" s="3">
        <f>IF(V237&lt;=15000,V237*12%,1800)</f>
        <v>1800</v>
      </c>
      <c r="AM237" s="3">
        <v>0</v>
      </c>
      <c r="AN237" s="3">
        <f t="shared" si="32"/>
        <v>1800</v>
      </c>
      <c r="AO237" s="12">
        <v>200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3">
        <f t="shared" si="34"/>
        <v>200</v>
      </c>
      <c r="AV237" s="3">
        <f>SUM(AJ237 - AN237 - AU237)</f>
        <v>91333</v>
      </c>
      <c r="AW237" s="11">
        <v>0</v>
      </c>
      <c r="AX237" s="11">
        <v>0</v>
      </c>
      <c r="AY237" s="11">
        <v>0</v>
      </c>
      <c r="AZ237" s="11">
        <v>0</v>
      </c>
      <c r="BA237" s="3">
        <f t="shared" si="33"/>
        <v>91333</v>
      </c>
    </row>
    <row r="238" spans="1:53" x14ac:dyDescent="0.25">
      <c r="A238" s="1" t="s">
        <v>236</v>
      </c>
      <c r="B238" s="9" t="s">
        <v>1507</v>
      </c>
      <c r="C238" s="9" t="s">
        <v>1017</v>
      </c>
      <c r="D238" s="9" t="s">
        <v>1508</v>
      </c>
      <c r="E238" s="9" t="s">
        <v>1012</v>
      </c>
      <c r="F238" s="10">
        <v>44294</v>
      </c>
      <c r="G238" s="9" t="s">
        <v>1019</v>
      </c>
      <c r="I238" s="9" t="s">
        <v>1014</v>
      </c>
      <c r="J238" s="9" t="s">
        <v>1021</v>
      </c>
      <c r="K238" s="8" t="s">
        <v>1006</v>
      </c>
      <c r="L238" s="8" t="s">
        <v>1007</v>
      </c>
      <c r="M238" s="8" t="s">
        <v>2933</v>
      </c>
      <c r="N238" s="8" t="s">
        <v>2937</v>
      </c>
      <c r="O238" s="1" t="s">
        <v>2934</v>
      </c>
      <c r="P238">
        <v>30</v>
      </c>
      <c r="Q238">
        <v>30</v>
      </c>
      <c r="R238">
        <v>0</v>
      </c>
      <c r="S238">
        <f t="shared" si="35"/>
        <v>30</v>
      </c>
      <c r="T238" s="1" t="s">
        <v>2935</v>
      </c>
      <c r="U238" s="1" t="s">
        <v>2932</v>
      </c>
      <c r="V238" s="3">
        <f t="shared" si="36"/>
        <v>40000</v>
      </c>
      <c r="W238" s="3">
        <f t="shared" si="37"/>
        <v>16000</v>
      </c>
      <c r="X238" s="3">
        <f t="shared" si="29"/>
        <v>1250</v>
      </c>
      <c r="Y238" s="3">
        <f t="shared" si="30"/>
        <v>1600</v>
      </c>
      <c r="Z238" s="3">
        <f t="shared" si="31"/>
        <v>1800</v>
      </c>
      <c r="AA238" s="3">
        <v>0</v>
      </c>
      <c r="AB238" s="3">
        <f>ROUND(U238 - (V238+W238+X238+Y238) - (U238/Q238 * 2),0)</f>
        <v>34483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f>SUM(V238+W238+X238+Y238+AB238)</f>
        <v>93333</v>
      </c>
      <c r="AK238" s="3">
        <f>SUM(AJ238-AA238)</f>
        <v>93333</v>
      </c>
      <c r="AL238" s="3">
        <f>IF(V238&lt;=15000,V238*12%,1800)</f>
        <v>1800</v>
      </c>
      <c r="AM238" s="3">
        <v>0</v>
      </c>
      <c r="AN238" s="3">
        <f t="shared" si="32"/>
        <v>1800</v>
      </c>
      <c r="AO238" s="12">
        <v>200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3">
        <f t="shared" si="34"/>
        <v>200</v>
      </c>
      <c r="AV238" s="3">
        <f>SUM(AJ238 - AN238 - AU238)</f>
        <v>91333</v>
      </c>
      <c r="AW238" s="11">
        <v>0</v>
      </c>
      <c r="AX238" s="11">
        <v>0</v>
      </c>
      <c r="AY238" s="11">
        <v>0</v>
      </c>
      <c r="AZ238" s="11">
        <v>0</v>
      </c>
      <c r="BA238" s="3">
        <f t="shared" si="33"/>
        <v>91333</v>
      </c>
    </row>
    <row r="239" spans="1:53" x14ac:dyDescent="0.25">
      <c r="A239" s="1" t="s">
        <v>237</v>
      </c>
      <c r="B239" s="9" t="s">
        <v>1562</v>
      </c>
      <c r="C239" s="9" t="s">
        <v>1023</v>
      </c>
      <c r="D239" s="9" t="s">
        <v>1563</v>
      </c>
      <c r="E239" s="9" t="s">
        <v>1008</v>
      </c>
      <c r="F239" s="10">
        <v>44305</v>
      </c>
      <c r="G239" s="9" t="s">
        <v>1019</v>
      </c>
      <c r="I239" s="9" t="s">
        <v>1020</v>
      </c>
      <c r="J239" s="9" t="s">
        <v>1021</v>
      </c>
      <c r="K239" s="8" t="s">
        <v>1006</v>
      </c>
      <c r="L239" s="8" t="s">
        <v>1007</v>
      </c>
      <c r="M239" s="8" t="s">
        <v>2933</v>
      </c>
      <c r="N239" s="8" t="s">
        <v>2937</v>
      </c>
      <c r="O239" s="1" t="s">
        <v>2934</v>
      </c>
      <c r="P239">
        <v>30</v>
      </c>
      <c r="Q239">
        <v>30</v>
      </c>
      <c r="R239">
        <v>0</v>
      </c>
      <c r="S239">
        <f t="shared" si="35"/>
        <v>30</v>
      </c>
      <c r="T239" s="1" t="s">
        <v>2935</v>
      </c>
      <c r="U239" s="1" t="s">
        <v>2932</v>
      </c>
      <c r="V239" s="3">
        <f t="shared" si="36"/>
        <v>40000</v>
      </c>
      <c r="W239" s="3">
        <f t="shared" si="37"/>
        <v>16000</v>
      </c>
      <c r="X239" s="3">
        <f t="shared" si="29"/>
        <v>1250</v>
      </c>
      <c r="Y239" s="3">
        <f t="shared" si="30"/>
        <v>1600</v>
      </c>
      <c r="Z239" s="3">
        <f t="shared" si="31"/>
        <v>1800</v>
      </c>
      <c r="AA239" s="3">
        <v>0</v>
      </c>
      <c r="AB239" s="3">
        <f>ROUND(U239 - (V239+W239+X239+Y239) - (U239/Q239 * 2),0)</f>
        <v>34483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f>SUM(V239+W239+X239+Y239+AB239)</f>
        <v>93333</v>
      </c>
      <c r="AK239" s="3">
        <f>SUM(AJ239-AA239)</f>
        <v>93333</v>
      </c>
      <c r="AL239" s="3">
        <f>IF(V239&lt;=15000,V239*12%,1800)</f>
        <v>1800</v>
      </c>
      <c r="AM239" s="3">
        <v>0</v>
      </c>
      <c r="AN239" s="3">
        <f t="shared" si="32"/>
        <v>1800</v>
      </c>
      <c r="AO239" s="12">
        <v>200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3">
        <f t="shared" si="34"/>
        <v>200</v>
      </c>
      <c r="AV239" s="3">
        <f>SUM(AJ239 - AN239 - AU239)</f>
        <v>91333</v>
      </c>
      <c r="AW239" s="11">
        <v>0</v>
      </c>
      <c r="AX239" s="11">
        <v>0</v>
      </c>
      <c r="AY239" s="11">
        <v>0</v>
      </c>
      <c r="AZ239" s="11">
        <v>0</v>
      </c>
      <c r="BA239" s="3">
        <f t="shared" si="33"/>
        <v>91333</v>
      </c>
    </row>
    <row r="240" spans="1:53" x14ac:dyDescent="0.25">
      <c r="A240" s="1" t="s">
        <v>238</v>
      </c>
      <c r="B240" s="9" t="s">
        <v>1560</v>
      </c>
      <c r="C240" s="9" t="s">
        <v>1010</v>
      </c>
      <c r="D240" s="9" t="s">
        <v>1561</v>
      </c>
      <c r="E240" s="9" t="s">
        <v>1012</v>
      </c>
      <c r="F240" s="10">
        <v>44305</v>
      </c>
      <c r="G240" s="9" t="s">
        <v>1013</v>
      </c>
      <c r="I240" s="9" t="s">
        <v>1014</v>
      </c>
      <c r="J240" s="9" t="s">
        <v>1015</v>
      </c>
      <c r="K240" s="8" t="s">
        <v>1006</v>
      </c>
      <c r="L240" s="8" t="s">
        <v>1007</v>
      </c>
      <c r="M240" s="8" t="s">
        <v>2933</v>
      </c>
      <c r="N240" s="8" t="s">
        <v>2937</v>
      </c>
      <c r="O240" s="1" t="s">
        <v>2934</v>
      </c>
      <c r="P240">
        <v>30</v>
      </c>
      <c r="Q240">
        <v>30</v>
      </c>
      <c r="R240">
        <v>0</v>
      </c>
      <c r="S240">
        <f t="shared" si="35"/>
        <v>30</v>
      </c>
      <c r="T240" s="1" t="s">
        <v>2935</v>
      </c>
      <c r="U240" s="1" t="s">
        <v>2932</v>
      </c>
      <c r="V240" s="3">
        <f t="shared" si="36"/>
        <v>40000</v>
      </c>
      <c r="W240" s="3">
        <f t="shared" si="37"/>
        <v>16000</v>
      </c>
      <c r="X240" s="3">
        <f t="shared" si="29"/>
        <v>1250</v>
      </c>
      <c r="Y240" s="3">
        <f t="shared" si="30"/>
        <v>1600</v>
      </c>
      <c r="Z240" s="3">
        <f t="shared" si="31"/>
        <v>1800</v>
      </c>
      <c r="AA240" s="3">
        <v>0</v>
      </c>
      <c r="AB240" s="3">
        <f>ROUND(U240 - (V240+W240+X240+Y240) - (U240/Q240 * 2),0)</f>
        <v>34483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f>SUM(V240+W240+X240+Y240+AB240)</f>
        <v>93333</v>
      </c>
      <c r="AK240" s="3">
        <f>SUM(AJ240-AA240)</f>
        <v>93333</v>
      </c>
      <c r="AL240" s="3">
        <f>IF(V240&lt;=15000,V240*12%,1800)</f>
        <v>1800</v>
      </c>
      <c r="AM240" s="3">
        <v>0</v>
      </c>
      <c r="AN240" s="3">
        <f t="shared" si="32"/>
        <v>1800</v>
      </c>
      <c r="AO240" s="12">
        <v>200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3">
        <f t="shared" si="34"/>
        <v>200</v>
      </c>
      <c r="AV240" s="3">
        <f>SUM(AJ240 - AN240 - AU240)</f>
        <v>91333</v>
      </c>
      <c r="AW240" s="11">
        <v>0</v>
      </c>
      <c r="AX240" s="11">
        <v>0</v>
      </c>
      <c r="AY240" s="11">
        <v>0</v>
      </c>
      <c r="AZ240" s="11">
        <v>0</v>
      </c>
      <c r="BA240" s="3">
        <f t="shared" si="33"/>
        <v>91333</v>
      </c>
    </row>
    <row r="241" spans="1:53" x14ac:dyDescent="0.25">
      <c r="A241" s="1" t="s">
        <v>239</v>
      </c>
      <c r="B241" s="9" t="s">
        <v>1114</v>
      </c>
      <c r="C241" s="9" t="s">
        <v>1063</v>
      </c>
      <c r="D241" s="9" t="s">
        <v>1559</v>
      </c>
      <c r="E241" s="9" t="s">
        <v>1012</v>
      </c>
      <c r="F241" s="10">
        <v>44305</v>
      </c>
      <c r="G241" s="9" t="s">
        <v>1019</v>
      </c>
      <c r="I241" s="9" t="s">
        <v>1014</v>
      </c>
      <c r="J241" s="9" t="s">
        <v>1015</v>
      </c>
      <c r="K241" s="8" t="s">
        <v>1006</v>
      </c>
      <c r="L241" s="8" t="s">
        <v>1007</v>
      </c>
      <c r="M241" s="8" t="s">
        <v>2933</v>
      </c>
      <c r="N241" s="8" t="s">
        <v>2937</v>
      </c>
      <c r="O241" s="1" t="s">
        <v>2934</v>
      </c>
      <c r="P241">
        <v>30</v>
      </c>
      <c r="Q241">
        <v>30</v>
      </c>
      <c r="R241">
        <v>0</v>
      </c>
      <c r="S241">
        <f t="shared" si="35"/>
        <v>30</v>
      </c>
      <c r="T241" s="1" t="s">
        <v>2935</v>
      </c>
      <c r="U241" s="1" t="s">
        <v>2932</v>
      </c>
      <c r="V241" s="3">
        <f t="shared" si="36"/>
        <v>40000</v>
      </c>
      <c r="W241" s="3">
        <f t="shared" si="37"/>
        <v>16000</v>
      </c>
      <c r="X241" s="3">
        <f t="shared" si="29"/>
        <v>1250</v>
      </c>
      <c r="Y241" s="3">
        <f t="shared" si="30"/>
        <v>1600</v>
      </c>
      <c r="Z241" s="3">
        <f t="shared" si="31"/>
        <v>1800</v>
      </c>
      <c r="AA241" s="3">
        <v>0</v>
      </c>
      <c r="AB241" s="3">
        <f>ROUND(U241 - (V241+W241+X241+Y241) - (U241/Q241 * 2),0)</f>
        <v>34483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f>SUM(V241+W241+X241+Y241+AB241)</f>
        <v>93333</v>
      </c>
      <c r="AK241" s="3">
        <f>SUM(AJ241-AA241)</f>
        <v>93333</v>
      </c>
      <c r="AL241" s="3">
        <f>IF(V241&lt;=15000,V241*12%,1800)</f>
        <v>1800</v>
      </c>
      <c r="AM241" s="3">
        <v>0</v>
      </c>
      <c r="AN241" s="3">
        <f t="shared" si="32"/>
        <v>1800</v>
      </c>
      <c r="AO241" s="12">
        <v>200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3">
        <f t="shared" si="34"/>
        <v>200</v>
      </c>
      <c r="AV241" s="3">
        <f>SUM(AJ241 - AN241 - AU241)</f>
        <v>91333</v>
      </c>
      <c r="AW241" s="11">
        <v>0</v>
      </c>
      <c r="AX241" s="11">
        <v>0</v>
      </c>
      <c r="AY241" s="11">
        <v>0</v>
      </c>
      <c r="AZ241" s="11">
        <v>0</v>
      </c>
      <c r="BA241" s="3">
        <f t="shared" si="33"/>
        <v>91333</v>
      </c>
    </row>
    <row r="242" spans="1:53" x14ac:dyDescent="0.25">
      <c r="A242" s="1" t="s">
        <v>240</v>
      </c>
      <c r="B242" s="9" t="s">
        <v>1556</v>
      </c>
      <c r="C242" s="9" t="s">
        <v>1557</v>
      </c>
      <c r="D242" s="9" t="s">
        <v>1558</v>
      </c>
      <c r="E242" s="9" t="s">
        <v>1008</v>
      </c>
      <c r="F242" s="10">
        <v>44319</v>
      </c>
      <c r="G242" s="9" t="s">
        <v>1019</v>
      </c>
      <c r="I242" s="9" t="s">
        <v>1014</v>
      </c>
      <c r="J242" s="9" t="s">
        <v>1021</v>
      </c>
      <c r="K242" s="8" t="s">
        <v>1006</v>
      </c>
      <c r="L242" s="8" t="s">
        <v>1007</v>
      </c>
      <c r="M242" s="8" t="s">
        <v>2933</v>
      </c>
      <c r="N242" s="8" t="s">
        <v>2937</v>
      </c>
      <c r="O242" s="1" t="s">
        <v>2934</v>
      </c>
      <c r="P242">
        <v>30</v>
      </c>
      <c r="Q242">
        <v>30</v>
      </c>
      <c r="R242">
        <v>0</v>
      </c>
      <c r="S242">
        <f t="shared" si="35"/>
        <v>30</v>
      </c>
      <c r="T242" s="1" t="s">
        <v>2935</v>
      </c>
      <c r="U242" s="1" t="s">
        <v>2932</v>
      </c>
      <c r="V242" s="3">
        <f t="shared" si="36"/>
        <v>40000</v>
      </c>
      <c r="W242" s="3">
        <f t="shared" si="37"/>
        <v>16000</v>
      </c>
      <c r="X242" s="3">
        <f t="shared" si="29"/>
        <v>1250</v>
      </c>
      <c r="Y242" s="3">
        <f t="shared" si="30"/>
        <v>1600</v>
      </c>
      <c r="Z242" s="3">
        <f t="shared" si="31"/>
        <v>1800</v>
      </c>
      <c r="AA242" s="3">
        <v>0</v>
      </c>
      <c r="AB242" s="3">
        <f>ROUND(U242 - (V242+W242+X242+Y242) - (U242/Q242 * 2),0)</f>
        <v>34483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f>SUM(V242+W242+X242+Y242+AB242)</f>
        <v>93333</v>
      </c>
      <c r="AK242" s="3">
        <f>SUM(AJ242-AA242)</f>
        <v>93333</v>
      </c>
      <c r="AL242" s="3">
        <f>IF(V242&lt;=15000,V242*12%,1800)</f>
        <v>1800</v>
      </c>
      <c r="AM242" s="3">
        <v>0</v>
      </c>
      <c r="AN242" s="3">
        <f t="shared" si="32"/>
        <v>1800</v>
      </c>
      <c r="AO242" s="12">
        <v>200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3">
        <f t="shared" si="34"/>
        <v>200</v>
      </c>
      <c r="AV242" s="3">
        <f>SUM(AJ242 - AN242 - AU242)</f>
        <v>91333</v>
      </c>
      <c r="AW242" s="11">
        <v>0</v>
      </c>
      <c r="AX242" s="11">
        <v>0</v>
      </c>
      <c r="AY242" s="11">
        <v>0</v>
      </c>
      <c r="AZ242" s="11">
        <v>0</v>
      </c>
      <c r="BA242" s="3">
        <f t="shared" si="33"/>
        <v>91333</v>
      </c>
    </row>
    <row r="243" spans="1:53" x14ac:dyDescent="0.25">
      <c r="A243" s="1" t="s">
        <v>241</v>
      </c>
      <c r="B243" s="9" t="s">
        <v>1554</v>
      </c>
      <c r="C243" s="9" t="s">
        <v>1023</v>
      </c>
      <c r="D243" s="9" t="s">
        <v>1555</v>
      </c>
      <c r="E243" s="9" t="s">
        <v>1012</v>
      </c>
      <c r="F243" s="10">
        <v>44315</v>
      </c>
      <c r="G243" s="9" t="s">
        <v>1013</v>
      </c>
      <c r="I243" s="9" t="s">
        <v>1014</v>
      </c>
      <c r="J243" s="9" t="s">
        <v>1021</v>
      </c>
      <c r="K243" s="8" t="s">
        <v>1006</v>
      </c>
      <c r="L243" s="8" t="s">
        <v>1007</v>
      </c>
      <c r="M243" s="8" t="s">
        <v>2933</v>
      </c>
      <c r="N243" s="8" t="s">
        <v>2937</v>
      </c>
      <c r="O243" s="1" t="s">
        <v>2934</v>
      </c>
      <c r="P243">
        <v>30</v>
      </c>
      <c r="Q243">
        <v>30</v>
      </c>
      <c r="R243">
        <v>0</v>
      </c>
      <c r="S243">
        <f t="shared" si="35"/>
        <v>30</v>
      </c>
      <c r="T243" s="1" t="s">
        <v>2935</v>
      </c>
      <c r="U243" s="1" t="s">
        <v>2932</v>
      </c>
      <c r="V243" s="3">
        <f t="shared" si="36"/>
        <v>40000</v>
      </c>
      <c r="W243" s="3">
        <f t="shared" si="37"/>
        <v>16000</v>
      </c>
      <c r="X243" s="3">
        <f t="shared" si="29"/>
        <v>1250</v>
      </c>
      <c r="Y243" s="3">
        <f t="shared" si="30"/>
        <v>1600</v>
      </c>
      <c r="Z243" s="3">
        <f t="shared" si="31"/>
        <v>1800</v>
      </c>
      <c r="AA243" s="3">
        <v>0</v>
      </c>
      <c r="AB243" s="3">
        <f>ROUND(U243 - (V243+W243+X243+Y243) - (U243/Q243 * 2),0)</f>
        <v>34483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f>SUM(V243+W243+X243+Y243+AB243)</f>
        <v>93333</v>
      </c>
      <c r="AK243" s="3">
        <f>SUM(AJ243-AA243)</f>
        <v>93333</v>
      </c>
      <c r="AL243" s="3">
        <f>IF(V243&lt;=15000,V243*12%,1800)</f>
        <v>1800</v>
      </c>
      <c r="AM243" s="3">
        <v>0</v>
      </c>
      <c r="AN243" s="3">
        <f t="shared" si="32"/>
        <v>1800</v>
      </c>
      <c r="AO243" s="12">
        <v>200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3">
        <f t="shared" si="34"/>
        <v>200</v>
      </c>
      <c r="AV243" s="3">
        <f>SUM(AJ243 - AN243 - AU243)</f>
        <v>91333</v>
      </c>
      <c r="AW243" s="11">
        <v>0</v>
      </c>
      <c r="AX243" s="11">
        <v>0</v>
      </c>
      <c r="AY243" s="11">
        <v>0</v>
      </c>
      <c r="AZ243" s="11">
        <v>0</v>
      </c>
      <c r="BA243" s="3">
        <f t="shared" si="33"/>
        <v>91333</v>
      </c>
    </row>
    <row r="244" spans="1:53" x14ac:dyDescent="0.25">
      <c r="A244" s="1" t="s">
        <v>242</v>
      </c>
      <c r="B244" s="9" t="s">
        <v>1553</v>
      </c>
      <c r="C244" s="9" t="s">
        <v>1418</v>
      </c>
      <c r="D244" s="9">
        <v>0</v>
      </c>
      <c r="E244" s="9" t="s">
        <v>1012</v>
      </c>
      <c r="F244" s="10">
        <v>44316</v>
      </c>
      <c r="G244" s="9" t="s">
        <v>1019</v>
      </c>
      <c r="I244" s="9" t="s">
        <v>1014</v>
      </c>
      <c r="J244" s="9" t="s">
        <v>1021</v>
      </c>
      <c r="K244" s="8" t="s">
        <v>1006</v>
      </c>
      <c r="L244" s="8" t="s">
        <v>1007</v>
      </c>
      <c r="M244" s="8" t="s">
        <v>2933</v>
      </c>
      <c r="N244" s="8" t="s">
        <v>2937</v>
      </c>
      <c r="O244" s="1" t="s">
        <v>2934</v>
      </c>
      <c r="P244">
        <v>30</v>
      </c>
      <c r="Q244">
        <v>30</v>
      </c>
      <c r="R244">
        <v>0</v>
      </c>
      <c r="S244">
        <f t="shared" si="35"/>
        <v>30</v>
      </c>
      <c r="T244" s="1" t="s">
        <v>2935</v>
      </c>
      <c r="U244" s="1" t="s">
        <v>2932</v>
      </c>
      <c r="V244" s="3">
        <f t="shared" si="36"/>
        <v>40000</v>
      </c>
      <c r="W244" s="3">
        <f t="shared" si="37"/>
        <v>16000</v>
      </c>
      <c r="X244" s="3">
        <f t="shared" si="29"/>
        <v>1250</v>
      </c>
      <c r="Y244" s="3">
        <f t="shared" si="30"/>
        <v>1600</v>
      </c>
      <c r="Z244" s="3">
        <f t="shared" si="31"/>
        <v>1800</v>
      </c>
      <c r="AA244" s="3">
        <v>0</v>
      </c>
      <c r="AB244" s="3">
        <f>ROUND(U244 - (V244+W244+X244+Y244) - (U244/Q244 * 2),0)</f>
        <v>34483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f>SUM(V244+W244+X244+Y244+AB244)</f>
        <v>93333</v>
      </c>
      <c r="AK244" s="3">
        <f>SUM(AJ244-AA244)</f>
        <v>93333</v>
      </c>
      <c r="AL244" s="3">
        <f>IF(V244&lt;=15000,V244*12%,1800)</f>
        <v>1800</v>
      </c>
      <c r="AM244" s="3">
        <v>0</v>
      </c>
      <c r="AN244" s="3">
        <f t="shared" si="32"/>
        <v>1800</v>
      </c>
      <c r="AO244" s="12">
        <v>200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3">
        <f t="shared" si="34"/>
        <v>200</v>
      </c>
      <c r="AV244" s="3">
        <f>SUM(AJ244 - AN244 - AU244)</f>
        <v>91333</v>
      </c>
      <c r="AW244" s="11">
        <v>0</v>
      </c>
      <c r="AX244" s="11">
        <v>0</v>
      </c>
      <c r="AY244" s="11">
        <v>0</v>
      </c>
      <c r="AZ244" s="11">
        <v>0</v>
      </c>
      <c r="BA244" s="3">
        <f t="shared" si="33"/>
        <v>91333</v>
      </c>
    </row>
    <row r="245" spans="1:53" x14ac:dyDescent="0.25">
      <c r="A245" s="1" t="s">
        <v>243</v>
      </c>
      <c r="B245" s="9" t="s">
        <v>1551</v>
      </c>
      <c r="C245" s="9" t="s">
        <v>1063</v>
      </c>
      <c r="D245" s="9" t="s">
        <v>1552</v>
      </c>
      <c r="E245" s="9" t="s">
        <v>1012</v>
      </c>
      <c r="F245" s="10">
        <v>44326</v>
      </c>
      <c r="G245" s="9" t="s">
        <v>1019</v>
      </c>
      <c r="I245" s="9" t="s">
        <v>1014</v>
      </c>
      <c r="J245" s="9" t="s">
        <v>1015</v>
      </c>
      <c r="K245" s="8" t="s">
        <v>1006</v>
      </c>
      <c r="L245" s="8" t="s">
        <v>1007</v>
      </c>
      <c r="M245" s="8" t="s">
        <v>2933</v>
      </c>
      <c r="N245" s="8" t="s">
        <v>2937</v>
      </c>
      <c r="O245" s="1" t="s">
        <v>2934</v>
      </c>
      <c r="P245">
        <v>30</v>
      </c>
      <c r="Q245">
        <v>30</v>
      </c>
      <c r="R245">
        <v>0</v>
      </c>
      <c r="S245">
        <f t="shared" si="35"/>
        <v>30</v>
      </c>
      <c r="T245" s="1" t="s">
        <v>2935</v>
      </c>
      <c r="U245" s="1" t="s">
        <v>2932</v>
      </c>
      <c r="V245" s="3">
        <f t="shared" si="36"/>
        <v>40000</v>
      </c>
      <c r="W245" s="3">
        <f t="shared" si="37"/>
        <v>16000</v>
      </c>
      <c r="X245" s="3">
        <f t="shared" si="29"/>
        <v>1250</v>
      </c>
      <c r="Y245" s="3">
        <f t="shared" si="30"/>
        <v>1600</v>
      </c>
      <c r="Z245" s="3">
        <f t="shared" si="31"/>
        <v>1800</v>
      </c>
      <c r="AA245" s="3">
        <v>0</v>
      </c>
      <c r="AB245" s="3">
        <f>ROUND(U245 - (V245+W245+X245+Y245) - (U245/Q245 * 2),0)</f>
        <v>34483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f>SUM(V245+W245+X245+Y245+AB245)</f>
        <v>93333</v>
      </c>
      <c r="AK245" s="3">
        <f>SUM(AJ245-AA245)</f>
        <v>93333</v>
      </c>
      <c r="AL245" s="3">
        <f>IF(V245&lt;=15000,V245*12%,1800)</f>
        <v>1800</v>
      </c>
      <c r="AM245" s="3">
        <v>0</v>
      </c>
      <c r="AN245" s="3">
        <f t="shared" si="32"/>
        <v>1800</v>
      </c>
      <c r="AO245" s="12">
        <v>200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3">
        <f t="shared" si="34"/>
        <v>200</v>
      </c>
      <c r="AV245" s="3">
        <f>SUM(AJ245 - AN245 - AU245)</f>
        <v>91333</v>
      </c>
      <c r="AW245" s="11">
        <v>0</v>
      </c>
      <c r="AX245" s="11">
        <v>0</v>
      </c>
      <c r="AY245" s="11">
        <v>0</v>
      </c>
      <c r="AZ245" s="11">
        <v>0</v>
      </c>
      <c r="BA245" s="3">
        <f t="shared" si="33"/>
        <v>91333</v>
      </c>
    </row>
    <row r="246" spans="1:53" x14ac:dyDescent="0.25">
      <c r="A246" s="1" t="s">
        <v>244</v>
      </c>
      <c r="B246" s="9" t="s">
        <v>1549</v>
      </c>
      <c r="C246" s="9" t="s">
        <v>1010</v>
      </c>
      <c r="D246" s="9" t="s">
        <v>1550</v>
      </c>
      <c r="E246" s="9" t="s">
        <v>1012</v>
      </c>
      <c r="F246" s="10">
        <v>44326</v>
      </c>
      <c r="G246" s="9" t="s">
        <v>1019</v>
      </c>
      <c r="I246" s="9" t="s">
        <v>1014</v>
      </c>
      <c r="J246" s="9" t="s">
        <v>1015</v>
      </c>
      <c r="K246" s="8" t="s">
        <v>1006</v>
      </c>
      <c r="L246" s="8" t="s">
        <v>1007</v>
      </c>
      <c r="M246" s="8" t="s">
        <v>2933</v>
      </c>
      <c r="N246" s="8" t="s">
        <v>2937</v>
      </c>
      <c r="O246" s="1" t="s">
        <v>2934</v>
      </c>
      <c r="P246">
        <v>30</v>
      </c>
      <c r="Q246">
        <v>30</v>
      </c>
      <c r="R246">
        <v>0</v>
      </c>
      <c r="S246">
        <f t="shared" si="35"/>
        <v>30</v>
      </c>
      <c r="T246" s="1" t="s">
        <v>2935</v>
      </c>
      <c r="U246" s="1" t="s">
        <v>2932</v>
      </c>
      <c r="V246" s="3">
        <f t="shared" si="36"/>
        <v>40000</v>
      </c>
      <c r="W246" s="3">
        <f t="shared" si="37"/>
        <v>16000</v>
      </c>
      <c r="X246" s="3">
        <f t="shared" si="29"/>
        <v>1250</v>
      </c>
      <c r="Y246" s="3">
        <f t="shared" si="30"/>
        <v>1600</v>
      </c>
      <c r="Z246" s="3">
        <f t="shared" si="31"/>
        <v>1800</v>
      </c>
      <c r="AA246" s="3">
        <v>0</v>
      </c>
      <c r="AB246" s="3">
        <f>ROUND(U246 - (V246+W246+X246+Y246) - (U246/Q246 * 2),0)</f>
        <v>34483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f>SUM(V246+W246+X246+Y246+AB246)</f>
        <v>93333</v>
      </c>
      <c r="AK246" s="3">
        <f>SUM(AJ246-AA246)</f>
        <v>93333</v>
      </c>
      <c r="AL246" s="3">
        <f>IF(V246&lt;=15000,V246*12%,1800)</f>
        <v>1800</v>
      </c>
      <c r="AM246" s="3">
        <v>0</v>
      </c>
      <c r="AN246" s="3">
        <f t="shared" si="32"/>
        <v>1800</v>
      </c>
      <c r="AO246" s="12">
        <v>200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3">
        <f t="shared" si="34"/>
        <v>200</v>
      </c>
      <c r="AV246" s="3">
        <f>SUM(AJ246 - AN246 - AU246)</f>
        <v>91333</v>
      </c>
      <c r="AW246" s="11">
        <v>0</v>
      </c>
      <c r="AX246" s="11">
        <v>0</v>
      </c>
      <c r="AY246" s="11">
        <v>0</v>
      </c>
      <c r="AZ246" s="11">
        <v>0</v>
      </c>
      <c r="BA246" s="3">
        <f t="shared" si="33"/>
        <v>91333</v>
      </c>
    </row>
    <row r="247" spans="1:53" x14ac:dyDescent="0.25">
      <c r="A247" s="1" t="s">
        <v>245</v>
      </c>
      <c r="B247" s="9" t="s">
        <v>1547</v>
      </c>
      <c r="C247" s="9" t="s">
        <v>1010</v>
      </c>
      <c r="D247" s="9" t="s">
        <v>1548</v>
      </c>
      <c r="E247" s="9" t="s">
        <v>1012</v>
      </c>
      <c r="F247" s="10">
        <v>44326</v>
      </c>
      <c r="G247" s="9" t="s">
        <v>1019</v>
      </c>
      <c r="I247" s="9" t="s">
        <v>1014</v>
      </c>
      <c r="J247" s="9" t="s">
        <v>1015</v>
      </c>
      <c r="K247" s="8" t="s">
        <v>1006</v>
      </c>
      <c r="L247" s="8" t="s">
        <v>1007</v>
      </c>
      <c r="M247" s="8" t="s">
        <v>2933</v>
      </c>
      <c r="N247" s="8" t="s">
        <v>2937</v>
      </c>
      <c r="O247" s="1" t="s">
        <v>2934</v>
      </c>
      <c r="P247">
        <v>30</v>
      </c>
      <c r="Q247">
        <v>30</v>
      </c>
      <c r="R247">
        <v>0</v>
      </c>
      <c r="S247">
        <f t="shared" si="35"/>
        <v>30</v>
      </c>
      <c r="T247" s="1" t="s">
        <v>2935</v>
      </c>
      <c r="U247" s="1" t="s">
        <v>2932</v>
      </c>
      <c r="V247" s="3">
        <f t="shared" si="36"/>
        <v>40000</v>
      </c>
      <c r="W247" s="3">
        <f t="shared" si="37"/>
        <v>16000</v>
      </c>
      <c r="X247" s="3">
        <f t="shared" si="29"/>
        <v>1250</v>
      </c>
      <c r="Y247" s="3">
        <f t="shared" si="30"/>
        <v>1600</v>
      </c>
      <c r="Z247" s="3">
        <f t="shared" si="31"/>
        <v>1800</v>
      </c>
      <c r="AA247" s="3">
        <v>0</v>
      </c>
      <c r="AB247" s="3">
        <f>ROUND(U247 - (V247+W247+X247+Y247) - (U247/Q247 * 2),0)</f>
        <v>34483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f>SUM(V247+W247+X247+Y247+AB247)</f>
        <v>93333</v>
      </c>
      <c r="AK247" s="3">
        <f>SUM(AJ247-AA247)</f>
        <v>93333</v>
      </c>
      <c r="AL247" s="3">
        <f>IF(V247&lt;=15000,V247*12%,1800)</f>
        <v>1800</v>
      </c>
      <c r="AM247" s="3">
        <v>0</v>
      </c>
      <c r="AN247" s="3">
        <f t="shared" si="32"/>
        <v>1800</v>
      </c>
      <c r="AO247" s="12">
        <v>200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3">
        <f t="shared" si="34"/>
        <v>200</v>
      </c>
      <c r="AV247" s="3">
        <f>SUM(AJ247 - AN247 - AU247)</f>
        <v>91333</v>
      </c>
      <c r="AW247" s="11">
        <v>0</v>
      </c>
      <c r="AX247" s="11">
        <v>0</v>
      </c>
      <c r="AY247" s="11">
        <v>0</v>
      </c>
      <c r="AZ247" s="11">
        <v>0</v>
      </c>
      <c r="BA247" s="3">
        <f t="shared" si="33"/>
        <v>91333</v>
      </c>
    </row>
    <row r="248" spans="1:53" x14ac:dyDescent="0.25">
      <c r="A248" s="1" t="s">
        <v>246</v>
      </c>
      <c r="B248" s="9" t="s">
        <v>1545</v>
      </c>
      <c r="C248" s="9" t="s">
        <v>1075</v>
      </c>
      <c r="D248" s="9" t="s">
        <v>1546</v>
      </c>
      <c r="E248" s="9" t="s">
        <v>1012</v>
      </c>
      <c r="F248" s="10">
        <v>44326</v>
      </c>
      <c r="G248" s="9" t="s">
        <v>1013</v>
      </c>
      <c r="I248" s="9" t="s">
        <v>1014</v>
      </c>
      <c r="J248" s="9" t="s">
        <v>1021</v>
      </c>
      <c r="K248" s="8" t="s">
        <v>1006</v>
      </c>
      <c r="L248" s="8" t="s">
        <v>1007</v>
      </c>
      <c r="M248" s="8" t="s">
        <v>2933</v>
      </c>
      <c r="N248" s="8" t="s">
        <v>2937</v>
      </c>
      <c r="O248" s="1" t="s">
        <v>2934</v>
      </c>
      <c r="P248">
        <v>30</v>
      </c>
      <c r="Q248">
        <v>30</v>
      </c>
      <c r="R248">
        <v>0</v>
      </c>
      <c r="S248">
        <f t="shared" si="35"/>
        <v>30</v>
      </c>
      <c r="T248" s="1" t="s">
        <v>2935</v>
      </c>
      <c r="U248" s="1" t="s">
        <v>2932</v>
      </c>
      <c r="V248" s="3">
        <f t="shared" si="36"/>
        <v>40000</v>
      </c>
      <c r="W248" s="3">
        <f t="shared" si="37"/>
        <v>16000</v>
      </c>
      <c r="X248" s="3">
        <f t="shared" si="29"/>
        <v>1250</v>
      </c>
      <c r="Y248" s="3">
        <f t="shared" si="30"/>
        <v>1600</v>
      </c>
      <c r="Z248" s="3">
        <f t="shared" si="31"/>
        <v>1800</v>
      </c>
      <c r="AA248" s="3">
        <v>0</v>
      </c>
      <c r="AB248" s="3">
        <f>ROUND(U248 - (V248+W248+X248+Y248) - (U248/Q248 * 2),0)</f>
        <v>34483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f>SUM(V248+W248+X248+Y248+AB248)</f>
        <v>93333</v>
      </c>
      <c r="AK248" s="3">
        <f>SUM(AJ248-AA248)</f>
        <v>93333</v>
      </c>
      <c r="AL248" s="3">
        <f>IF(V248&lt;=15000,V248*12%,1800)</f>
        <v>1800</v>
      </c>
      <c r="AM248" s="3">
        <v>0</v>
      </c>
      <c r="AN248" s="3">
        <f t="shared" si="32"/>
        <v>1800</v>
      </c>
      <c r="AO248" s="12">
        <v>200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3">
        <f t="shared" si="34"/>
        <v>200</v>
      </c>
      <c r="AV248" s="3">
        <f>SUM(AJ248 - AN248 - AU248)</f>
        <v>91333</v>
      </c>
      <c r="AW248" s="11">
        <v>0</v>
      </c>
      <c r="AX248" s="11">
        <v>0</v>
      </c>
      <c r="AY248" s="11">
        <v>0</v>
      </c>
      <c r="AZ248" s="11">
        <v>0</v>
      </c>
      <c r="BA248" s="3">
        <f t="shared" si="33"/>
        <v>91333</v>
      </c>
    </row>
    <row r="249" spans="1:53" x14ac:dyDescent="0.25">
      <c r="A249" s="1" t="s">
        <v>247</v>
      </c>
      <c r="B249" s="9" t="s">
        <v>1094</v>
      </c>
      <c r="C249" s="9" t="s">
        <v>1023</v>
      </c>
      <c r="D249" s="9" t="s">
        <v>1544</v>
      </c>
      <c r="E249" s="9" t="s">
        <v>1012</v>
      </c>
      <c r="F249" s="10">
        <v>44330</v>
      </c>
      <c r="G249" s="9" t="s">
        <v>1013</v>
      </c>
      <c r="I249" s="9" t="s">
        <v>1014</v>
      </c>
      <c r="J249" s="9" t="s">
        <v>1021</v>
      </c>
      <c r="K249" s="8" t="s">
        <v>1006</v>
      </c>
      <c r="L249" s="8" t="s">
        <v>1007</v>
      </c>
      <c r="M249" s="8" t="s">
        <v>2933</v>
      </c>
      <c r="N249" s="8" t="s">
        <v>2937</v>
      </c>
      <c r="O249" s="1" t="s">
        <v>2934</v>
      </c>
      <c r="P249">
        <v>30</v>
      </c>
      <c r="Q249">
        <v>30</v>
      </c>
      <c r="R249">
        <v>0</v>
      </c>
      <c r="S249">
        <f t="shared" si="35"/>
        <v>30</v>
      </c>
      <c r="T249" s="1" t="s">
        <v>2935</v>
      </c>
      <c r="U249" s="1" t="s">
        <v>2932</v>
      </c>
      <c r="V249" s="3">
        <f t="shared" si="36"/>
        <v>40000</v>
      </c>
      <c r="W249" s="3">
        <f t="shared" si="37"/>
        <v>16000</v>
      </c>
      <c r="X249" s="3">
        <f t="shared" si="29"/>
        <v>1250</v>
      </c>
      <c r="Y249" s="3">
        <f t="shared" si="30"/>
        <v>1600</v>
      </c>
      <c r="Z249" s="3">
        <f t="shared" si="31"/>
        <v>1800</v>
      </c>
      <c r="AA249" s="3">
        <v>0</v>
      </c>
      <c r="AB249" s="3">
        <f>ROUND(U249 - (V249+W249+X249+Y249) - (U249/Q249 * 2),0)</f>
        <v>34483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f>SUM(V249+W249+X249+Y249+AB249)</f>
        <v>93333</v>
      </c>
      <c r="AK249" s="3">
        <f>SUM(AJ249-AA249)</f>
        <v>93333</v>
      </c>
      <c r="AL249" s="3">
        <f>IF(V249&lt;=15000,V249*12%,1800)</f>
        <v>1800</v>
      </c>
      <c r="AM249" s="3">
        <v>0</v>
      </c>
      <c r="AN249" s="3">
        <f t="shared" si="32"/>
        <v>1800</v>
      </c>
      <c r="AO249" s="12">
        <v>200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3">
        <f t="shared" si="34"/>
        <v>200</v>
      </c>
      <c r="AV249" s="3">
        <f>SUM(AJ249 - AN249 - AU249)</f>
        <v>91333</v>
      </c>
      <c r="AW249" s="11">
        <v>0</v>
      </c>
      <c r="AX249" s="11">
        <v>0</v>
      </c>
      <c r="AY249" s="11">
        <v>0</v>
      </c>
      <c r="AZ249" s="11">
        <v>0</v>
      </c>
      <c r="BA249" s="3">
        <f t="shared" si="33"/>
        <v>91333</v>
      </c>
    </row>
    <row r="250" spans="1:53" x14ac:dyDescent="0.25">
      <c r="A250" s="1" t="s">
        <v>248</v>
      </c>
      <c r="B250" s="9" t="s">
        <v>1542</v>
      </c>
      <c r="C250" s="9" t="s">
        <v>1434</v>
      </c>
      <c r="D250" s="9" t="s">
        <v>1543</v>
      </c>
      <c r="E250" s="9" t="s">
        <v>1008</v>
      </c>
      <c r="F250" s="10">
        <v>44333</v>
      </c>
      <c r="G250" s="9" t="s">
        <v>1019</v>
      </c>
      <c r="I250" s="9" t="s">
        <v>1014</v>
      </c>
      <c r="J250" s="9" t="s">
        <v>1015</v>
      </c>
      <c r="K250" s="8" t="s">
        <v>1006</v>
      </c>
      <c r="L250" s="8" t="s">
        <v>1007</v>
      </c>
      <c r="M250" s="8" t="s">
        <v>2933</v>
      </c>
      <c r="N250" s="8" t="s">
        <v>2937</v>
      </c>
      <c r="O250" s="1" t="s">
        <v>2934</v>
      </c>
      <c r="P250">
        <v>30</v>
      </c>
      <c r="Q250">
        <v>30</v>
      </c>
      <c r="R250">
        <v>0</v>
      </c>
      <c r="S250">
        <f t="shared" si="35"/>
        <v>30</v>
      </c>
      <c r="T250" s="1" t="s">
        <v>2935</v>
      </c>
      <c r="U250" s="1" t="s">
        <v>2932</v>
      </c>
      <c r="V250" s="3">
        <f t="shared" si="36"/>
        <v>40000</v>
      </c>
      <c r="W250" s="3">
        <f t="shared" si="37"/>
        <v>16000</v>
      </c>
      <c r="X250" s="3">
        <f t="shared" si="29"/>
        <v>1250</v>
      </c>
      <c r="Y250" s="3">
        <f t="shared" si="30"/>
        <v>1600</v>
      </c>
      <c r="Z250" s="3">
        <f t="shared" si="31"/>
        <v>1800</v>
      </c>
      <c r="AA250" s="3">
        <v>0</v>
      </c>
      <c r="AB250" s="3">
        <f>ROUND(U250 - (V250+W250+X250+Y250) - (U250/Q250 * 2),0)</f>
        <v>34483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f>SUM(V250+W250+X250+Y250+AB250)</f>
        <v>93333</v>
      </c>
      <c r="AK250" s="3">
        <f>SUM(AJ250-AA250)</f>
        <v>93333</v>
      </c>
      <c r="AL250" s="3">
        <f>IF(V250&lt;=15000,V250*12%,1800)</f>
        <v>1800</v>
      </c>
      <c r="AM250" s="3">
        <v>0</v>
      </c>
      <c r="AN250" s="3">
        <f t="shared" si="32"/>
        <v>1800</v>
      </c>
      <c r="AO250" s="12">
        <v>200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3">
        <f t="shared" si="34"/>
        <v>200</v>
      </c>
      <c r="AV250" s="3">
        <f>SUM(AJ250 - AN250 - AU250)</f>
        <v>91333</v>
      </c>
      <c r="AW250" s="11">
        <v>0</v>
      </c>
      <c r="AX250" s="11">
        <v>0</v>
      </c>
      <c r="AY250" s="11">
        <v>0</v>
      </c>
      <c r="AZ250" s="11">
        <v>0</v>
      </c>
      <c r="BA250" s="3">
        <f t="shared" si="33"/>
        <v>91333</v>
      </c>
    </row>
    <row r="251" spans="1:53" x14ac:dyDescent="0.25">
      <c r="A251" s="1" t="s">
        <v>249</v>
      </c>
      <c r="B251" s="9" t="s">
        <v>1540</v>
      </c>
      <c r="C251" s="9" t="s">
        <v>1023</v>
      </c>
      <c r="D251" s="9" t="s">
        <v>1541</v>
      </c>
      <c r="E251" s="9" t="s">
        <v>1012</v>
      </c>
      <c r="F251" s="10">
        <v>44335</v>
      </c>
      <c r="G251" s="9" t="s">
        <v>1013</v>
      </c>
      <c r="I251" s="9" t="s">
        <v>1014</v>
      </c>
      <c r="J251" s="9" t="s">
        <v>1021</v>
      </c>
      <c r="K251" s="8" t="s">
        <v>1006</v>
      </c>
      <c r="L251" s="8" t="s">
        <v>1007</v>
      </c>
      <c r="M251" s="8" t="s">
        <v>2933</v>
      </c>
      <c r="N251" s="8" t="s">
        <v>2937</v>
      </c>
      <c r="O251" s="1" t="s">
        <v>2934</v>
      </c>
      <c r="P251">
        <v>30</v>
      </c>
      <c r="Q251">
        <v>30</v>
      </c>
      <c r="R251">
        <v>0</v>
      </c>
      <c r="S251">
        <f t="shared" si="35"/>
        <v>30</v>
      </c>
      <c r="T251" s="1" t="s">
        <v>2935</v>
      </c>
      <c r="U251" s="1" t="s">
        <v>2932</v>
      </c>
      <c r="V251" s="3">
        <f t="shared" si="36"/>
        <v>40000</v>
      </c>
      <c r="W251" s="3">
        <f t="shared" si="37"/>
        <v>16000</v>
      </c>
      <c r="X251" s="3">
        <f t="shared" si="29"/>
        <v>1250</v>
      </c>
      <c r="Y251" s="3">
        <f t="shared" si="30"/>
        <v>1600</v>
      </c>
      <c r="Z251" s="3">
        <f t="shared" si="31"/>
        <v>1800</v>
      </c>
      <c r="AA251" s="3">
        <v>0</v>
      </c>
      <c r="AB251" s="3">
        <f>ROUND(U251 - (V251+W251+X251+Y251) - (U251/Q251 * 2),0)</f>
        <v>34483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f>SUM(V251+W251+X251+Y251+AB251)</f>
        <v>93333</v>
      </c>
      <c r="AK251" s="3">
        <f>SUM(AJ251-AA251)</f>
        <v>93333</v>
      </c>
      <c r="AL251" s="3">
        <f>IF(V251&lt;=15000,V251*12%,1800)</f>
        <v>1800</v>
      </c>
      <c r="AM251" s="3">
        <v>0</v>
      </c>
      <c r="AN251" s="3">
        <f t="shared" si="32"/>
        <v>1800</v>
      </c>
      <c r="AO251" s="12">
        <v>200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3">
        <f t="shared" si="34"/>
        <v>200</v>
      </c>
      <c r="AV251" s="3">
        <f>SUM(AJ251 - AN251 - AU251)</f>
        <v>91333</v>
      </c>
      <c r="AW251" s="11">
        <v>0</v>
      </c>
      <c r="AX251" s="11">
        <v>0</v>
      </c>
      <c r="AY251" s="11">
        <v>0</v>
      </c>
      <c r="AZ251" s="11">
        <v>0</v>
      </c>
      <c r="BA251" s="3">
        <f t="shared" si="33"/>
        <v>91333</v>
      </c>
    </row>
    <row r="252" spans="1:53" x14ac:dyDescent="0.25">
      <c r="A252" s="1" t="s">
        <v>250</v>
      </c>
      <c r="B252" s="9" t="s">
        <v>1244</v>
      </c>
      <c r="C252" s="9" t="s">
        <v>1216</v>
      </c>
      <c r="D252" s="9" t="s">
        <v>1539</v>
      </c>
      <c r="E252" s="9" t="s">
        <v>1012</v>
      </c>
      <c r="F252" s="10">
        <v>44319</v>
      </c>
      <c r="G252" s="9" t="s">
        <v>1019</v>
      </c>
      <c r="I252" s="9" t="s">
        <v>1014</v>
      </c>
      <c r="J252" s="9" t="s">
        <v>1021</v>
      </c>
      <c r="K252" s="8" t="s">
        <v>1006</v>
      </c>
      <c r="L252" s="8" t="s">
        <v>1007</v>
      </c>
      <c r="M252" s="8" t="s">
        <v>2933</v>
      </c>
      <c r="N252" s="8" t="s">
        <v>2937</v>
      </c>
      <c r="O252" s="1" t="s">
        <v>2934</v>
      </c>
      <c r="P252">
        <v>30</v>
      </c>
      <c r="Q252">
        <v>30</v>
      </c>
      <c r="R252">
        <v>0</v>
      </c>
      <c r="S252">
        <f t="shared" si="35"/>
        <v>30</v>
      </c>
      <c r="T252" s="1" t="s">
        <v>2935</v>
      </c>
      <c r="U252" s="1" t="s">
        <v>2932</v>
      </c>
      <c r="V252" s="3">
        <f t="shared" si="36"/>
        <v>40000</v>
      </c>
      <c r="W252" s="3">
        <f t="shared" si="37"/>
        <v>16000</v>
      </c>
      <c r="X252" s="3">
        <f t="shared" si="29"/>
        <v>1250</v>
      </c>
      <c r="Y252" s="3">
        <f t="shared" si="30"/>
        <v>1600</v>
      </c>
      <c r="Z252" s="3">
        <f t="shared" si="31"/>
        <v>1800</v>
      </c>
      <c r="AA252" s="3">
        <v>0</v>
      </c>
      <c r="AB252" s="3">
        <f>ROUND(U252 - (V252+W252+X252+Y252) - (U252/Q252 * 2),0)</f>
        <v>34483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f>SUM(V252+W252+X252+Y252+AB252)</f>
        <v>93333</v>
      </c>
      <c r="AK252" s="3">
        <f>SUM(AJ252-AA252)</f>
        <v>93333</v>
      </c>
      <c r="AL252" s="3">
        <f>IF(V252&lt;=15000,V252*12%,1800)</f>
        <v>1800</v>
      </c>
      <c r="AM252" s="3">
        <v>0</v>
      </c>
      <c r="AN252" s="3">
        <f t="shared" si="32"/>
        <v>1800</v>
      </c>
      <c r="AO252" s="12">
        <v>200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3">
        <f t="shared" si="34"/>
        <v>200</v>
      </c>
      <c r="AV252" s="3">
        <f>SUM(AJ252 - AN252 - AU252)</f>
        <v>91333</v>
      </c>
      <c r="AW252" s="11">
        <v>0</v>
      </c>
      <c r="AX252" s="11">
        <v>0</v>
      </c>
      <c r="AY252" s="11">
        <v>0</v>
      </c>
      <c r="AZ252" s="11">
        <v>0</v>
      </c>
      <c r="BA252" s="3">
        <f t="shared" si="33"/>
        <v>91333</v>
      </c>
    </row>
    <row r="253" spans="1:53" x14ac:dyDescent="0.25">
      <c r="A253" s="1" t="s">
        <v>251</v>
      </c>
      <c r="B253" s="9" t="s">
        <v>1537</v>
      </c>
      <c r="C253" s="9" t="s">
        <v>1063</v>
      </c>
      <c r="D253" s="9" t="s">
        <v>1538</v>
      </c>
      <c r="E253" s="9" t="s">
        <v>1012</v>
      </c>
      <c r="F253" s="10">
        <v>44315</v>
      </c>
      <c r="G253" s="9" t="s">
        <v>1019</v>
      </c>
      <c r="I253" s="9" t="s">
        <v>1014</v>
      </c>
      <c r="J253" s="9" t="s">
        <v>1015</v>
      </c>
      <c r="K253" s="8" t="s">
        <v>1006</v>
      </c>
      <c r="L253" s="8" t="s">
        <v>1007</v>
      </c>
      <c r="M253" s="8" t="s">
        <v>2933</v>
      </c>
      <c r="N253" s="8" t="s">
        <v>2937</v>
      </c>
      <c r="O253" s="1" t="s">
        <v>2934</v>
      </c>
      <c r="P253">
        <v>30</v>
      </c>
      <c r="Q253">
        <v>30</v>
      </c>
      <c r="R253">
        <v>0</v>
      </c>
      <c r="S253">
        <f t="shared" si="35"/>
        <v>30</v>
      </c>
      <c r="T253" s="1" t="s">
        <v>2935</v>
      </c>
      <c r="U253" s="1" t="s">
        <v>2932</v>
      </c>
      <c r="V253" s="3">
        <f t="shared" si="36"/>
        <v>40000</v>
      </c>
      <c r="W253" s="3">
        <f t="shared" si="37"/>
        <v>16000</v>
      </c>
      <c r="X253" s="3">
        <f t="shared" si="29"/>
        <v>1250</v>
      </c>
      <c r="Y253" s="3">
        <f t="shared" si="30"/>
        <v>1600</v>
      </c>
      <c r="Z253" s="3">
        <f t="shared" si="31"/>
        <v>1800</v>
      </c>
      <c r="AA253" s="3">
        <v>0</v>
      </c>
      <c r="AB253" s="3">
        <f>ROUND(U253 - (V253+W253+X253+Y253) - (U253/Q253 * 2),0)</f>
        <v>34483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f>SUM(V253+W253+X253+Y253+AB253)</f>
        <v>93333</v>
      </c>
      <c r="AK253" s="3">
        <f>SUM(AJ253-AA253)</f>
        <v>93333</v>
      </c>
      <c r="AL253" s="3">
        <f>IF(V253&lt;=15000,V253*12%,1800)</f>
        <v>1800</v>
      </c>
      <c r="AM253" s="3">
        <v>0</v>
      </c>
      <c r="AN253" s="3">
        <f t="shared" si="32"/>
        <v>1800</v>
      </c>
      <c r="AO253" s="12">
        <v>200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3">
        <f t="shared" si="34"/>
        <v>200</v>
      </c>
      <c r="AV253" s="3">
        <f>SUM(AJ253 - AN253 - AU253)</f>
        <v>91333</v>
      </c>
      <c r="AW253" s="11">
        <v>0</v>
      </c>
      <c r="AX253" s="11">
        <v>0</v>
      </c>
      <c r="AY253" s="11">
        <v>0</v>
      </c>
      <c r="AZ253" s="11">
        <v>0</v>
      </c>
      <c r="BA253" s="3">
        <f t="shared" si="33"/>
        <v>91333</v>
      </c>
    </row>
    <row r="254" spans="1:53" x14ac:dyDescent="0.25">
      <c r="A254" s="1" t="s">
        <v>252</v>
      </c>
      <c r="B254" s="9" t="s">
        <v>1108</v>
      </c>
      <c r="C254" s="9" t="s">
        <v>1063</v>
      </c>
      <c r="D254" s="9" t="s">
        <v>1536</v>
      </c>
      <c r="E254" s="9" t="s">
        <v>1012</v>
      </c>
      <c r="F254" s="10">
        <v>44322</v>
      </c>
      <c r="G254" s="9" t="s">
        <v>1019</v>
      </c>
      <c r="I254" s="9" t="s">
        <v>1014</v>
      </c>
      <c r="J254" s="9" t="s">
        <v>1015</v>
      </c>
      <c r="K254" s="8" t="s">
        <v>1006</v>
      </c>
      <c r="L254" s="8" t="s">
        <v>1007</v>
      </c>
      <c r="M254" s="8" t="s">
        <v>2933</v>
      </c>
      <c r="N254" s="8" t="s">
        <v>2937</v>
      </c>
      <c r="O254" s="1" t="s">
        <v>2934</v>
      </c>
      <c r="P254">
        <v>30</v>
      </c>
      <c r="Q254">
        <v>30</v>
      </c>
      <c r="R254">
        <v>0</v>
      </c>
      <c r="S254">
        <f t="shared" si="35"/>
        <v>30</v>
      </c>
      <c r="T254" s="1" t="s">
        <v>2935</v>
      </c>
      <c r="U254" s="1" t="s">
        <v>2932</v>
      </c>
      <c r="V254" s="3">
        <f t="shared" si="36"/>
        <v>40000</v>
      </c>
      <c r="W254" s="3">
        <f t="shared" si="37"/>
        <v>16000</v>
      </c>
      <c r="X254" s="3">
        <f t="shared" si="29"/>
        <v>1250</v>
      </c>
      <c r="Y254" s="3">
        <f t="shared" si="30"/>
        <v>1600</v>
      </c>
      <c r="Z254" s="3">
        <f t="shared" si="31"/>
        <v>1800</v>
      </c>
      <c r="AA254" s="3">
        <v>0</v>
      </c>
      <c r="AB254" s="3">
        <f>ROUND(U254 - (V254+W254+X254+Y254) - (U254/Q254 * 2),0)</f>
        <v>34483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f>SUM(V254+W254+X254+Y254+AB254)</f>
        <v>93333</v>
      </c>
      <c r="AK254" s="3">
        <f>SUM(AJ254-AA254)</f>
        <v>93333</v>
      </c>
      <c r="AL254" s="3">
        <f>IF(V254&lt;=15000,V254*12%,1800)</f>
        <v>1800</v>
      </c>
      <c r="AM254" s="3">
        <v>0</v>
      </c>
      <c r="AN254" s="3">
        <f t="shared" si="32"/>
        <v>1800</v>
      </c>
      <c r="AO254" s="12">
        <v>200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3">
        <f t="shared" si="34"/>
        <v>200</v>
      </c>
      <c r="AV254" s="3">
        <f>SUM(AJ254 - AN254 - AU254)</f>
        <v>91333</v>
      </c>
      <c r="AW254" s="11">
        <v>0</v>
      </c>
      <c r="AX254" s="11">
        <v>0</v>
      </c>
      <c r="AY254" s="11">
        <v>0</v>
      </c>
      <c r="AZ254" s="11">
        <v>0</v>
      </c>
      <c r="BA254" s="3">
        <f t="shared" si="33"/>
        <v>91333</v>
      </c>
    </row>
    <row r="255" spans="1:53" x14ac:dyDescent="0.25">
      <c r="A255" s="1" t="s">
        <v>253</v>
      </c>
      <c r="B255" s="9" t="s">
        <v>1596</v>
      </c>
      <c r="C255" s="9" t="s">
        <v>1063</v>
      </c>
      <c r="D255" s="9" t="s">
        <v>1597</v>
      </c>
      <c r="E255" s="9" t="s">
        <v>1012</v>
      </c>
      <c r="F255" s="10">
        <v>44340</v>
      </c>
      <c r="G255" s="9" t="s">
        <v>1013</v>
      </c>
      <c r="I255" s="9" t="s">
        <v>1014</v>
      </c>
      <c r="J255" s="9" t="s">
        <v>1015</v>
      </c>
      <c r="K255" s="8" t="s">
        <v>1006</v>
      </c>
      <c r="L255" s="8" t="s">
        <v>1007</v>
      </c>
      <c r="M255" s="8" t="s">
        <v>2933</v>
      </c>
      <c r="N255" s="8" t="s">
        <v>2937</v>
      </c>
      <c r="O255" s="1" t="s">
        <v>2934</v>
      </c>
      <c r="P255">
        <v>30</v>
      </c>
      <c r="Q255">
        <v>30</v>
      </c>
      <c r="R255">
        <v>0</v>
      </c>
      <c r="S255">
        <f t="shared" si="35"/>
        <v>30</v>
      </c>
      <c r="T255" s="1" t="s">
        <v>2935</v>
      </c>
      <c r="U255" s="1" t="s">
        <v>2932</v>
      </c>
      <c r="V255" s="3">
        <f t="shared" si="36"/>
        <v>40000</v>
      </c>
      <c r="W255" s="3">
        <f t="shared" si="37"/>
        <v>16000</v>
      </c>
      <c r="X255" s="3">
        <f t="shared" si="29"/>
        <v>1250</v>
      </c>
      <c r="Y255" s="3">
        <f t="shared" si="30"/>
        <v>1600</v>
      </c>
      <c r="Z255" s="3">
        <f t="shared" si="31"/>
        <v>1800</v>
      </c>
      <c r="AA255" s="3">
        <v>0</v>
      </c>
      <c r="AB255" s="3">
        <f>ROUND(U255 - (V255+W255+X255+Y255) - (U255/Q255 * 2),0)</f>
        <v>34483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f>SUM(V255+W255+X255+Y255+AB255)</f>
        <v>93333</v>
      </c>
      <c r="AK255" s="3">
        <f>SUM(AJ255-AA255)</f>
        <v>93333</v>
      </c>
      <c r="AL255" s="3">
        <f>IF(V255&lt;=15000,V255*12%,1800)</f>
        <v>1800</v>
      </c>
      <c r="AM255" s="3">
        <v>0</v>
      </c>
      <c r="AN255" s="3">
        <f t="shared" si="32"/>
        <v>1800</v>
      </c>
      <c r="AO255" s="12">
        <v>200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3">
        <f t="shared" si="34"/>
        <v>200</v>
      </c>
      <c r="AV255" s="3">
        <f>SUM(AJ255 - AN255 - AU255)</f>
        <v>91333</v>
      </c>
      <c r="AW255" s="11">
        <v>0</v>
      </c>
      <c r="AX255" s="11">
        <v>0</v>
      </c>
      <c r="AY255" s="11">
        <v>0</v>
      </c>
      <c r="AZ255" s="11">
        <v>0</v>
      </c>
      <c r="BA255" s="3">
        <f t="shared" si="33"/>
        <v>91333</v>
      </c>
    </row>
    <row r="256" spans="1:53" x14ac:dyDescent="0.25">
      <c r="A256" s="1" t="s">
        <v>254</v>
      </c>
      <c r="B256" s="9" t="s">
        <v>1593</v>
      </c>
      <c r="C256" s="9" t="s">
        <v>1594</v>
      </c>
      <c r="D256" s="9">
        <v>0</v>
      </c>
      <c r="E256" s="9" t="s">
        <v>1012</v>
      </c>
      <c r="F256" s="10">
        <v>42856</v>
      </c>
      <c r="G256" s="9" t="s">
        <v>1019</v>
      </c>
      <c r="I256" s="9" t="s">
        <v>1014</v>
      </c>
      <c r="J256" s="9" t="s">
        <v>1595</v>
      </c>
      <c r="K256" s="8" t="s">
        <v>1006</v>
      </c>
      <c r="L256" s="8" t="s">
        <v>1007</v>
      </c>
      <c r="M256" s="8" t="s">
        <v>2933</v>
      </c>
      <c r="N256" s="8" t="s">
        <v>2937</v>
      </c>
      <c r="O256" s="1" t="s">
        <v>2934</v>
      </c>
      <c r="P256">
        <v>30</v>
      </c>
      <c r="Q256">
        <v>30</v>
      </c>
      <c r="R256">
        <v>0</v>
      </c>
      <c r="S256">
        <f t="shared" si="35"/>
        <v>30</v>
      </c>
      <c r="T256" s="1" t="s">
        <v>2935</v>
      </c>
      <c r="U256" s="1" t="s">
        <v>2932</v>
      </c>
      <c r="V256" s="3">
        <f t="shared" si="36"/>
        <v>40000</v>
      </c>
      <c r="W256" s="3">
        <f t="shared" si="37"/>
        <v>16000</v>
      </c>
      <c r="X256" s="3">
        <f t="shared" si="29"/>
        <v>1250</v>
      </c>
      <c r="Y256" s="3">
        <f t="shared" si="30"/>
        <v>1600</v>
      </c>
      <c r="Z256" s="3">
        <f t="shared" si="31"/>
        <v>1800</v>
      </c>
      <c r="AA256" s="3">
        <v>0</v>
      </c>
      <c r="AB256" s="3">
        <f>ROUND(U256 - (V256+W256+X256+Y256) - (U256/Q256 * 2),0)</f>
        <v>34483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f>SUM(V256+W256+X256+Y256+AB256)</f>
        <v>93333</v>
      </c>
      <c r="AK256" s="3">
        <f>SUM(AJ256-AA256)</f>
        <v>93333</v>
      </c>
      <c r="AL256" s="3">
        <f>IF(V256&lt;=15000,V256*12%,1800)</f>
        <v>1800</v>
      </c>
      <c r="AM256" s="3">
        <v>0</v>
      </c>
      <c r="AN256" s="3">
        <f t="shared" si="32"/>
        <v>1800</v>
      </c>
      <c r="AO256" s="12">
        <v>200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3">
        <f t="shared" si="34"/>
        <v>200</v>
      </c>
      <c r="AV256" s="3">
        <f>SUM(AJ256 - AN256 - AU256)</f>
        <v>91333</v>
      </c>
      <c r="AW256" s="11">
        <v>0</v>
      </c>
      <c r="AX256" s="11">
        <v>0</v>
      </c>
      <c r="AY256" s="11">
        <v>0</v>
      </c>
      <c r="AZ256" s="11">
        <v>0</v>
      </c>
      <c r="BA256" s="3">
        <f t="shared" si="33"/>
        <v>91333</v>
      </c>
    </row>
    <row r="257" spans="1:53" x14ac:dyDescent="0.25">
      <c r="A257" s="1" t="s">
        <v>255</v>
      </c>
      <c r="B257" s="9" t="s">
        <v>1591</v>
      </c>
      <c r="C257" s="9" t="s">
        <v>1038</v>
      </c>
      <c r="D257" s="9" t="s">
        <v>1592</v>
      </c>
      <c r="E257" s="9" t="s">
        <v>1012</v>
      </c>
      <c r="F257" s="10">
        <v>44937</v>
      </c>
      <c r="G257" s="9" t="s">
        <v>1013</v>
      </c>
      <c r="I257" s="9" t="s">
        <v>1014</v>
      </c>
      <c r="J257" s="9" t="s">
        <v>1015</v>
      </c>
      <c r="K257" s="8" t="s">
        <v>1006</v>
      </c>
      <c r="L257" s="8" t="s">
        <v>1007</v>
      </c>
      <c r="M257" s="8" t="s">
        <v>2933</v>
      </c>
      <c r="N257" s="8" t="s">
        <v>2937</v>
      </c>
      <c r="O257" s="1" t="s">
        <v>2934</v>
      </c>
      <c r="P257">
        <v>30</v>
      </c>
      <c r="Q257">
        <v>30</v>
      </c>
      <c r="R257">
        <v>0</v>
      </c>
      <c r="S257">
        <f t="shared" si="35"/>
        <v>30</v>
      </c>
      <c r="T257" s="1" t="s">
        <v>2935</v>
      </c>
      <c r="U257" s="1" t="s">
        <v>2932</v>
      </c>
      <c r="V257" s="3">
        <f t="shared" si="36"/>
        <v>40000</v>
      </c>
      <c r="W257" s="3">
        <f t="shared" si="37"/>
        <v>16000</v>
      </c>
      <c r="X257" s="3">
        <f t="shared" si="29"/>
        <v>1250</v>
      </c>
      <c r="Y257" s="3">
        <f t="shared" si="30"/>
        <v>1600</v>
      </c>
      <c r="Z257" s="3">
        <f t="shared" si="31"/>
        <v>1800</v>
      </c>
      <c r="AA257" s="3">
        <v>0</v>
      </c>
      <c r="AB257" s="3">
        <f>ROUND(U257 - (V257+W257+X257+Y257) - (U257/Q257 * 2),0)</f>
        <v>34483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f>SUM(V257+W257+X257+Y257+AB257)</f>
        <v>93333</v>
      </c>
      <c r="AK257" s="3">
        <f>SUM(AJ257-AA257)</f>
        <v>93333</v>
      </c>
      <c r="AL257" s="3">
        <f>IF(V257&lt;=15000,V257*12%,1800)</f>
        <v>1800</v>
      </c>
      <c r="AM257" s="3">
        <v>0</v>
      </c>
      <c r="AN257" s="3">
        <f t="shared" si="32"/>
        <v>1800</v>
      </c>
      <c r="AO257" s="12">
        <v>200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3">
        <f t="shared" si="34"/>
        <v>200</v>
      </c>
      <c r="AV257" s="3">
        <f>SUM(AJ257 - AN257 - AU257)</f>
        <v>91333</v>
      </c>
      <c r="AW257" s="11">
        <v>0</v>
      </c>
      <c r="AX257" s="11">
        <v>0</v>
      </c>
      <c r="AY257" s="11">
        <v>0</v>
      </c>
      <c r="AZ257" s="11">
        <v>0</v>
      </c>
      <c r="BA257" s="3">
        <f t="shared" si="33"/>
        <v>91333</v>
      </c>
    </row>
    <row r="258" spans="1:53" x14ac:dyDescent="0.25">
      <c r="A258" s="1" t="s">
        <v>256</v>
      </c>
      <c r="B258" s="9" t="s">
        <v>1588</v>
      </c>
      <c r="C258" s="9" t="s">
        <v>1589</v>
      </c>
      <c r="D258" s="9" t="s">
        <v>1590</v>
      </c>
      <c r="E258" s="9" t="s">
        <v>1012</v>
      </c>
      <c r="F258" s="10">
        <v>43447</v>
      </c>
      <c r="G258" s="9" t="s">
        <v>1019</v>
      </c>
      <c r="I258" s="9" t="s">
        <v>1035</v>
      </c>
      <c r="J258" s="9" t="s">
        <v>1021</v>
      </c>
      <c r="K258" s="8" t="s">
        <v>1006</v>
      </c>
      <c r="L258" s="8" t="s">
        <v>1007</v>
      </c>
      <c r="M258" s="8" t="s">
        <v>2933</v>
      </c>
      <c r="N258" s="8" t="s">
        <v>2937</v>
      </c>
      <c r="O258" s="1" t="s">
        <v>2934</v>
      </c>
      <c r="P258">
        <v>30</v>
      </c>
      <c r="Q258">
        <v>30</v>
      </c>
      <c r="R258">
        <v>0</v>
      </c>
      <c r="S258">
        <f t="shared" si="35"/>
        <v>30</v>
      </c>
      <c r="T258" s="1" t="s">
        <v>2935</v>
      </c>
      <c r="U258" s="1" t="s">
        <v>2932</v>
      </c>
      <c r="V258" s="3">
        <f t="shared" si="36"/>
        <v>40000</v>
      </c>
      <c r="W258" s="3">
        <f t="shared" si="37"/>
        <v>16000</v>
      </c>
      <c r="X258" s="3">
        <f t="shared" si="29"/>
        <v>1250</v>
      </c>
      <c r="Y258" s="3">
        <f t="shared" si="30"/>
        <v>1600</v>
      </c>
      <c r="Z258" s="3">
        <f t="shared" si="31"/>
        <v>1800</v>
      </c>
      <c r="AA258" s="3">
        <v>0</v>
      </c>
      <c r="AB258" s="3">
        <f>ROUND(U258 - (V258+W258+X258+Y258) - (U258/Q258 * 2),0)</f>
        <v>34483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f>SUM(V258+W258+X258+Y258+AB258)</f>
        <v>93333</v>
      </c>
      <c r="AK258" s="3">
        <f>SUM(AJ258-AA258)</f>
        <v>93333</v>
      </c>
      <c r="AL258" s="3">
        <f>IF(V258&lt;=15000,V258*12%,1800)</f>
        <v>1800</v>
      </c>
      <c r="AM258" s="3">
        <v>0</v>
      </c>
      <c r="AN258" s="3">
        <f t="shared" si="32"/>
        <v>1800</v>
      </c>
      <c r="AO258" s="12">
        <v>200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3">
        <f t="shared" si="34"/>
        <v>200</v>
      </c>
      <c r="AV258" s="3">
        <f>SUM(AJ258 - AN258 - AU258)</f>
        <v>91333</v>
      </c>
      <c r="AW258" s="11">
        <v>0</v>
      </c>
      <c r="AX258" s="11">
        <v>0</v>
      </c>
      <c r="AY258" s="11">
        <v>0</v>
      </c>
      <c r="AZ258" s="11">
        <v>0</v>
      </c>
      <c r="BA258" s="3">
        <f t="shared" si="33"/>
        <v>91333</v>
      </c>
    </row>
    <row r="259" spans="1:53" x14ac:dyDescent="0.25">
      <c r="A259" s="1" t="s">
        <v>257</v>
      </c>
      <c r="B259" s="9" t="s">
        <v>1385</v>
      </c>
      <c r="C259" s="9" t="s">
        <v>1075</v>
      </c>
      <c r="D259" s="9" t="s">
        <v>1587</v>
      </c>
      <c r="E259" s="9" t="s">
        <v>1012</v>
      </c>
      <c r="F259" s="10">
        <v>44168</v>
      </c>
      <c r="G259" s="9" t="s">
        <v>1019</v>
      </c>
      <c r="I259" s="9" t="s">
        <v>1014</v>
      </c>
      <c r="J259" s="9" t="s">
        <v>1015</v>
      </c>
      <c r="K259" s="8" t="s">
        <v>1006</v>
      </c>
      <c r="L259" s="8" t="s">
        <v>1007</v>
      </c>
      <c r="M259" s="8" t="s">
        <v>2933</v>
      </c>
      <c r="N259" s="8" t="s">
        <v>2937</v>
      </c>
      <c r="O259" s="1" t="s">
        <v>2934</v>
      </c>
      <c r="P259">
        <v>30</v>
      </c>
      <c r="Q259">
        <v>30</v>
      </c>
      <c r="R259">
        <v>0</v>
      </c>
      <c r="S259">
        <f t="shared" si="35"/>
        <v>30</v>
      </c>
      <c r="T259" s="1" t="s">
        <v>2935</v>
      </c>
      <c r="U259" s="1" t="s">
        <v>2932</v>
      </c>
      <c r="V259" s="3">
        <f t="shared" si="36"/>
        <v>40000</v>
      </c>
      <c r="W259" s="3">
        <f t="shared" si="37"/>
        <v>16000</v>
      </c>
      <c r="X259" s="3">
        <f t="shared" ref="X259:X322" si="38">ROUND(1250 - ((1250/Q259)*R259),0)</f>
        <v>1250</v>
      </c>
      <c r="Y259" s="3">
        <f t="shared" ref="Y259:Y322" si="39">ROUND(1600 - (1600/Q259) *R259,0)</f>
        <v>1600</v>
      </c>
      <c r="Z259" s="3">
        <f t="shared" ref="Z259:Z322" si="40">IF(V259&lt;=15000,V259*12%,1800)</f>
        <v>1800</v>
      </c>
      <c r="AA259" s="3">
        <v>0</v>
      </c>
      <c r="AB259" s="3">
        <f>ROUND(U259 - (V259+W259+X259+Y259) - (U259/Q259 * 2),0)</f>
        <v>34483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f>SUM(V259+W259+X259+Y259+AB259)</f>
        <v>93333</v>
      </c>
      <c r="AK259" s="3">
        <f>SUM(AJ259-AA259)</f>
        <v>93333</v>
      </c>
      <c r="AL259" s="3">
        <f>IF(V259&lt;=15000,V259*12%,1800)</f>
        <v>1800</v>
      </c>
      <c r="AM259" s="3">
        <v>0</v>
      </c>
      <c r="AN259" s="3">
        <f t="shared" ref="AN259:AN322" si="41">SUM(AL259+AM259)</f>
        <v>1800</v>
      </c>
      <c r="AO259" s="12">
        <v>200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3">
        <f t="shared" si="34"/>
        <v>200</v>
      </c>
      <c r="AV259" s="3">
        <f>SUM(AJ259 - AN259 - AU259)</f>
        <v>91333</v>
      </c>
      <c r="AW259" s="11">
        <v>0</v>
      </c>
      <c r="AX259" s="11">
        <v>0</v>
      </c>
      <c r="AY259" s="11">
        <v>0</v>
      </c>
      <c r="AZ259" s="11">
        <v>0</v>
      </c>
      <c r="BA259" s="3">
        <f t="shared" ref="BA259:BA322" si="42">AV259+AW259+AX259+AZ259</f>
        <v>91333</v>
      </c>
    </row>
    <row r="260" spans="1:53" x14ac:dyDescent="0.25">
      <c r="A260" s="1" t="s">
        <v>258</v>
      </c>
      <c r="B260" s="9" t="s">
        <v>1584</v>
      </c>
      <c r="C260" s="9" t="s">
        <v>1585</v>
      </c>
      <c r="D260" s="9" t="s">
        <v>1586</v>
      </c>
      <c r="E260" s="9" t="s">
        <v>1012</v>
      </c>
      <c r="F260" s="10">
        <v>43453</v>
      </c>
      <c r="G260" s="9" t="s">
        <v>1013</v>
      </c>
      <c r="I260" s="9" t="s">
        <v>1042</v>
      </c>
      <c r="J260" s="9" t="s">
        <v>1031</v>
      </c>
      <c r="K260" s="8" t="s">
        <v>1006</v>
      </c>
      <c r="L260" s="8" t="s">
        <v>1007</v>
      </c>
      <c r="M260" s="8" t="s">
        <v>2933</v>
      </c>
      <c r="N260" s="8" t="s">
        <v>2937</v>
      </c>
      <c r="O260" s="1" t="s">
        <v>2934</v>
      </c>
      <c r="P260">
        <v>30</v>
      </c>
      <c r="Q260">
        <v>30</v>
      </c>
      <c r="R260">
        <v>0</v>
      </c>
      <c r="S260">
        <f t="shared" si="35"/>
        <v>30</v>
      </c>
      <c r="T260" s="1" t="s">
        <v>2935</v>
      </c>
      <c r="U260" s="1" t="s">
        <v>2932</v>
      </c>
      <c r="V260" s="3">
        <f t="shared" si="36"/>
        <v>40000</v>
      </c>
      <c r="W260" s="3">
        <f t="shared" si="37"/>
        <v>16000</v>
      </c>
      <c r="X260" s="3">
        <f t="shared" si="38"/>
        <v>1250</v>
      </c>
      <c r="Y260" s="3">
        <f t="shared" si="39"/>
        <v>1600</v>
      </c>
      <c r="Z260" s="3">
        <f t="shared" si="40"/>
        <v>1800</v>
      </c>
      <c r="AA260" s="3">
        <v>0</v>
      </c>
      <c r="AB260" s="3">
        <f>ROUND(U260 - (V260+W260+X260+Y260) - (U260/Q260 * 2),0)</f>
        <v>34483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f>SUM(V260+W260+X260+Y260+AB260)</f>
        <v>93333</v>
      </c>
      <c r="AK260" s="3">
        <f>SUM(AJ260-AA260)</f>
        <v>93333</v>
      </c>
      <c r="AL260" s="3">
        <f>IF(V260&lt;=15000,V260*12%,1800)</f>
        <v>1800</v>
      </c>
      <c r="AM260" s="3">
        <v>0</v>
      </c>
      <c r="AN260" s="3">
        <f t="shared" si="41"/>
        <v>1800</v>
      </c>
      <c r="AO260" s="12">
        <v>200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3">
        <f t="shared" ref="AU260:AU323" si="43">SUM(AO260:AT260)</f>
        <v>200</v>
      </c>
      <c r="AV260" s="3">
        <f>SUM(AJ260 - AN260 - AU260)</f>
        <v>91333</v>
      </c>
      <c r="AW260" s="11">
        <v>0</v>
      </c>
      <c r="AX260" s="11">
        <v>0</v>
      </c>
      <c r="AY260" s="11">
        <v>0</v>
      </c>
      <c r="AZ260" s="11">
        <v>0</v>
      </c>
      <c r="BA260" s="3">
        <f t="shared" si="42"/>
        <v>91333</v>
      </c>
    </row>
    <row r="261" spans="1:53" x14ac:dyDescent="0.25">
      <c r="A261" s="1" t="s">
        <v>259</v>
      </c>
      <c r="B261" s="9" t="s">
        <v>1582</v>
      </c>
      <c r="C261" s="9" t="s">
        <v>1023</v>
      </c>
      <c r="D261" s="9" t="s">
        <v>1583</v>
      </c>
      <c r="E261" s="9" t="s">
        <v>1012</v>
      </c>
      <c r="F261" s="10">
        <v>43671</v>
      </c>
      <c r="G261" s="9" t="s">
        <v>1019</v>
      </c>
      <c r="I261" s="9" t="s">
        <v>1014</v>
      </c>
      <c r="J261" s="9" t="s">
        <v>1021</v>
      </c>
      <c r="K261" s="8" t="s">
        <v>1006</v>
      </c>
      <c r="L261" s="8" t="s">
        <v>1007</v>
      </c>
      <c r="M261" s="8" t="s">
        <v>2933</v>
      </c>
      <c r="N261" s="8" t="s">
        <v>2937</v>
      </c>
      <c r="O261" s="1" t="s">
        <v>2934</v>
      </c>
      <c r="P261">
        <v>30</v>
      </c>
      <c r="Q261">
        <v>30</v>
      </c>
      <c r="R261">
        <v>0</v>
      </c>
      <c r="S261">
        <f t="shared" ref="S261:S324" si="44">SUM(Q261-R261)</f>
        <v>30</v>
      </c>
      <c r="T261" s="1" t="s">
        <v>2935</v>
      </c>
      <c r="U261" s="1" t="s">
        <v>2932</v>
      </c>
      <c r="V261" s="3">
        <f t="shared" ref="V261:V324" si="45">ROUND((U261*40%) / Q261  * S261,0)</f>
        <v>40000</v>
      </c>
      <c r="W261" s="3">
        <f t="shared" ref="W261:W324" si="46">ROUND((U261*16%) / Q261  * S261,0)</f>
        <v>16000</v>
      </c>
      <c r="X261" s="3">
        <f t="shared" si="38"/>
        <v>1250</v>
      </c>
      <c r="Y261" s="3">
        <f t="shared" si="39"/>
        <v>1600</v>
      </c>
      <c r="Z261" s="3">
        <f t="shared" si="40"/>
        <v>1800</v>
      </c>
      <c r="AA261" s="3">
        <v>0</v>
      </c>
      <c r="AB261" s="3">
        <f>ROUND(U261 - (V261+W261+X261+Y261) - (U261/Q261 * 2),0)</f>
        <v>34483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f>SUM(V261+W261+X261+Y261+AB261)</f>
        <v>93333</v>
      </c>
      <c r="AK261" s="3">
        <f>SUM(AJ261-AA261)</f>
        <v>93333</v>
      </c>
      <c r="AL261" s="3">
        <f>IF(V261&lt;=15000,V261*12%,1800)</f>
        <v>1800</v>
      </c>
      <c r="AM261" s="3">
        <v>0</v>
      </c>
      <c r="AN261" s="3">
        <f t="shared" si="41"/>
        <v>1800</v>
      </c>
      <c r="AO261" s="12">
        <v>200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3">
        <f t="shared" si="43"/>
        <v>200</v>
      </c>
      <c r="AV261" s="3">
        <f>SUM(AJ261 - AN261 - AU261)</f>
        <v>91333</v>
      </c>
      <c r="AW261" s="11">
        <v>0</v>
      </c>
      <c r="AX261" s="11">
        <v>0</v>
      </c>
      <c r="AY261" s="11">
        <v>0</v>
      </c>
      <c r="AZ261" s="11">
        <v>0</v>
      </c>
      <c r="BA261" s="3">
        <f t="shared" si="42"/>
        <v>91333</v>
      </c>
    </row>
    <row r="262" spans="1:53" x14ac:dyDescent="0.25">
      <c r="A262" s="1" t="s">
        <v>260</v>
      </c>
      <c r="B262" s="9" t="s">
        <v>1581</v>
      </c>
      <c r="C262" s="9" t="s">
        <v>1017</v>
      </c>
      <c r="D262" s="9">
        <v>0</v>
      </c>
      <c r="E262" s="9" t="s">
        <v>1012</v>
      </c>
      <c r="F262" s="10">
        <v>44343</v>
      </c>
      <c r="G262" s="9" t="s">
        <v>1013</v>
      </c>
      <c r="I262" s="9" t="s">
        <v>1014</v>
      </c>
      <c r="J262" s="9" t="s">
        <v>1021</v>
      </c>
      <c r="K262" s="8" t="s">
        <v>1006</v>
      </c>
      <c r="L262" s="8" t="s">
        <v>1007</v>
      </c>
      <c r="M262" s="8" t="s">
        <v>2933</v>
      </c>
      <c r="N262" s="8" t="s">
        <v>2937</v>
      </c>
      <c r="O262" s="1" t="s">
        <v>2934</v>
      </c>
      <c r="P262">
        <v>30</v>
      </c>
      <c r="Q262">
        <v>30</v>
      </c>
      <c r="R262">
        <v>0</v>
      </c>
      <c r="S262">
        <f t="shared" si="44"/>
        <v>30</v>
      </c>
      <c r="T262" s="1" t="s">
        <v>2935</v>
      </c>
      <c r="U262" s="1" t="s">
        <v>2932</v>
      </c>
      <c r="V262" s="3">
        <f t="shared" si="45"/>
        <v>40000</v>
      </c>
      <c r="W262" s="3">
        <f t="shared" si="46"/>
        <v>16000</v>
      </c>
      <c r="X262" s="3">
        <f t="shared" si="38"/>
        <v>1250</v>
      </c>
      <c r="Y262" s="3">
        <f t="shared" si="39"/>
        <v>1600</v>
      </c>
      <c r="Z262" s="3">
        <f t="shared" si="40"/>
        <v>1800</v>
      </c>
      <c r="AA262" s="3">
        <v>0</v>
      </c>
      <c r="AB262" s="3">
        <f>ROUND(U262 - (V262+W262+X262+Y262) - (U262/Q262 * 2),0)</f>
        <v>34483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f>SUM(V262+W262+X262+Y262+AB262)</f>
        <v>93333</v>
      </c>
      <c r="AK262" s="3">
        <f>SUM(AJ262-AA262)</f>
        <v>93333</v>
      </c>
      <c r="AL262" s="3">
        <f>IF(V262&lt;=15000,V262*12%,1800)</f>
        <v>1800</v>
      </c>
      <c r="AM262" s="3">
        <v>0</v>
      </c>
      <c r="AN262" s="3">
        <f t="shared" si="41"/>
        <v>1800</v>
      </c>
      <c r="AO262" s="12">
        <v>200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3">
        <f t="shared" si="43"/>
        <v>200</v>
      </c>
      <c r="AV262" s="3">
        <f>SUM(AJ262 - AN262 - AU262)</f>
        <v>91333</v>
      </c>
      <c r="AW262" s="11">
        <v>0</v>
      </c>
      <c r="AX262" s="11">
        <v>0</v>
      </c>
      <c r="AY262" s="11">
        <v>0</v>
      </c>
      <c r="AZ262" s="11">
        <v>0</v>
      </c>
      <c r="BA262" s="3">
        <f t="shared" si="42"/>
        <v>91333</v>
      </c>
    </row>
    <row r="263" spans="1:53" x14ac:dyDescent="0.25">
      <c r="A263" s="1" t="s">
        <v>261</v>
      </c>
      <c r="B263" s="9" t="s">
        <v>1579</v>
      </c>
      <c r="C263" s="9" t="s">
        <v>1216</v>
      </c>
      <c r="D263" s="9" t="s">
        <v>1580</v>
      </c>
      <c r="E263" s="9" t="s">
        <v>1012</v>
      </c>
      <c r="F263" s="10">
        <v>44348</v>
      </c>
      <c r="G263" s="9" t="s">
        <v>1019</v>
      </c>
      <c r="I263" s="9" t="s">
        <v>1014</v>
      </c>
      <c r="J263" s="9" t="s">
        <v>1021</v>
      </c>
      <c r="K263" s="8" t="s">
        <v>1006</v>
      </c>
      <c r="L263" s="8" t="s">
        <v>1007</v>
      </c>
      <c r="M263" s="8" t="s">
        <v>2933</v>
      </c>
      <c r="N263" s="8" t="s">
        <v>2937</v>
      </c>
      <c r="O263" s="1" t="s">
        <v>2934</v>
      </c>
      <c r="P263">
        <v>30</v>
      </c>
      <c r="Q263">
        <v>30</v>
      </c>
      <c r="R263">
        <v>0</v>
      </c>
      <c r="S263">
        <f t="shared" si="44"/>
        <v>30</v>
      </c>
      <c r="T263" s="1" t="s">
        <v>2935</v>
      </c>
      <c r="U263" s="1" t="s">
        <v>2932</v>
      </c>
      <c r="V263" s="3">
        <f t="shared" si="45"/>
        <v>40000</v>
      </c>
      <c r="W263" s="3">
        <f t="shared" si="46"/>
        <v>16000</v>
      </c>
      <c r="X263" s="3">
        <f t="shared" si="38"/>
        <v>1250</v>
      </c>
      <c r="Y263" s="3">
        <f t="shared" si="39"/>
        <v>1600</v>
      </c>
      <c r="Z263" s="3">
        <f t="shared" si="40"/>
        <v>1800</v>
      </c>
      <c r="AA263" s="3">
        <v>0</v>
      </c>
      <c r="AB263" s="3">
        <f>ROUND(U263 - (V263+W263+X263+Y263) - (U263/Q263 * 2),0)</f>
        <v>34483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f>SUM(V263+W263+X263+Y263+AB263)</f>
        <v>93333</v>
      </c>
      <c r="AK263" s="3">
        <f>SUM(AJ263-AA263)</f>
        <v>93333</v>
      </c>
      <c r="AL263" s="3">
        <f>IF(V263&lt;=15000,V263*12%,1800)</f>
        <v>1800</v>
      </c>
      <c r="AM263" s="3">
        <v>0</v>
      </c>
      <c r="AN263" s="3">
        <f t="shared" si="41"/>
        <v>1800</v>
      </c>
      <c r="AO263" s="12">
        <v>200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3">
        <f t="shared" si="43"/>
        <v>200</v>
      </c>
      <c r="AV263" s="3">
        <f>SUM(AJ263 - AN263 - AU263)</f>
        <v>91333</v>
      </c>
      <c r="AW263" s="11">
        <v>0</v>
      </c>
      <c r="AX263" s="11">
        <v>0</v>
      </c>
      <c r="AY263" s="11">
        <v>0</v>
      </c>
      <c r="AZ263" s="11">
        <v>0</v>
      </c>
      <c r="BA263" s="3">
        <f t="shared" si="42"/>
        <v>91333</v>
      </c>
    </row>
    <row r="264" spans="1:53" x14ac:dyDescent="0.25">
      <c r="A264" s="1" t="s">
        <v>262</v>
      </c>
      <c r="B264" s="9" t="s">
        <v>1577</v>
      </c>
      <c r="C264" s="9" t="s">
        <v>1023</v>
      </c>
      <c r="D264" s="9" t="s">
        <v>1578</v>
      </c>
      <c r="E264" s="9" t="s">
        <v>1012</v>
      </c>
      <c r="F264" s="10">
        <v>44361</v>
      </c>
      <c r="G264" s="9" t="s">
        <v>1019</v>
      </c>
      <c r="I264" s="9" t="s">
        <v>1014</v>
      </c>
      <c r="J264" s="9" t="s">
        <v>1021</v>
      </c>
      <c r="K264" s="8" t="s">
        <v>1006</v>
      </c>
      <c r="L264" s="8" t="s">
        <v>1007</v>
      </c>
      <c r="M264" s="8" t="s">
        <v>2933</v>
      </c>
      <c r="N264" s="8" t="s">
        <v>2937</v>
      </c>
      <c r="O264" s="1" t="s">
        <v>2934</v>
      </c>
      <c r="P264">
        <v>30</v>
      </c>
      <c r="Q264">
        <v>30</v>
      </c>
      <c r="R264">
        <v>0</v>
      </c>
      <c r="S264">
        <f t="shared" si="44"/>
        <v>30</v>
      </c>
      <c r="T264" s="1" t="s">
        <v>2935</v>
      </c>
      <c r="U264" s="1" t="s">
        <v>2932</v>
      </c>
      <c r="V264" s="3">
        <f t="shared" si="45"/>
        <v>40000</v>
      </c>
      <c r="W264" s="3">
        <f t="shared" si="46"/>
        <v>16000</v>
      </c>
      <c r="X264" s="3">
        <f t="shared" si="38"/>
        <v>1250</v>
      </c>
      <c r="Y264" s="3">
        <f t="shared" si="39"/>
        <v>1600</v>
      </c>
      <c r="Z264" s="3">
        <f t="shared" si="40"/>
        <v>1800</v>
      </c>
      <c r="AA264" s="3">
        <v>0</v>
      </c>
      <c r="AB264" s="3">
        <f>ROUND(U264 - (V264+W264+X264+Y264) - (U264/Q264 * 2),0)</f>
        <v>34483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f>SUM(V264+W264+X264+Y264+AB264)</f>
        <v>93333</v>
      </c>
      <c r="AK264" s="3">
        <f>SUM(AJ264-AA264)</f>
        <v>93333</v>
      </c>
      <c r="AL264" s="3">
        <f>IF(V264&lt;=15000,V264*12%,1800)</f>
        <v>1800</v>
      </c>
      <c r="AM264" s="3">
        <v>0</v>
      </c>
      <c r="AN264" s="3">
        <f t="shared" si="41"/>
        <v>1800</v>
      </c>
      <c r="AO264" s="12">
        <v>200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3">
        <f t="shared" si="43"/>
        <v>200</v>
      </c>
      <c r="AV264" s="3">
        <f>SUM(AJ264 - AN264 - AU264)</f>
        <v>91333</v>
      </c>
      <c r="AW264" s="11">
        <v>0</v>
      </c>
      <c r="AX264" s="11">
        <v>0</v>
      </c>
      <c r="AY264" s="11">
        <v>0</v>
      </c>
      <c r="AZ264" s="11">
        <v>0</v>
      </c>
      <c r="BA264" s="3">
        <f t="shared" si="42"/>
        <v>91333</v>
      </c>
    </row>
    <row r="265" spans="1:53" x14ac:dyDescent="0.25">
      <c r="A265" s="1" t="s">
        <v>263</v>
      </c>
      <c r="B265" s="9" t="s">
        <v>1575</v>
      </c>
      <c r="C265" s="9" t="s">
        <v>1038</v>
      </c>
      <c r="D265" s="9" t="s">
        <v>1576</v>
      </c>
      <c r="E265" s="9" t="s">
        <v>1012</v>
      </c>
      <c r="F265" s="10">
        <v>44370</v>
      </c>
      <c r="G265" s="9" t="s">
        <v>1019</v>
      </c>
      <c r="I265" s="9" t="s">
        <v>1035</v>
      </c>
      <c r="J265" s="9" t="s">
        <v>1021</v>
      </c>
      <c r="K265" s="8" t="s">
        <v>1006</v>
      </c>
      <c r="L265" s="8" t="s">
        <v>1007</v>
      </c>
      <c r="M265" s="8" t="s">
        <v>2933</v>
      </c>
      <c r="N265" s="8" t="s">
        <v>2937</v>
      </c>
      <c r="O265" s="1" t="s">
        <v>2934</v>
      </c>
      <c r="P265">
        <v>30</v>
      </c>
      <c r="Q265">
        <v>30</v>
      </c>
      <c r="R265">
        <v>0</v>
      </c>
      <c r="S265">
        <f t="shared" si="44"/>
        <v>30</v>
      </c>
      <c r="T265" s="1" t="s">
        <v>2935</v>
      </c>
      <c r="U265" s="1" t="s">
        <v>2932</v>
      </c>
      <c r="V265" s="3">
        <f t="shared" si="45"/>
        <v>40000</v>
      </c>
      <c r="W265" s="3">
        <f t="shared" si="46"/>
        <v>16000</v>
      </c>
      <c r="X265" s="3">
        <f t="shared" si="38"/>
        <v>1250</v>
      </c>
      <c r="Y265" s="3">
        <f t="shared" si="39"/>
        <v>1600</v>
      </c>
      <c r="Z265" s="3">
        <f t="shared" si="40"/>
        <v>1800</v>
      </c>
      <c r="AA265" s="3">
        <v>0</v>
      </c>
      <c r="AB265" s="3">
        <f>ROUND(U265 - (V265+W265+X265+Y265) - (U265/Q265 * 2),0)</f>
        <v>34483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f>SUM(V265+W265+X265+Y265+AB265)</f>
        <v>93333</v>
      </c>
      <c r="AK265" s="3">
        <f>SUM(AJ265-AA265)</f>
        <v>93333</v>
      </c>
      <c r="AL265" s="3">
        <f>IF(V265&lt;=15000,V265*12%,1800)</f>
        <v>1800</v>
      </c>
      <c r="AM265" s="3">
        <v>0</v>
      </c>
      <c r="AN265" s="3">
        <f t="shared" si="41"/>
        <v>1800</v>
      </c>
      <c r="AO265" s="12">
        <v>200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3">
        <f t="shared" si="43"/>
        <v>200</v>
      </c>
      <c r="AV265" s="3">
        <f>SUM(AJ265 - AN265 - AU265)</f>
        <v>91333</v>
      </c>
      <c r="AW265" s="11">
        <v>0</v>
      </c>
      <c r="AX265" s="11">
        <v>0</v>
      </c>
      <c r="AY265" s="11">
        <v>0</v>
      </c>
      <c r="AZ265" s="11">
        <v>0</v>
      </c>
      <c r="BA265" s="3">
        <f t="shared" si="42"/>
        <v>91333</v>
      </c>
    </row>
    <row r="266" spans="1:53" x14ac:dyDescent="0.25">
      <c r="A266" s="1" t="s">
        <v>264</v>
      </c>
      <c r="B266" s="9" t="s">
        <v>1572</v>
      </c>
      <c r="C266" s="9" t="s">
        <v>1573</v>
      </c>
      <c r="D266" s="9" t="s">
        <v>1574</v>
      </c>
      <c r="E266" s="9" t="s">
        <v>1008</v>
      </c>
      <c r="F266" s="10">
        <v>44378</v>
      </c>
      <c r="G266" s="9" t="s">
        <v>1013</v>
      </c>
      <c r="I266" s="9" t="s">
        <v>1020</v>
      </c>
      <c r="J266" s="9" t="s">
        <v>1015</v>
      </c>
      <c r="K266" s="8" t="s">
        <v>1006</v>
      </c>
      <c r="L266" s="8" t="s">
        <v>1007</v>
      </c>
      <c r="M266" s="8" t="s">
        <v>2933</v>
      </c>
      <c r="N266" s="8" t="s">
        <v>2937</v>
      </c>
      <c r="O266" s="1" t="s">
        <v>2934</v>
      </c>
      <c r="P266">
        <v>30</v>
      </c>
      <c r="Q266">
        <v>30</v>
      </c>
      <c r="R266">
        <v>0</v>
      </c>
      <c r="S266">
        <f t="shared" si="44"/>
        <v>30</v>
      </c>
      <c r="T266" s="1" t="s">
        <v>2935</v>
      </c>
      <c r="U266" s="1" t="s">
        <v>2932</v>
      </c>
      <c r="V266" s="3">
        <f t="shared" si="45"/>
        <v>40000</v>
      </c>
      <c r="W266" s="3">
        <f t="shared" si="46"/>
        <v>16000</v>
      </c>
      <c r="X266" s="3">
        <f t="shared" si="38"/>
        <v>1250</v>
      </c>
      <c r="Y266" s="3">
        <f t="shared" si="39"/>
        <v>1600</v>
      </c>
      <c r="Z266" s="3">
        <f t="shared" si="40"/>
        <v>1800</v>
      </c>
      <c r="AA266" s="3">
        <v>0</v>
      </c>
      <c r="AB266" s="3">
        <f>ROUND(U266 - (V266+W266+X266+Y266) - (U266/Q266 * 2),0)</f>
        <v>34483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f>SUM(V266+W266+X266+Y266+AB266)</f>
        <v>93333</v>
      </c>
      <c r="AK266" s="3">
        <f>SUM(AJ266-AA266)</f>
        <v>93333</v>
      </c>
      <c r="AL266" s="3">
        <f>IF(V266&lt;=15000,V266*12%,1800)</f>
        <v>1800</v>
      </c>
      <c r="AM266" s="3">
        <v>0</v>
      </c>
      <c r="AN266" s="3">
        <f t="shared" si="41"/>
        <v>1800</v>
      </c>
      <c r="AO266" s="12">
        <v>200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3">
        <f t="shared" si="43"/>
        <v>200</v>
      </c>
      <c r="AV266" s="3">
        <f>SUM(AJ266 - AN266 - AU266)</f>
        <v>91333</v>
      </c>
      <c r="AW266" s="11">
        <v>0</v>
      </c>
      <c r="AX266" s="11">
        <v>0</v>
      </c>
      <c r="AY266" s="11">
        <v>0</v>
      </c>
      <c r="AZ266" s="11">
        <v>0</v>
      </c>
      <c r="BA266" s="3">
        <f t="shared" si="42"/>
        <v>91333</v>
      </c>
    </row>
    <row r="267" spans="1:53" x14ac:dyDescent="0.25">
      <c r="A267" s="1" t="s">
        <v>265</v>
      </c>
      <c r="B267" s="9" t="s">
        <v>1570</v>
      </c>
      <c r="C267" s="9" t="s">
        <v>1173</v>
      </c>
      <c r="D267" s="9" t="s">
        <v>1571</v>
      </c>
      <c r="E267" s="9" t="s">
        <v>1008</v>
      </c>
      <c r="F267" s="10">
        <v>45331</v>
      </c>
      <c r="G267" s="9" t="s">
        <v>1019</v>
      </c>
      <c r="I267" s="9" t="s">
        <v>1020</v>
      </c>
      <c r="J267" s="9" t="s">
        <v>1171</v>
      </c>
      <c r="K267" s="8" t="s">
        <v>1006</v>
      </c>
      <c r="L267" s="8" t="s">
        <v>1007</v>
      </c>
      <c r="M267" s="8" t="s">
        <v>2933</v>
      </c>
      <c r="N267" s="8" t="s">
        <v>2937</v>
      </c>
      <c r="O267" s="1" t="s">
        <v>2934</v>
      </c>
      <c r="P267">
        <v>30</v>
      </c>
      <c r="Q267">
        <v>30</v>
      </c>
      <c r="R267">
        <v>0</v>
      </c>
      <c r="S267">
        <f t="shared" si="44"/>
        <v>30</v>
      </c>
      <c r="T267" s="1" t="s">
        <v>2935</v>
      </c>
      <c r="U267" s="1" t="s">
        <v>2932</v>
      </c>
      <c r="V267" s="3">
        <f t="shared" si="45"/>
        <v>40000</v>
      </c>
      <c r="W267" s="3">
        <f t="shared" si="46"/>
        <v>16000</v>
      </c>
      <c r="X267" s="3">
        <f t="shared" si="38"/>
        <v>1250</v>
      </c>
      <c r="Y267" s="3">
        <f t="shared" si="39"/>
        <v>1600</v>
      </c>
      <c r="Z267" s="3">
        <f t="shared" si="40"/>
        <v>1800</v>
      </c>
      <c r="AA267" s="3">
        <v>0</v>
      </c>
      <c r="AB267" s="3">
        <f>ROUND(U267 - (V267+W267+X267+Y267) - (U267/Q267 * 2),0)</f>
        <v>34483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f>SUM(V267+W267+X267+Y267+AB267)</f>
        <v>93333</v>
      </c>
      <c r="AK267" s="3">
        <f>SUM(AJ267-AA267)</f>
        <v>93333</v>
      </c>
      <c r="AL267" s="3">
        <f>IF(V267&lt;=15000,V267*12%,1800)</f>
        <v>1800</v>
      </c>
      <c r="AM267" s="3">
        <v>0</v>
      </c>
      <c r="AN267" s="3">
        <f t="shared" si="41"/>
        <v>1800</v>
      </c>
      <c r="AO267" s="12">
        <v>200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3">
        <f t="shared" si="43"/>
        <v>200</v>
      </c>
      <c r="AV267" s="3">
        <f>SUM(AJ267 - AN267 - AU267)</f>
        <v>91333</v>
      </c>
      <c r="AW267" s="11">
        <v>0</v>
      </c>
      <c r="AX267" s="11">
        <v>0</v>
      </c>
      <c r="AY267" s="11">
        <v>0</v>
      </c>
      <c r="AZ267" s="11">
        <v>0</v>
      </c>
      <c r="BA267" s="3">
        <f t="shared" si="42"/>
        <v>91333</v>
      </c>
    </row>
    <row r="268" spans="1:53" x14ac:dyDescent="0.25">
      <c r="A268" s="1" t="s">
        <v>266</v>
      </c>
      <c r="B268" s="9" t="s">
        <v>1568</v>
      </c>
      <c r="C268" s="9" t="s">
        <v>1128</v>
      </c>
      <c r="D268" s="9" t="s">
        <v>1569</v>
      </c>
      <c r="E268" s="9" t="s">
        <v>1008</v>
      </c>
      <c r="F268" s="10">
        <v>45334</v>
      </c>
      <c r="G268" s="9" t="s">
        <v>1019</v>
      </c>
      <c r="I268" s="9" t="s">
        <v>1042</v>
      </c>
      <c r="J268" s="9" t="s">
        <v>1048</v>
      </c>
      <c r="K268" s="8" t="s">
        <v>1006</v>
      </c>
      <c r="L268" s="8" t="s">
        <v>1007</v>
      </c>
      <c r="M268" s="8" t="s">
        <v>2933</v>
      </c>
      <c r="N268" s="8" t="s">
        <v>2937</v>
      </c>
      <c r="O268" s="1" t="s">
        <v>2934</v>
      </c>
      <c r="P268">
        <v>30</v>
      </c>
      <c r="Q268">
        <v>30</v>
      </c>
      <c r="R268">
        <v>0</v>
      </c>
      <c r="S268">
        <f t="shared" si="44"/>
        <v>30</v>
      </c>
      <c r="T268" s="1" t="s">
        <v>2935</v>
      </c>
      <c r="U268" s="1" t="s">
        <v>2932</v>
      </c>
      <c r="V268" s="3">
        <f t="shared" si="45"/>
        <v>40000</v>
      </c>
      <c r="W268" s="3">
        <f t="shared" si="46"/>
        <v>16000</v>
      </c>
      <c r="X268" s="3">
        <f t="shared" si="38"/>
        <v>1250</v>
      </c>
      <c r="Y268" s="3">
        <f t="shared" si="39"/>
        <v>1600</v>
      </c>
      <c r="Z268" s="3">
        <f t="shared" si="40"/>
        <v>1800</v>
      </c>
      <c r="AA268" s="3">
        <v>0</v>
      </c>
      <c r="AB268" s="3">
        <f>ROUND(U268 - (V268+W268+X268+Y268) - (U268/Q268 * 2),0)</f>
        <v>34483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f>SUM(V268+W268+X268+Y268+AB268)</f>
        <v>93333</v>
      </c>
      <c r="AK268" s="3">
        <f>SUM(AJ268-AA268)</f>
        <v>93333</v>
      </c>
      <c r="AL268" s="3">
        <f>IF(V268&lt;=15000,V268*12%,1800)</f>
        <v>1800</v>
      </c>
      <c r="AM268" s="3">
        <v>0</v>
      </c>
      <c r="AN268" s="3">
        <f t="shared" si="41"/>
        <v>1800</v>
      </c>
      <c r="AO268" s="12">
        <v>200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3">
        <f t="shared" si="43"/>
        <v>200</v>
      </c>
      <c r="AV268" s="3">
        <f>SUM(AJ268 - AN268 - AU268)</f>
        <v>91333</v>
      </c>
      <c r="AW268" s="11">
        <v>0</v>
      </c>
      <c r="AX268" s="11">
        <v>0</v>
      </c>
      <c r="AY268" s="11">
        <v>0</v>
      </c>
      <c r="AZ268" s="11">
        <v>0</v>
      </c>
      <c r="BA268" s="3">
        <f t="shared" si="42"/>
        <v>91333</v>
      </c>
    </row>
    <row r="269" spans="1:53" x14ac:dyDescent="0.25">
      <c r="A269" s="1" t="s">
        <v>267</v>
      </c>
      <c r="B269" s="9" t="s">
        <v>1566</v>
      </c>
      <c r="C269" s="9" t="s">
        <v>1173</v>
      </c>
      <c r="D269" s="9" t="s">
        <v>1567</v>
      </c>
      <c r="E269" s="9" t="s">
        <v>1008</v>
      </c>
      <c r="F269" s="10">
        <v>45334</v>
      </c>
      <c r="G269" s="9" t="s">
        <v>1019</v>
      </c>
      <c r="I269" s="9" t="s">
        <v>1020</v>
      </c>
      <c r="J269" s="9" t="s">
        <v>1171</v>
      </c>
      <c r="K269" s="8" t="s">
        <v>1006</v>
      </c>
      <c r="L269" s="8" t="s">
        <v>1007</v>
      </c>
      <c r="M269" s="8" t="s">
        <v>2933</v>
      </c>
      <c r="N269" s="8" t="s">
        <v>2937</v>
      </c>
      <c r="O269" s="1" t="s">
        <v>2934</v>
      </c>
      <c r="P269">
        <v>30</v>
      </c>
      <c r="Q269">
        <v>30</v>
      </c>
      <c r="R269">
        <v>0</v>
      </c>
      <c r="S269">
        <f t="shared" si="44"/>
        <v>30</v>
      </c>
      <c r="T269" s="1" t="s">
        <v>2935</v>
      </c>
      <c r="U269" s="1" t="s">
        <v>2932</v>
      </c>
      <c r="V269" s="3">
        <f t="shared" si="45"/>
        <v>40000</v>
      </c>
      <c r="W269" s="3">
        <f t="shared" si="46"/>
        <v>16000</v>
      </c>
      <c r="X269" s="3">
        <f t="shared" si="38"/>
        <v>1250</v>
      </c>
      <c r="Y269" s="3">
        <f t="shared" si="39"/>
        <v>1600</v>
      </c>
      <c r="Z269" s="3">
        <f t="shared" si="40"/>
        <v>1800</v>
      </c>
      <c r="AA269" s="3">
        <v>0</v>
      </c>
      <c r="AB269" s="3">
        <f>ROUND(U269 - (V269+W269+X269+Y269) - (U269/Q269 * 2),0)</f>
        <v>34483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f>SUM(V269+W269+X269+Y269+AB269)</f>
        <v>93333</v>
      </c>
      <c r="AK269" s="3">
        <f>SUM(AJ269-AA269)</f>
        <v>93333</v>
      </c>
      <c r="AL269" s="3">
        <f>IF(V269&lt;=15000,V269*12%,1800)</f>
        <v>1800</v>
      </c>
      <c r="AM269" s="3">
        <v>0</v>
      </c>
      <c r="AN269" s="3">
        <f t="shared" si="41"/>
        <v>1800</v>
      </c>
      <c r="AO269" s="12">
        <v>200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3">
        <f t="shared" si="43"/>
        <v>200</v>
      </c>
      <c r="AV269" s="3">
        <f>SUM(AJ269 - AN269 - AU269)</f>
        <v>91333</v>
      </c>
      <c r="AW269" s="11">
        <v>0</v>
      </c>
      <c r="AX269" s="11">
        <v>0</v>
      </c>
      <c r="AY269" s="11">
        <v>0</v>
      </c>
      <c r="AZ269" s="11">
        <v>0</v>
      </c>
      <c r="BA269" s="3">
        <f t="shared" si="42"/>
        <v>91333</v>
      </c>
    </row>
    <row r="270" spans="1:53" x14ac:dyDescent="0.25">
      <c r="A270" s="1" t="s">
        <v>268</v>
      </c>
      <c r="B270" s="9" t="s">
        <v>1564</v>
      </c>
      <c r="C270" s="9" t="s">
        <v>1173</v>
      </c>
      <c r="D270" s="9" t="s">
        <v>1565</v>
      </c>
      <c r="E270" s="9" t="s">
        <v>1008</v>
      </c>
      <c r="F270" s="10">
        <v>45334</v>
      </c>
      <c r="G270" s="9" t="s">
        <v>1013</v>
      </c>
      <c r="I270" s="9" t="s">
        <v>1014</v>
      </c>
      <c r="J270" s="9" t="s">
        <v>1171</v>
      </c>
      <c r="K270" s="8" t="s">
        <v>1006</v>
      </c>
      <c r="L270" s="8" t="s">
        <v>1007</v>
      </c>
      <c r="M270" s="8" t="s">
        <v>2933</v>
      </c>
      <c r="N270" s="8" t="s">
        <v>2937</v>
      </c>
      <c r="O270" s="1" t="s">
        <v>2934</v>
      </c>
      <c r="P270">
        <v>30</v>
      </c>
      <c r="Q270">
        <v>30</v>
      </c>
      <c r="R270">
        <v>0</v>
      </c>
      <c r="S270">
        <f t="shared" si="44"/>
        <v>30</v>
      </c>
      <c r="T270" s="1" t="s">
        <v>2935</v>
      </c>
      <c r="U270" s="1" t="s">
        <v>2932</v>
      </c>
      <c r="V270" s="3">
        <f t="shared" si="45"/>
        <v>40000</v>
      </c>
      <c r="W270" s="3">
        <f t="shared" si="46"/>
        <v>16000</v>
      </c>
      <c r="X270" s="3">
        <f t="shared" si="38"/>
        <v>1250</v>
      </c>
      <c r="Y270" s="3">
        <f t="shared" si="39"/>
        <v>1600</v>
      </c>
      <c r="Z270" s="3">
        <f t="shared" si="40"/>
        <v>1800</v>
      </c>
      <c r="AA270" s="3">
        <v>0</v>
      </c>
      <c r="AB270" s="3">
        <f>ROUND(U270 - (V270+W270+X270+Y270) - (U270/Q270 * 2),0)</f>
        <v>34483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f>SUM(V270+W270+X270+Y270+AB270)</f>
        <v>93333</v>
      </c>
      <c r="AK270" s="3">
        <f>SUM(AJ270-AA270)</f>
        <v>93333</v>
      </c>
      <c r="AL270" s="3">
        <f>IF(V270&lt;=15000,V270*12%,1800)</f>
        <v>1800</v>
      </c>
      <c r="AM270" s="3">
        <v>0</v>
      </c>
      <c r="AN270" s="3">
        <f t="shared" si="41"/>
        <v>1800</v>
      </c>
      <c r="AO270" s="12">
        <v>200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3">
        <f t="shared" si="43"/>
        <v>200</v>
      </c>
      <c r="AV270" s="3">
        <f>SUM(AJ270 - AN270 - AU270)</f>
        <v>91333</v>
      </c>
      <c r="AW270" s="11">
        <v>0</v>
      </c>
      <c r="AX270" s="11">
        <v>0</v>
      </c>
      <c r="AY270" s="11">
        <v>0</v>
      </c>
      <c r="AZ270" s="11">
        <v>0</v>
      </c>
      <c r="BA270" s="3">
        <f t="shared" si="42"/>
        <v>91333</v>
      </c>
    </row>
    <row r="271" spans="1:53" x14ac:dyDescent="0.25">
      <c r="A271" s="1" t="s">
        <v>269</v>
      </c>
      <c r="B271" s="9" t="s">
        <v>1626</v>
      </c>
      <c r="C271" s="9" t="s">
        <v>1173</v>
      </c>
      <c r="D271" s="9" t="s">
        <v>1627</v>
      </c>
      <c r="E271" s="9" t="s">
        <v>1008</v>
      </c>
      <c r="F271" s="10">
        <v>45334</v>
      </c>
      <c r="G271" s="9" t="s">
        <v>1019</v>
      </c>
      <c r="I271" s="9" t="s">
        <v>1014</v>
      </c>
      <c r="J271" s="9" t="s">
        <v>1171</v>
      </c>
      <c r="K271" s="8" t="s">
        <v>1006</v>
      </c>
      <c r="L271" s="8" t="s">
        <v>1007</v>
      </c>
      <c r="M271" s="8" t="s">
        <v>2933</v>
      </c>
      <c r="N271" s="8" t="s">
        <v>2937</v>
      </c>
      <c r="O271" s="1" t="s">
        <v>2934</v>
      </c>
      <c r="P271">
        <v>30</v>
      </c>
      <c r="Q271">
        <v>30</v>
      </c>
      <c r="R271">
        <v>0</v>
      </c>
      <c r="S271">
        <f t="shared" si="44"/>
        <v>30</v>
      </c>
      <c r="T271" s="1" t="s">
        <v>2935</v>
      </c>
      <c r="U271" s="1" t="s">
        <v>2932</v>
      </c>
      <c r="V271" s="3">
        <f t="shared" si="45"/>
        <v>40000</v>
      </c>
      <c r="W271" s="3">
        <f t="shared" si="46"/>
        <v>16000</v>
      </c>
      <c r="X271" s="3">
        <f t="shared" si="38"/>
        <v>1250</v>
      </c>
      <c r="Y271" s="3">
        <f t="shared" si="39"/>
        <v>1600</v>
      </c>
      <c r="Z271" s="3">
        <f t="shared" si="40"/>
        <v>1800</v>
      </c>
      <c r="AA271" s="3">
        <v>0</v>
      </c>
      <c r="AB271" s="3">
        <f>ROUND(U271 - (V271+W271+X271+Y271) - (U271/Q271 * 2),0)</f>
        <v>34483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f>SUM(V271+W271+X271+Y271+AB271)</f>
        <v>93333</v>
      </c>
      <c r="AK271" s="3">
        <f>SUM(AJ271-AA271)</f>
        <v>93333</v>
      </c>
      <c r="AL271" s="3">
        <f>IF(V271&lt;=15000,V271*12%,1800)</f>
        <v>1800</v>
      </c>
      <c r="AM271" s="3">
        <v>0</v>
      </c>
      <c r="AN271" s="3">
        <f t="shared" si="41"/>
        <v>1800</v>
      </c>
      <c r="AO271" s="12">
        <v>200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3">
        <f t="shared" si="43"/>
        <v>200</v>
      </c>
      <c r="AV271" s="3">
        <f>SUM(AJ271 - AN271 - AU271)</f>
        <v>91333</v>
      </c>
      <c r="AW271" s="11">
        <v>0</v>
      </c>
      <c r="AX271" s="11">
        <v>0</v>
      </c>
      <c r="AY271" s="11">
        <v>0</v>
      </c>
      <c r="AZ271" s="11">
        <v>0</v>
      </c>
      <c r="BA271" s="3">
        <f t="shared" si="42"/>
        <v>91333</v>
      </c>
    </row>
    <row r="272" spans="1:53" x14ac:dyDescent="0.25">
      <c r="A272" s="1" t="s">
        <v>270</v>
      </c>
      <c r="B272" s="9" t="s">
        <v>1624</v>
      </c>
      <c r="C272" s="9" t="s">
        <v>1173</v>
      </c>
      <c r="D272" s="9" t="s">
        <v>1625</v>
      </c>
      <c r="E272" s="9" t="s">
        <v>1008</v>
      </c>
      <c r="F272" s="10">
        <v>45334</v>
      </c>
      <c r="G272" s="9" t="s">
        <v>1019</v>
      </c>
      <c r="I272" s="9" t="s">
        <v>1042</v>
      </c>
      <c r="J272" s="9" t="s">
        <v>1171</v>
      </c>
      <c r="K272" s="8" t="s">
        <v>1006</v>
      </c>
      <c r="L272" s="8" t="s">
        <v>1007</v>
      </c>
      <c r="M272" s="8" t="s">
        <v>2933</v>
      </c>
      <c r="N272" s="8" t="s">
        <v>2937</v>
      </c>
      <c r="O272" s="1" t="s">
        <v>2934</v>
      </c>
      <c r="P272">
        <v>30</v>
      </c>
      <c r="Q272">
        <v>30</v>
      </c>
      <c r="R272">
        <v>0</v>
      </c>
      <c r="S272">
        <f t="shared" si="44"/>
        <v>30</v>
      </c>
      <c r="T272" s="1" t="s">
        <v>2935</v>
      </c>
      <c r="U272" s="1" t="s">
        <v>2932</v>
      </c>
      <c r="V272" s="3">
        <f t="shared" si="45"/>
        <v>40000</v>
      </c>
      <c r="W272" s="3">
        <f t="shared" si="46"/>
        <v>16000</v>
      </c>
      <c r="X272" s="3">
        <f t="shared" si="38"/>
        <v>1250</v>
      </c>
      <c r="Y272" s="3">
        <f t="shared" si="39"/>
        <v>1600</v>
      </c>
      <c r="Z272" s="3">
        <f t="shared" si="40"/>
        <v>1800</v>
      </c>
      <c r="AA272" s="3">
        <v>0</v>
      </c>
      <c r="AB272" s="3">
        <f>ROUND(U272 - (V272+W272+X272+Y272) - (U272/Q272 * 2),0)</f>
        <v>34483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f>SUM(V272+W272+X272+Y272+AB272)</f>
        <v>93333</v>
      </c>
      <c r="AK272" s="3">
        <f>SUM(AJ272-AA272)</f>
        <v>93333</v>
      </c>
      <c r="AL272" s="3">
        <f>IF(V272&lt;=15000,V272*12%,1800)</f>
        <v>1800</v>
      </c>
      <c r="AM272" s="3">
        <v>0</v>
      </c>
      <c r="AN272" s="3">
        <f t="shared" si="41"/>
        <v>1800</v>
      </c>
      <c r="AO272" s="12">
        <v>200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3">
        <f t="shared" si="43"/>
        <v>200</v>
      </c>
      <c r="AV272" s="3">
        <f>SUM(AJ272 - AN272 - AU272)</f>
        <v>91333</v>
      </c>
      <c r="AW272" s="11">
        <v>0</v>
      </c>
      <c r="AX272" s="11">
        <v>0</v>
      </c>
      <c r="AY272" s="11">
        <v>0</v>
      </c>
      <c r="AZ272" s="11">
        <v>0</v>
      </c>
      <c r="BA272" s="3">
        <f t="shared" si="42"/>
        <v>91333</v>
      </c>
    </row>
    <row r="273" spans="1:53" x14ac:dyDescent="0.25">
      <c r="A273" s="1" t="s">
        <v>271</v>
      </c>
      <c r="B273" s="9" t="s">
        <v>1622</v>
      </c>
      <c r="C273" s="9" t="s">
        <v>1169</v>
      </c>
      <c r="D273" s="9" t="s">
        <v>1623</v>
      </c>
      <c r="E273" s="9" t="s">
        <v>1012</v>
      </c>
      <c r="F273" s="10">
        <v>45334</v>
      </c>
      <c r="G273" s="9" t="s">
        <v>1019</v>
      </c>
      <c r="I273" s="9" t="s">
        <v>1042</v>
      </c>
      <c r="J273" s="9" t="s">
        <v>1171</v>
      </c>
      <c r="K273" s="8" t="s">
        <v>1006</v>
      </c>
      <c r="L273" s="8" t="s">
        <v>1007</v>
      </c>
      <c r="M273" s="8" t="s">
        <v>2933</v>
      </c>
      <c r="N273" s="8" t="s">
        <v>2937</v>
      </c>
      <c r="O273" s="1" t="s">
        <v>2934</v>
      </c>
      <c r="P273">
        <v>30</v>
      </c>
      <c r="Q273">
        <v>30</v>
      </c>
      <c r="R273">
        <v>0</v>
      </c>
      <c r="S273">
        <f t="shared" si="44"/>
        <v>30</v>
      </c>
      <c r="T273" s="1" t="s">
        <v>2935</v>
      </c>
      <c r="U273" s="1" t="s">
        <v>2932</v>
      </c>
      <c r="V273" s="3">
        <f t="shared" si="45"/>
        <v>40000</v>
      </c>
      <c r="W273" s="3">
        <f t="shared" si="46"/>
        <v>16000</v>
      </c>
      <c r="X273" s="3">
        <f t="shared" si="38"/>
        <v>1250</v>
      </c>
      <c r="Y273" s="3">
        <f t="shared" si="39"/>
        <v>1600</v>
      </c>
      <c r="Z273" s="3">
        <f t="shared" si="40"/>
        <v>1800</v>
      </c>
      <c r="AA273" s="3">
        <v>0</v>
      </c>
      <c r="AB273" s="3">
        <f>ROUND(U273 - (V273+W273+X273+Y273) - (U273/Q273 * 2),0)</f>
        <v>34483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f>SUM(V273+W273+X273+Y273+AB273)</f>
        <v>93333</v>
      </c>
      <c r="AK273" s="3">
        <f>SUM(AJ273-AA273)</f>
        <v>93333</v>
      </c>
      <c r="AL273" s="3">
        <f>IF(V273&lt;=15000,V273*12%,1800)</f>
        <v>1800</v>
      </c>
      <c r="AM273" s="3">
        <v>0</v>
      </c>
      <c r="AN273" s="3">
        <f t="shared" si="41"/>
        <v>1800</v>
      </c>
      <c r="AO273" s="12">
        <v>200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3">
        <f t="shared" si="43"/>
        <v>200</v>
      </c>
      <c r="AV273" s="3">
        <f>SUM(AJ273 - AN273 - AU273)</f>
        <v>91333</v>
      </c>
      <c r="AW273" s="11">
        <v>0</v>
      </c>
      <c r="AX273" s="11">
        <v>0</v>
      </c>
      <c r="AY273" s="11">
        <v>0</v>
      </c>
      <c r="AZ273" s="11">
        <v>0</v>
      </c>
      <c r="BA273" s="3">
        <f t="shared" si="42"/>
        <v>91333</v>
      </c>
    </row>
    <row r="274" spans="1:53" x14ac:dyDescent="0.25">
      <c r="A274" s="1" t="s">
        <v>272</v>
      </c>
      <c r="B274" s="9" t="s">
        <v>1620</v>
      </c>
      <c r="C274" s="9" t="s">
        <v>1169</v>
      </c>
      <c r="D274" s="9" t="s">
        <v>1621</v>
      </c>
      <c r="E274" s="9" t="s">
        <v>1008</v>
      </c>
      <c r="F274" s="10">
        <v>45334</v>
      </c>
      <c r="G274" s="9" t="s">
        <v>1019</v>
      </c>
      <c r="I274" s="9" t="s">
        <v>1042</v>
      </c>
      <c r="J274" s="9" t="s">
        <v>1171</v>
      </c>
      <c r="K274" s="8" t="s">
        <v>1006</v>
      </c>
      <c r="L274" s="8" t="s">
        <v>1007</v>
      </c>
      <c r="M274" s="8" t="s">
        <v>2933</v>
      </c>
      <c r="N274" s="8" t="s">
        <v>2937</v>
      </c>
      <c r="O274" s="1" t="s">
        <v>2934</v>
      </c>
      <c r="P274">
        <v>30</v>
      </c>
      <c r="Q274">
        <v>30</v>
      </c>
      <c r="R274">
        <v>0</v>
      </c>
      <c r="S274">
        <f t="shared" si="44"/>
        <v>30</v>
      </c>
      <c r="T274" s="1" t="s">
        <v>2935</v>
      </c>
      <c r="U274" s="1" t="s">
        <v>2932</v>
      </c>
      <c r="V274" s="3">
        <f t="shared" si="45"/>
        <v>40000</v>
      </c>
      <c r="W274" s="3">
        <f t="shared" si="46"/>
        <v>16000</v>
      </c>
      <c r="X274" s="3">
        <f t="shared" si="38"/>
        <v>1250</v>
      </c>
      <c r="Y274" s="3">
        <f t="shared" si="39"/>
        <v>1600</v>
      </c>
      <c r="Z274" s="3">
        <f t="shared" si="40"/>
        <v>1800</v>
      </c>
      <c r="AA274" s="3">
        <v>0</v>
      </c>
      <c r="AB274" s="3">
        <f>ROUND(U274 - (V274+W274+X274+Y274) - (U274/Q274 * 2),0)</f>
        <v>34483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f>SUM(V274+W274+X274+Y274+AB274)</f>
        <v>93333</v>
      </c>
      <c r="AK274" s="3">
        <f>SUM(AJ274-AA274)</f>
        <v>93333</v>
      </c>
      <c r="AL274" s="3">
        <f>IF(V274&lt;=15000,V274*12%,1800)</f>
        <v>1800</v>
      </c>
      <c r="AM274" s="3">
        <v>0</v>
      </c>
      <c r="AN274" s="3">
        <f t="shared" si="41"/>
        <v>1800</v>
      </c>
      <c r="AO274" s="12">
        <v>200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3">
        <f t="shared" si="43"/>
        <v>200</v>
      </c>
      <c r="AV274" s="3">
        <f>SUM(AJ274 - AN274 - AU274)</f>
        <v>91333</v>
      </c>
      <c r="AW274" s="11">
        <v>0</v>
      </c>
      <c r="AX274" s="11">
        <v>0</v>
      </c>
      <c r="AY274" s="11">
        <v>0</v>
      </c>
      <c r="AZ274" s="11">
        <v>0</v>
      </c>
      <c r="BA274" s="3">
        <f t="shared" si="42"/>
        <v>91333</v>
      </c>
    </row>
    <row r="275" spans="1:53" x14ac:dyDescent="0.25">
      <c r="A275" s="1" t="s">
        <v>273</v>
      </c>
      <c r="B275" s="9" t="s">
        <v>1618</v>
      </c>
      <c r="C275" s="9" t="s">
        <v>1173</v>
      </c>
      <c r="D275" s="9" t="s">
        <v>1619</v>
      </c>
      <c r="E275" s="9" t="s">
        <v>1008</v>
      </c>
      <c r="F275" s="10">
        <v>45334</v>
      </c>
      <c r="G275" s="9" t="s">
        <v>1019</v>
      </c>
      <c r="I275" s="9" t="s">
        <v>1014</v>
      </c>
      <c r="J275" s="9" t="s">
        <v>1171</v>
      </c>
      <c r="K275" s="8" t="s">
        <v>1006</v>
      </c>
      <c r="L275" s="8" t="s">
        <v>1007</v>
      </c>
      <c r="M275" s="8" t="s">
        <v>2933</v>
      </c>
      <c r="N275" s="8" t="s">
        <v>2937</v>
      </c>
      <c r="O275" s="1" t="s">
        <v>2934</v>
      </c>
      <c r="P275">
        <v>30</v>
      </c>
      <c r="Q275">
        <v>30</v>
      </c>
      <c r="R275">
        <v>0</v>
      </c>
      <c r="S275">
        <f t="shared" si="44"/>
        <v>30</v>
      </c>
      <c r="T275" s="1" t="s">
        <v>2935</v>
      </c>
      <c r="U275" s="1" t="s">
        <v>2932</v>
      </c>
      <c r="V275" s="3">
        <f t="shared" si="45"/>
        <v>40000</v>
      </c>
      <c r="W275" s="3">
        <f t="shared" si="46"/>
        <v>16000</v>
      </c>
      <c r="X275" s="3">
        <f t="shared" si="38"/>
        <v>1250</v>
      </c>
      <c r="Y275" s="3">
        <f t="shared" si="39"/>
        <v>1600</v>
      </c>
      <c r="Z275" s="3">
        <f t="shared" si="40"/>
        <v>1800</v>
      </c>
      <c r="AA275" s="3">
        <v>0</v>
      </c>
      <c r="AB275" s="3">
        <f>ROUND(U275 - (V275+W275+X275+Y275) - (U275/Q275 * 2),0)</f>
        <v>34483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f>SUM(V275+W275+X275+Y275+AB275)</f>
        <v>93333</v>
      </c>
      <c r="AK275" s="3">
        <f>SUM(AJ275-AA275)</f>
        <v>93333</v>
      </c>
      <c r="AL275" s="3">
        <f>IF(V275&lt;=15000,V275*12%,1800)</f>
        <v>1800</v>
      </c>
      <c r="AM275" s="3">
        <v>0</v>
      </c>
      <c r="AN275" s="3">
        <f t="shared" si="41"/>
        <v>1800</v>
      </c>
      <c r="AO275" s="12">
        <v>200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3">
        <f t="shared" si="43"/>
        <v>200</v>
      </c>
      <c r="AV275" s="3">
        <f>SUM(AJ275 - AN275 - AU275)</f>
        <v>91333</v>
      </c>
      <c r="AW275" s="11">
        <v>0</v>
      </c>
      <c r="AX275" s="11">
        <v>0</v>
      </c>
      <c r="AY275" s="11">
        <v>0</v>
      </c>
      <c r="AZ275" s="11">
        <v>0</v>
      </c>
      <c r="BA275" s="3">
        <f t="shared" si="42"/>
        <v>91333</v>
      </c>
    </row>
    <row r="276" spans="1:53" x14ac:dyDescent="0.25">
      <c r="A276" s="1" t="s">
        <v>274</v>
      </c>
      <c r="B276" s="9" t="s">
        <v>1616</v>
      </c>
      <c r="C276" s="9" t="s">
        <v>1169</v>
      </c>
      <c r="D276" s="9" t="s">
        <v>1617</v>
      </c>
      <c r="E276" s="9" t="s">
        <v>1012</v>
      </c>
      <c r="F276" s="10">
        <v>45334</v>
      </c>
      <c r="G276" s="9" t="s">
        <v>1019</v>
      </c>
      <c r="I276" s="9" t="s">
        <v>1042</v>
      </c>
      <c r="J276" s="9" t="s">
        <v>1171</v>
      </c>
      <c r="K276" s="8" t="s">
        <v>1006</v>
      </c>
      <c r="L276" s="8" t="s">
        <v>1007</v>
      </c>
      <c r="M276" s="8" t="s">
        <v>2933</v>
      </c>
      <c r="N276" s="8" t="s">
        <v>2937</v>
      </c>
      <c r="O276" s="1" t="s">
        <v>2934</v>
      </c>
      <c r="P276">
        <v>30</v>
      </c>
      <c r="Q276">
        <v>30</v>
      </c>
      <c r="R276">
        <v>0</v>
      </c>
      <c r="S276">
        <f t="shared" si="44"/>
        <v>30</v>
      </c>
      <c r="T276" s="1" t="s">
        <v>2935</v>
      </c>
      <c r="U276" s="1" t="s">
        <v>2932</v>
      </c>
      <c r="V276" s="3">
        <f t="shared" si="45"/>
        <v>40000</v>
      </c>
      <c r="W276" s="3">
        <f t="shared" si="46"/>
        <v>16000</v>
      </c>
      <c r="X276" s="3">
        <f t="shared" si="38"/>
        <v>1250</v>
      </c>
      <c r="Y276" s="3">
        <f t="shared" si="39"/>
        <v>1600</v>
      </c>
      <c r="Z276" s="3">
        <f t="shared" si="40"/>
        <v>1800</v>
      </c>
      <c r="AA276" s="3">
        <v>0</v>
      </c>
      <c r="AB276" s="3">
        <f>ROUND(U276 - (V276+W276+X276+Y276) - (U276/Q276 * 2),0)</f>
        <v>34483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f>SUM(V276+W276+X276+Y276+AB276)</f>
        <v>93333</v>
      </c>
      <c r="AK276" s="3">
        <f>SUM(AJ276-AA276)</f>
        <v>93333</v>
      </c>
      <c r="AL276" s="3">
        <f>IF(V276&lt;=15000,V276*12%,1800)</f>
        <v>1800</v>
      </c>
      <c r="AM276" s="3">
        <v>0</v>
      </c>
      <c r="AN276" s="3">
        <f t="shared" si="41"/>
        <v>1800</v>
      </c>
      <c r="AO276" s="12">
        <v>200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3">
        <f t="shared" si="43"/>
        <v>200</v>
      </c>
      <c r="AV276" s="3">
        <f>SUM(AJ276 - AN276 - AU276)</f>
        <v>91333</v>
      </c>
      <c r="AW276" s="11">
        <v>0</v>
      </c>
      <c r="AX276" s="11">
        <v>0</v>
      </c>
      <c r="AY276" s="11">
        <v>0</v>
      </c>
      <c r="AZ276" s="11">
        <v>0</v>
      </c>
      <c r="BA276" s="3">
        <f t="shared" si="42"/>
        <v>91333</v>
      </c>
    </row>
    <row r="277" spans="1:53" x14ac:dyDescent="0.25">
      <c r="A277" s="1" t="s">
        <v>275</v>
      </c>
      <c r="B277" s="9" t="s">
        <v>1614</v>
      </c>
      <c r="C277" s="9" t="s">
        <v>1169</v>
      </c>
      <c r="D277" s="9" t="s">
        <v>1615</v>
      </c>
      <c r="E277" s="9" t="s">
        <v>1012</v>
      </c>
      <c r="F277" s="10">
        <v>45334</v>
      </c>
      <c r="G277" s="9" t="s">
        <v>1019</v>
      </c>
      <c r="I277" s="9" t="s">
        <v>1042</v>
      </c>
      <c r="J277" s="9" t="s">
        <v>1171</v>
      </c>
      <c r="K277" s="8" t="s">
        <v>1006</v>
      </c>
      <c r="L277" s="8" t="s">
        <v>1007</v>
      </c>
      <c r="M277" s="8" t="s">
        <v>2933</v>
      </c>
      <c r="N277" s="8" t="s">
        <v>2937</v>
      </c>
      <c r="O277" s="1" t="s">
        <v>2934</v>
      </c>
      <c r="P277">
        <v>30</v>
      </c>
      <c r="Q277">
        <v>30</v>
      </c>
      <c r="R277">
        <v>0</v>
      </c>
      <c r="S277">
        <f t="shared" si="44"/>
        <v>30</v>
      </c>
      <c r="T277" s="1" t="s">
        <v>2935</v>
      </c>
      <c r="U277" s="1" t="s">
        <v>2932</v>
      </c>
      <c r="V277" s="3">
        <f t="shared" si="45"/>
        <v>40000</v>
      </c>
      <c r="W277" s="3">
        <f t="shared" si="46"/>
        <v>16000</v>
      </c>
      <c r="X277" s="3">
        <f t="shared" si="38"/>
        <v>1250</v>
      </c>
      <c r="Y277" s="3">
        <f t="shared" si="39"/>
        <v>1600</v>
      </c>
      <c r="Z277" s="3">
        <f t="shared" si="40"/>
        <v>1800</v>
      </c>
      <c r="AA277" s="3">
        <v>0</v>
      </c>
      <c r="AB277" s="3">
        <f>ROUND(U277 - (V277+W277+X277+Y277) - (U277/Q277 * 2),0)</f>
        <v>34483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f>SUM(V277+W277+X277+Y277+AB277)</f>
        <v>93333</v>
      </c>
      <c r="AK277" s="3">
        <f>SUM(AJ277-AA277)</f>
        <v>93333</v>
      </c>
      <c r="AL277" s="3">
        <f>IF(V277&lt;=15000,V277*12%,1800)</f>
        <v>1800</v>
      </c>
      <c r="AM277" s="3">
        <v>0</v>
      </c>
      <c r="AN277" s="3">
        <f t="shared" si="41"/>
        <v>1800</v>
      </c>
      <c r="AO277" s="12">
        <v>200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3">
        <f t="shared" si="43"/>
        <v>200</v>
      </c>
      <c r="AV277" s="3">
        <f>SUM(AJ277 - AN277 - AU277)</f>
        <v>91333</v>
      </c>
      <c r="AW277" s="11">
        <v>0</v>
      </c>
      <c r="AX277" s="11">
        <v>0</v>
      </c>
      <c r="AY277" s="11">
        <v>0</v>
      </c>
      <c r="AZ277" s="11">
        <v>0</v>
      </c>
      <c r="BA277" s="3">
        <f t="shared" si="42"/>
        <v>91333</v>
      </c>
    </row>
    <row r="278" spans="1:53" x14ac:dyDescent="0.25">
      <c r="A278" s="1" t="s">
        <v>276</v>
      </c>
      <c r="B278" s="9" t="s">
        <v>1612</v>
      </c>
      <c r="C278" s="9" t="s">
        <v>1173</v>
      </c>
      <c r="D278" s="9" t="s">
        <v>1613</v>
      </c>
      <c r="E278" s="9" t="s">
        <v>1008</v>
      </c>
      <c r="F278" s="10">
        <v>45337</v>
      </c>
      <c r="G278" s="9" t="s">
        <v>1019</v>
      </c>
      <c r="I278" s="9" t="s">
        <v>1014</v>
      </c>
      <c r="J278" s="9" t="s">
        <v>1171</v>
      </c>
      <c r="K278" s="8" t="s">
        <v>1006</v>
      </c>
      <c r="L278" s="8" t="s">
        <v>1007</v>
      </c>
      <c r="M278" s="8" t="s">
        <v>2933</v>
      </c>
      <c r="N278" s="8" t="s">
        <v>2937</v>
      </c>
      <c r="O278" s="1" t="s">
        <v>2934</v>
      </c>
      <c r="P278">
        <v>30</v>
      </c>
      <c r="Q278">
        <v>30</v>
      </c>
      <c r="R278">
        <v>0</v>
      </c>
      <c r="S278">
        <f t="shared" si="44"/>
        <v>30</v>
      </c>
      <c r="T278" s="1" t="s">
        <v>2935</v>
      </c>
      <c r="U278" s="1" t="s">
        <v>2932</v>
      </c>
      <c r="V278" s="3">
        <f t="shared" si="45"/>
        <v>40000</v>
      </c>
      <c r="W278" s="3">
        <f t="shared" si="46"/>
        <v>16000</v>
      </c>
      <c r="X278" s="3">
        <f t="shared" si="38"/>
        <v>1250</v>
      </c>
      <c r="Y278" s="3">
        <f t="shared" si="39"/>
        <v>1600</v>
      </c>
      <c r="Z278" s="3">
        <f t="shared" si="40"/>
        <v>1800</v>
      </c>
      <c r="AA278" s="3">
        <v>0</v>
      </c>
      <c r="AB278" s="3">
        <f>ROUND(U278 - (V278+W278+X278+Y278) - (U278/Q278 * 2),0)</f>
        <v>34483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f>SUM(V278+W278+X278+Y278+AB278)</f>
        <v>93333</v>
      </c>
      <c r="AK278" s="3">
        <f>SUM(AJ278-AA278)</f>
        <v>93333</v>
      </c>
      <c r="AL278" s="3">
        <f>IF(V278&lt;=15000,V278*12%,1800)</f>
        <v>1800</v>
      </c>
      <c r="AM278" s="3">
        <v>0</v>
      </c>
      <c r="AN278" s="3">
        <f t="shared" si="41"/>
        <v>1800</v>
      </c>
      <c r="AO278" s="12">
        <v>200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3">
        <f t="shared" si="43"/>
        <v>200</v>
      </c>
      <c r="AV278" s="3">
        <f>SUM(AJ278 - AN278 - AU278)</f>
        <v>91333</v>
      </c>
      <c r="AW278" s="11">
        <v>0</v>
      </c>
      <c r="AX278" s="11">
        <v>0</v>
      </c>
      <c r="AY278" s="11">
        <v>0</v>
      </c>
      <c r="AZ278" s="11">
        <v>0</v>
      </c>
      <c r="BA278" s="3">
        <f t="shared" si="42"/>
        <v>91333</v>
      </c>
    </row>
    <row r="279" spans="1:53" x14ac:dyDescent="0.25">
      <c r="A279" s="1" t="s">
        <v>277</v>
      </c>
      <c r="B279" s="9" t="s">
        <v>1610</v>
      </c>
      <c r="C279" s="9" t="s">
        <v>1169</v>
      </c>
      <c r="D279" s="9" t="s">
        <v>1611</v>
      </c>
      <c r="E279" s="9" t="s">
        <v>1012</v>
      </c>
      <c r="F279" s="10">
        <v>45337</v>
      </c>
      <c r="G279" s="9" t="s">
        <v>1019</v>
      </c>
      <c r="I279" s="9" t="s">
        <v>1042</v>
      </c>
      <c r="J279" s="9" t="s">
        <v>1171</v>
      </c>
      <c r="K279" s="8" t="s">
        <v>1006</v>
      </c>
      <c r="L279" s="8" t="s">
        <v>1007</v>
      </c>
      <c r="M279" s="8" t="s">
        <v>2933</v>
      </c>
      <c r="N279" s="8" t="s">
        <v>2937</v>
      </c>
      <c r="O279" s="1" t="s">
        <v>2934</v>
      </c>
      <c r="P279">
        <v>30</v>
      </c>
      <c r="Q279">
        <v>30</v>
      </c>
      <c r="R279">
        <v>0</v>
      </c>
      <c r="S279">
        <f t="shared" si="44"/>
        <v>30</v>
      </c>
      <c r="T279" s="1" t="s">
        <v>2935</v>
      </c>
      <c r="U279" s="1" t="s">
        <v>2932</v>
      </c>
      <c r="V279" s="3">
        <f t="shared" si="45"/>
        <v>40000</v>
      </c>
      <c r="W279" s="3">
        <f t="shared" si="46"/>
        <v>16000</v>
      </c>
      <c r="X279" s="3">
        <f t="shared" si="38"/>
        <v>1250</v>
      </c>
      <c r="Y279" s="3">
        <f t="shared" si="39"/>
        <v>1600</v>
      </c>
      <c r="Z279" s="3">
        <f t="shared" si="40"/>
        <v>1800</v>
      </c>
      <c r="AA279" s="3">
        <v>0</v>
      </c>
      <c r="AB279" s="3">
        <f>ROUND(U279 - (V279+W279+X279+Y279) - (U279/Q279 * 2),0)</f>
        <v>34483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f>SUM(V279+W279+X279+Y279+AB279)</f>
        <v>93333</v>
      </c>
      <c r="AK279" s="3">
        <f>SUM(AJ279-AA279)</f>
        <v>93333</v>
      </c>
      <c r="AL279" s="3">
        <f>IF(V279&lt;=15000,V279*12%,1800)</f>
        <v>1800</v>
      </c>
      <c r="AM279" s="3">
        <v>0</v>
      </c>
      <c r="AN279" s="3">
        <f t="shared" si="41"/>
        <v>1800</v>
      </c>
      <c r="AO279" s="12">
        <v>200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3">
        <f t="shared" si="43"/>
        <v>200</v>
      </c>
      <c r="AV279" s="3">
        <f>SUM(AJ279 - AN279 - AU279)</f>
        <v>91333</v>
      </c>
      <c r="AW279" s="11">
        <v>0</v>
      </c>
      <c r="AX279" s="11">
        <v>0</v>
      </c>
      <c r="AY279" s="11">
        <v>0</v>
      </c>
      <c r="AZ279" s="11">
        <v>0</v>
      </c>
      <c r="BA279" s="3">
        <f t="shared" si="42"/>
        <v>91333</v>
      </c>
    </row>
    <row r="280" spans="1:53" x14ac:dyDescent="0.25">
      <c r="A280" s="1" t="s">
        <v>278</v>
      </c>
      <c r="B280" s="9" t="s">
        <v>1608</v>
      </c>
      <c r="C280" s="9" t="s">
        <v>1173</v>
      </c>
      <c r="D280" s="9" t="s">
        <v>1609</v>
      </c>
      <c r="E280" s="9" t="s">
        <v>1008</v>
      </c>
      <c r="F280" s="10">
        <v>45337</v>
      </c>
      <c r="G280" s="9" t="s">
        <v>1019</v>
      </c>
      <c r="I280" s="9" t="s">
        <v>1042</v>
      </c>
      <c r="J280" s="9" t="s">
        <v>1171</v>
      </c>
      <c r="K280" s="8" t="s">
        <v>1006</v>
      </c>
      <c r="L280" s="8" t="s">
        <v>1007</v>
      </c>
      <c r="M280" s="8" t="s">
        <v>2933</v>
      </c>
      <c r="N280" s="8" t="s">
        <v>2937</v>
      </c>
      <c r="O280" s="1" t="s">
        <v>2934</v>
      </c>
      <c r="P280">
        <v>30</v>
      </c>
      <c r="Q280">
        <v>30</v>
      </c>
      <c r="R280">
        <v>0</v>
      </c>
      <c r="S280">
        <f t="shared" si="44"/>
        <v>30</v>
      </c>
      <c r="T280" s="1" t="s">
        <v>2935</v>
      </c>
      <c r="U280" s="1" t="s">
        <v>2932</v>
      </c>
      <c r="V280" s="3">
        <f t="shared" si="45"/>
        <v>40000</v>
      </c>
      <c r="W280" s="3">
        <f t="shared" si="46"/>
        <v>16000</v>
      </c>
      <c r="X280" s="3">
        <f t="shared" si="38"/>
        <v>1250</v>
      </c>
      <c r="Y280" s="3">
        <f t="shared" si="39"/>
        <v>1600</v>
      </c>
      <c r="Z280" s="3">
        <f t="shared" si="40"/>
        <v>1800</v>
      </c>
      <c r="AA280" s="3">
        <v>0</v>
      </c>
      <c r="AB280" s="3">
        <f>ROUND(U280 - (V280+W280+X280+Y280) - (U280/Q280 * 2),0)</f>
        <v>34483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f>SUM(V280+W280+X280+Y280+AB280)</f>
        <v>93333</v>
      </c>
      <c r="AK280" s="3">
        <f>SUM(AJ280-AA280)</f>
        <v>93333</v>
      </c>
      <c r="AL280" s="3">
        <f>IF(V280&lt;=15000,V280*12%,1800)</f>
        <v>1800</v>
      </c>
      <c r="AM280" s="3">
        <v>0</v>
      </c>
      <c r="AN280" s="3">
        <f t="shared" si="41"/>
        <v>1800</v>
      </c>
      <c r="AO280" s="12">
        <v>200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3">
        <f t="shared" si="43"/>
        <v>200</v>
      </c>
      <c r="AV280" s="3">
        <f>SUM(AJ280 - AN280 - AU280)</f>
        <v>91333</v>
      </c>
      <c r="AW280" s="11">
        <v>0</v>
      </c>
      <c r="AX280" s="11">
        <v>0</v>
      </c>
      <c r="AY280" s="11">
        <v>0</v>
      </c>
      <c r="AZ280" s="11">
        <v>0</v>
      </c>
      <c r="BA280" s="3">
        <f t="shared" si="42"/>
        <v>91333</v>
      </c>
    </row>
    <row r="281" spans="1:53" x14ac:dyDescent="0.25">
      <c r="A281" s="1" t="s">
        <v>279</v>
      </c>
      <c r="B281" s="9" t="s">
        <v>1099</v>
      </c>
      <c r="C281" s="9" t="s">
        <v>1169</v>
      </c>
      <c r="D281" s="9" t="s">
        <v>1607</v>
      </c>
      <c r="E281" s="9" t="s">
        <v>1012</v>
      </c>
      <c r="F281" s="10">
        <v>45337</v>
      </c>
      <c r="G281" s="9" t="s">
        <v>1013</v>
      </c>
      <c r="I281" s="9" t="s">
        <v>1042</v>
      </c>
      <c r="J281" s="9" t="s">
        <v>1171</v>
      </c>
      <c r="K281" s="8" t="s">
        <v>1006</v>
      </c>
      <c r="L281" s="8" t="s">
        <v>1007</v>
      </c>
      <c r="M281" s="8" t="s">
        <v>2933</v>
      </c>
      <c r="N281" s="8" t="s">
        <v>2937</v>
      </c>
      <c r="O281" s="1" t="s">
        <v>2934</v>
      </c>
      <c r="P281">
        <v>30</v>
      </c>
      <c r="Q281">
        <v>30</v>
      </c>
      <c r="R281">
        <v>0</v>
      </c>
      <c r="S281">
        <f t="shared" si="44"/>
        <v>30</v>
      </c>
      <c r="T281" s="1" t="s">
        <v>2935</v>
      </c>
      <c r="U281" s="1" t="s">
        <v>2932</v>
      </c>
      <c r="V281" s="3">
        <f t="shared" si="45"/>
        <v>40000</v>
      </c>
      <c r="W281" s="3">
        <f t="shared" si="46"/>
        <v>16000</v>
      </c>
      <c r="X281" s="3">
        <f t="shared" si="38"/>
        <v>1250</v>
      </c>
      <c r="Y281" s="3">
        <f t="shared" si="39"/>
        <v>1600</v>
      </c>
      <c r="Z281" s="3">
        <f t="shared" si="40"/>
        <v>1800</v>
      </c>
      <c r="AA281" s="3">
        <v>0</v>
      </c>
      <c r="AB281" s="3">
        <f>ROUND(U281 - (V281+W281+X281+Y281) - (U281/Q281 * 2),0)</f>
        <v>34483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f>SUM(V281+W281+X281+Y281+AB281)</f>
        <v>93333</v>
      </c>
      <c r="AK281" s="3">
        <f>SUM(AJ281-AA281)</f>
        <v>93333</v>
      </c>
      <c r="AL281" s="3">
        <f>IF(V281&lt;=15000,V281*12%,1800)</f>
        <v>1800</v>
      </c>
      <c r="AM281" s="3">
        <v>0</v>
      </c>
      <c r="AN281" s="3">
        <f t="shared" si="41"/>
        <v>1800</v>
      </c>
      <c r="AO281" s="12">
        <v>200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3">
        <f t="shared" si="43"/>
        <v>200</v>
      </c>
      <c r="AV281" s="3">
        <f>SUM(AJ281 - AN281 - AU281)</f>
        <v>91333</v>
      </c>
      <c r="AW281" s="11">
        <v>0</v>
      </c>
      <c r="AX281" s="11">
        <v>0</v>
      </c>
      <c r="AY281" s="11">
        <v>0</v>
      </c>
      <c r="AZ281" s="11">
        <v>0</v>
      </c>
      <c r="BA281" s="3">
        <f t="shared" si="42"/>
        <v>91333</v>
      </c>
    </row>
    <row r="282" spans="1:53" x14ac:dyDescent="0.25">
      <c r="A282" s="1" t="s">
        <v>280</v>
      </c>
      <c r="B282" s="9" t="s">
        <v>1152</v>
      </c>
      <c r="C282" s="9" t="s">
        <v>1169</v>
      </c>
      <c r="D282" s="9" t="s">
        <v>1606</v>
      </c>
      <c r="E282" s="9" t="s">
        <v>1012</v>
      </c>
      <c r="F282" s="10">
        <v>45337</v>
      </c>
      <c r="G282" s="9" t="s">
        <v>1019</v>
      </c>
      <c r="I282" s="9" t="s">
        <v>1042</v>
      </c>
      <c r="J282" s="9" t="s">
        <v>1171</v>
      </c>
      <c r="K282" s="8" t="s">
        <v>1006</v>
      </c>
      <c r="L282" s="8" t="s">
        <v>1007</v>
      </c>
      <c r="M282" s="8" t="s">
        <v>2933</v>
      </c>
      <c r="N282" s="8" t="s">
        <v>2937</v>
      </c>
      <c r="O282" s="1" t="s">
        <v>2934</v>
      </c>
      <c r="P282">
        <v>30</v>
      </c>
      <c r="Q282">
        <v>30</v>
      </c>
      <c r="R282">
        <v>0</v>
      </c>
      <c r="S282">
        <f t="shared" si="44"/>
        <v>30</v>
      </c>
      <c r="T282" s="1" t="s">
        <v>2935</v>
      </c>
      <c r="U282" s="1" t="s">
        <v>2932</v>
      </c>
      <c r="V282" s="3">
        <f t="shared" si="45"/>
        <v>40000</v>
      </c>
      <c r="W282" s="3">
        <f t="shared" si="46"/>
        <v>16000</v>
      </c>
      <c r="X282" s="3">
        <f t="shared" si="38"/>
        <v>1250</v>
      </c>
      <c r="Y282" s="3">
        <f t="shared" si="39"/>
        <v>1600</v>
      </c>
      <c r="Z282" s="3">
        <f t="shared" si="40"/>
        <v>1800</v>
      </c>
      <c r="AA282" s="3">
        <v>0</v>
      </c>
      <c r="AB282" s="3">
        <f>ROUND(U282 - (V282+W282+X282+Y282) - (U282/Q282 * 2),0)</f>
        <v>34483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f>SUM(V282+W282+X282+Y282+AB282)</f>
        <v>93333</v>
      </c>
      <c r="AK282" s="3">
        <f>SUM(AJ282-AA282)</f>
        <v>93333</v>
      </c>
      <c r="AL282" s="3">
        <f>IF(V282&lt;=15000,V282*12%,1800)</f>
        <v>1800</v>
      </c>
      <c r="AM282" s="3">
        <v>0</v>
      </c>
      <c r="AN282" s="3">
        <f t="shared" si="41"/>
        <v>1800</v>
      </c>
      <c r="AO282" s="12">
        <v>200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3">
        <f t="shared" si="43"/>
        <v>200</v>
      </c>
      <c r="AV282" s="3">
        <f>SUM(AJ282 - AN282 - AU282)</f>
        <v>91333</v>
      </c>
      <c r="AW282" s="11">
        <v>0</v>
      </c>
      <c r="AX282" s="11">
        <v>0</v>
      </c>
      <c r="AY282" s="11">
        <v>0</v>
      </c>
      <c r="AZ282" s="11">
        <v>0</v>
      </c>
      <c r="BA282" s="3">
        <f t="shared" si="42"/>
        <v>91333</v>
      </c>
    </row>
    <row r="283" spans="1:53" x14ac:dyDescent="0.25">
      <c r="A283" s="1" t="s">
        <v>281</v>
      </c>
      <c r="B283" s="9" t="s">
        <v>1101</v>
      </c>
      <c r="C283" s="9" t="s">
        <v>1169</v>
      </c>
      <c r="D283" s="9" t="s">
        <v>1605</v>
      </c>
      <c r="E283" s="9" t="s">
        <v>1008</v>
      </c>
      <c r="F283" s="10">
        <v>45337</v>
      </c>
      <c r="G283" s="9" t="s">
        <v>1013</v>
      </c>
      <c r="I283" s="9" t="s">
        <v>1042</v>
      </c>
      <c r="J283" s="9" t="s">
        <v>1171</v>
      </c>
      <c r="K283" s="8" t="s">
        <v>1006</v>
      </c>
      <c r="L283" s="8" t="s">
        <v>1007</v>
      </c>
      <c r="M283" s="8" t="s">
        <v>2933</v>
      </c>
      <c r="N283" s="8" t="s">
        <v>2937</v>
      </c>
      <c r="O283" s="1" t="s">
        <v>2934</v>
      </c>
      <c r="P283">
        <v>30</v>
      </c>
      <c r="Q283">
        <v>30</v>
      </c>
      <c r="R283">
        <v>2</v>
      </c>
      <c r="S283">
        <f t="shared" si="44"/>
        <v>28</v>
      </c>
      <c r="T283" s="1" t="s">
        <v>2935</v>
      </c>
      <c r="U283" s="1" t="s">
        <v>2939</v>
      </c>
      <c r="V283" s="3">
        <f t="shared" si="45"/>
        <v>3733</v>
      </c>
      <c r="W283" s="3">
        <f t="shared" si="46"/>
        <v>1493</v>
      </c>
      <c r="X283" s="3">
        <f t="shared" si="38"/>
        <v>1167</v>
      </c>
      <c r="Y283" s="3">
        <f t="shared" si="39"/>
        <v>1493</v>
      </c>
      <c r="Z283" s="3">
        <f t="shared" si="40"/>
        <v>447.96</v>
      </c>
      <c r="AA283" s="3">
        <v>0</v>
      </c>
      <c r="AB283" s="3">
        <f>ROUND(U283 - (V283+W283+X283+Y283) - (U283/Q283 * 2),0)</f>
        <v>1447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f>SUM(V283+W283+X283+Y283+AB283)</f>
        <v>9333</v>
      </c>
      <c r="AK283" s="3">
        <f>SUM(AJ283-AA283)</f>
        <v>9333</v>
      </c>
      <c r="AL283" s="3">
        <f>IF(V283&lt;=15000,V283*12%,1800)</f>
        <v>447.96</v>
      </c>
      <c r="AM283" s="3">
        <v>0</v>
      </c>
      <c r="AN283" s="3">
        <f t="shared" si="41"/>
        <v>447.96</v>
      </c>
      <c r="AO283" s="12">
        <v>200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3">
        <f t="shared" si="43"/>
        <v>200</v>
      </c>
      <c r="AV283" s="3">
        <f>SUM(AJ283 - AN283 - AU283)</f>
        <v>8685.0400000000009</v>
      </c>
      <c r="AW283" s="11">
        <v>0</v>
      </c>
      <c r="AX283" s="11">
        <v>0</v>
      </c>
      <c r="AY283" s="11">
        <v>0</v>
      </c>
      <c r="AZ283" s="11">
        <v>0</v>
      </c>
      <c r="BA283" s="3">
        <f t="shared" si="42"/>
        <v>8685.0400000000009</v>
      </c>
    </row>
    <row r="284" spans="1:53" x14ac:dyDescent="0.25">
      <c r="A284" s="1" t="s">
        <v>282</v>
      </c>
      <c r="B284" s="9" t="s">
        <v>1603</v>
      </c>
      <c r="C284" s="9" t="s">
        <v>1169</v>
      </c>
      <c r="D284" s="9" t="s">
        <v>1604</v>
      </c>
      <c r="E284" s="9" t="s">
        <v>1012</v>
      </c>
      <c r="F284" s="10">
        <v>45352</v>
      </c>
      <c r="G284" s="9" t="s">
        <v>1013</v>
      </c>
      <c r="I284" s="9" t="s">
        <v>1042</v>
      </c>
      <c r="J284" s="9" t="s">
        <v>1171</v>
      </c>
      <c r="K284" s="8" t="s">
        <v>1006</v>
      </c>
      <c r="L284" s="8" t="s">
        <v>1007</v>
      </c>
      <c r="M284" s="8" t="s">
        <v>2933</v>
      </c>
      <c r="N284" s="8" t="s">
        <v>2937</v>
      </c>
      <c r="O284" s="1" t="s">
        <v>2934</v>
      </c>
      <c r="P284">
        <v>30</v>
      </c>
      <c r="Q284">
        <v>30</v>
      </c>
      <c r="R284">
        <v>0</v>
      </c>
      <c r="S284">
        <f t="shared" si="44"/>
        <v>30</v>
      </c>
      <c r="T284" s="1" t="s">
        <v>2935</v>
      </c>
      <c r="U284" s="1" t="s">
        <v>2932</v>
      </c>
      <c r="V284" s="3">
        <f t="shared" si="45"/>
        <v>40000</v>
      </c>
      <c r="W284" s="3">
        <f t="shared" si="46"/>
        <v>16000</v>
      </c>
      <c r="X284" s="3">
        <f t="shared" si="38"/>
        <v>1250</v>
      </c>
      <c r="Y284" s="3">
        <f t="shared" si="39"/>
        <v>1600</v>
      </c>
      <c r="Z284" s="3">
        <f t="shared" si="40"/>
        <v>1800</v>
      </c>
      <c r="AA284" s="3">
        <v>0</v>
      </c>
      <c r="AB284" s="3">
        <f>ROUND(U284 - (V284+W284+X284+Y284) - (U284/Q284 * 2),0)</f>
        <v>34483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f>SUM(V284+W284+X284+Y284+AB284)</f>
        <v>93333</v>
      </c>
      <c r="AK284" s="3">
        <f>SUM(AJ284-AA284)</f>
        <v>93333</v>
      </c>
      <c r="AL284" s="3">
        <f>IF(V284&lt;=15000,V284*12%,1800)</f>
        <v>1800</v>
      </c>
      <c r="AM284" s="3">
        <v>0</v>
      </c>
      <c r="AN284" s="3">
        <f t="shared" si="41"/>
        <v>1800</v>
      </c>
      <c r="AO284" s="12">
        <v>200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3">
        <f t="shared" si="43"/>
        <v>200</v>
      </c>
      <c r="AV284" s="3">
        <f>SUM(AJ284 - AN284 - AU284)</f>
        <v>91333</v>
      </c>
      <c r="AW284" s="11">
        <v>0</v>
      </c>
      <c r="AX284" s="11">
        <v>0</v>
      </c>
      <c r="AY284" s="11">
        <v>0</v>
      </c>
      <c r="AZ284" s="11">
        <v>0</v>
      </c>
      <c r="BA284" s="3">
        <f t="shared" si="42"/>
        <v>91333</v>
      </c>
    </row>
    <row r="285" spans="1:53" x14ac:dyDescent="0.25">
      <c r="A285" s="1" t="s">
        <v>283</v>
      </c>
      <c r="B285" s="9" t="s">
        <v>1600</v>
      </c>
      <c r="C285" s="9" t="s">
        <v>1601</v>
      </c>
      <c r="D285" s="9" t="s">
        <v>1602</v>
      </c>
      <c r="E285" s="9" t="s">
        <v>1008</v>
      </c>
      <c r="F285" s="10">
        <v>45376</v>
      </c>
      <c r="G285" s="9" t="s">
        <v>1019</v>
      </c>
      <c r="I285" s="9" t="s">
        <v>1035</v>
      </c>
      <c r="J285" s="9" t="s">
        <v>1048</v>
      </c>
      <c r="K285" s="8" t="s">
        <v>1006</v>
      </c>
      <c r="L285" s="8" t="s">
        <v>1007</v>
      </c>
      <c r="M285" s="8" t="s">
        <v>2933</v>
      </c>
      <c r="N285" s="8" t="s">
        <v>2937</v>
      </c>
      <c r="O285" s="1" t="s">
        <v>2934</v>
      </c>
      <c r="P285">
        <v>30</v>
      </c>
      <c r="Q285">
        <v>30</v>
      </c>
      <c r="R285">
        <v>0</v>
      </c>
      <c r="S285">
        <f t="shared" si="44"/>
        <v>30</v>
      </c>
      <c r="T285" s="1" t="s">
        <v>2935</v>
      </c>
      <c r="U285" s="1" t="s">
        <v>2932</v>
      </c>
      <c r="V285" s="3">
        <f t="shared" si="45"/>
        <v>40000</v>
      </c>
      <c r="W285" s="3">
        <f t="shared" si="46"/>
        <v>16000</v>
      </c>
      <c r="X285" s="3">
        <f t="shared" si="38"/>
        <v>1250</v>
      </c>
      <c r="Y285" s="3">
        <f t="shared" si="39"/>
        <v>1600</v>
      </c>
      <c r="Z285" s="3">
        <f t="shared" si="40"/>
        <v>1800</v>
      </c>
      <c r="AA285" s="3">
        <v>0</v>
      </c>
      <c r="AB285" s="3">
        <f>ROUND(U285 - (V285+W285+X285+Y285) - (U285/Q285 * 2),0)</f>
        <v>34483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f>SUM(V285+W285+X285+Y285+AB285)</f>
        <v>93333</v>
      </c>
      <c r="AK285" s="3">
        <f>SUM(AJ285-AA285)</f>
        <v>93333</v>
      </c>
      <c r="AL285" s="3">
        <f>IF(V285&lt;=15000,V285*12%,1800)</f>
        <v>1800</v>
      </c>
      <c r="AM285" s="3">
        <v>0</v>
      </c>
      <c r="AN285" s="3">
        <f t="shared" si="41"/>
        <v>1800</v>
      </c>
      <c r="AO285" s="12">
        <v>200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3">
        <f t="shared" si="43"/>
        <v>200</v>
      </c>
      <c r="AV285" s="3">
        <f>SUM(AJ285 - AN285 - AU285)</f>
        <v>91333</v>
      </c>
      <c r="AW285" s="11">
        <v>0</v>
      </c>
      <c r="AX285" s="11">
        <v>0</v>
      </c>
      <c r="AY285" s="11">
        <v>0</v>
      </c>
      <c r="AZ285" s="11">
        <v>0</v>
      </c>
      <c r="BA285" s="3">
        <f t="shared" si="42"/>
        <v>91333</v>
      </c>
    </row>
    <row r="286" spans="1:53" x14ac:dyDescent="0.25">
      <c r="A286" s="1" t="s">
        <v>284</v>
      </c>
      <c r="B286" s="9" t="s">
        <v>1598</v>
      </c>
      <c r="C286" s="9" t="s">
        <v>1023</v>
      </c>
      <c r="D286" s="9" t="s">
        <v>1599</v>
      </c>
      <c r="E286" s="9" t="s">
        <v>1008</v>
      </c>
      <c r="F286" s="10">
        <v>45355</v>
      </c>
      <c r="G286" s="9" t="s">
        <v>1013</v>
      </c>
      <c r="I286" s="9" t="s">
        <v>1014</v>
      </c>
      <c r="J286" s="9" t="s">
        <v>1021</v>
      </c>
      <c r="K286" s="8" t="s">
        <v>1006</v>
      </c>
      <c r="L286" s="8" t="s">
        <v>1007</v>
      </c>
      <c r="M286" s="8" t="s">
        <v>2933</v>
      </c>
      <c r="N286" s="8" t="s">
        <v>2937</v>
      </c>
      <c r="O286" s="1" t="s">
        <v>2934</v>
      </c>
      <c r="P286">
        <v>30</v>
      </c>
      <c r="Q286">
        <v>30</v>
      </c>
      <c r="R286">
        <v>0</v>
      </c>
      <c r="S286">
        <f t="shared" si="44"/>
        <v>30</v>
      </c>
      <c r="T286" s="1" t="s">
        <v>2935</v>
      </c>
      <c r="U286" s="1" t="s">
        <v>2932</v>
      </c>
      <c r="V286" s="3">
        <f t="shared" si="45"/>
        <v>40000</v>
      </c>
      <c r="W286" s="3">
        <f t="shared" si="46"/>
        <v>16000</v>
      </c>
      <c r="X286" s="3">
        <f t="shared" si="38"/>
        <v>1250</v>
      </c>
      <c r="Y286" s="3">
        <f t="shared" si="39"/>
        <v>1600</v>
      </c>
      <c r="Z286" s="3">
        <f t="shared" si="40"/>
        <v>1800</v>
      </c>
      <c r="AA286" s="3">
        <v>0</v>
      </c>
      <c r="AB286" s="3">
        <f>ROUND(U286 - (V286+W286+X286+Y286) - (U286/Q286 * 2),0)</f>
        <v>34483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f>SUM(V286+W286+X286+Y286+AB286)</f>
        <v>93333</v>
      </c>
      <c r="AK286" s="3">
        <f>SUM(AJ286-AA286)</f>
        <v>93333</v>
      </c>
      <c r="AL286" s="3">
        <f>IF(V286&lt;=15000,V286*12%,1800)</f>
        <v>1800</v>
      </c>
      <c r="AM286" s="3">
        <v>0</v>
      </c>
      <c r="AN286" s="3">
        <f t="shared" si="41"/>
        <v>1800</v>
      </c>
      <c r="AO286" s="12">
        <v>200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3">
        <f t="shared" si="43"/>
        <v>200</v>
      </c>
      <c r="AV286" s="3">
        <f>SUM(AJ286 - AN286 - AU286)</f>
        <v>91333</v>
      </c>
      <c r="AW286" s="11">
        <v>0</v>
      </c>
      <c r="AX286" s="11">
        <v>0</v>
      </c>
      <c r="AY286" s="11">
        <v>0</v>
      </c>
      <c r="AZ286" s="11">
        <v>0</v>
      </c>
      <c r="BA286" s="3">
        <f t="shared" si="42"/>
        <v>91333</v>
      </c>
    </row>
    <row r="287" spans="1:53" x14ac:dyDescent="0.25">
      <c r="A287" s="1" t="s">
        <v>285</v>
      </c>
      <c r="B287" s="9" t="s">
        <v>1658</v>
      </c>
      <c r="C287" s="9" t="s">
        <v>1026</v>
      </c>
      <c r="D287" s="9" t="s">
        <v>1659</v>
      </c>
      <c r="E287" s="9" t="s">
        <v>1012</v>
      </c>
      <c r="F287" s="10">
        <v>45357</v>
      </c>
      <c r="G287" s="9" t="s">
        <v>1019</v>
      </c>
      <c r="I287" s="9" t="s">
        <v>1014</v>
      </c>
      <c r="J287" s="9" t="s">
        <v>1015</v>
      </c>
      <c r="K287" s="8" t="s">
        <v>1006</v>
      </c>
      <c r="L287" s="8" t="s">
        <v>1007</v>
      </c>
      <c r="M287" s="8" t="s">
        <v>2933</v>
      </c>
      <c r="N287" s="8" t="s">
        <v>2937</v>
      </c>
      <c r="O287" s="1" t="s">
        <v>2934</v>
      </c>
      <c r="P287">
        <v>30</v>
      </c>
      <c r="Q287">
        <v>30</v>
      </c>
      <c r="R287">
        <v>0</v>
      </c>
      <c r="S287">
        <f t="shared" si="44"/>
        <v>30</v>
      </c>
      <c r="T287" s="1" t="s">
        <v>2935</v>
      </c>
      <c r="U287" s="1" t="s">
        <v>2932</v>
      </c>
      <c r="V287" s="3">
        <f t="shared" si="45"/>
        <v>40000</v>
      </c>
      <c r="W287" s="3">
        <f t="shared" si="46"/>
        <v>16000</v>
      </c>
      <c r="X287" s="3">
        <f t="shared" si="38"/>
        <v>1250</v>
      </c>
      <c r="Y287" s="3">
        <f t="shared" si="39"/>
        <v>1600</v>
      </c>
      <c r="Z287" s="3">
        <f t="shared" si="40"/>
        <v>1800</v>
      </c>
      <c r="AA287" s="3">
        <v>0</v>
      </c>
      <c r="AB287" s="3">
        <f>ROUND(U287 - (V287+W287+X287+Y287) - (U287/Q287 * 2),0)</f>
        <v>34483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f>SUM(V287+W287+X287+Y287+AB287)</f>
        <v>93333</v>
      </c>
      <c r="AK287" s="3">
        <f>SUM(AJ287-AA287)</f>
        <v>93333</v>
      </c>
      <c r="AL287" s="3">
        <f>IF(V287&lt;=15000,V287*12%,1800)</f>
        <v>1800</v>
      </c>
      <c r="AM287" s="3">
        <v>0</v>
      </c>
      <c r="AN287" s="3">
        <f t="shared" si="41"/>
        <v>1800</v>
      </c>
      <c r="AO287" s="12">
        <v>200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3">
        <f t="shared" si="43"/>
        <v>200</v>
      </c>
      <c r="AV287" s="3">
        <f>SUM(AJ287 - AN287 - AU287)</f>
        <v>91333</v>
      </c>
      <c r="AW287" s="11">
        <v>0</v>
      </c>
      <c r="AX287" s="11">
        <v>0</v>
      </c>
      <c r="AY287" s="11">
        <v>0</v>
      </c>
      <c r="AZ287" s="11">
        <v>0</v>
      </c>
      <c r="BA287" s="3">
        <f t="shared" si="42"/>
        <v>91333</v>
      </c>
    </row>
    <row r="288" spans="1:53" x14ac:dyDescent="0.25">
      <c r="A288" s="1" t="s">
        <v>286</v>
      </c>
      <c r="B288" s="9" t="s">
        <v>1656</v>
      </c>
      <c r="C288" s="9" t="s">
        <v>1026</v>
      </c>
      <c r="D288" s="9" t="s">
        <v>1657</v>
      </c>
      <c r="E288" s="9" t="s">
        <v>1012</v>
      </c>
      <c r="F288" s="10">
        <v>45357</v>
      </c>
      <c r="G288" s="9" t="s">
        <v>1019</v>
      </c>
      <c r="I288" s="9" t="s">
        <v>1014</v>
      </c>
      <c r="J288" s="9" t="s">
        <v>1015</v>
      </c>
      <c r="K288" s="8" t="s">
        <v>1006</v>
      </c>
      <c r="L288" s="8" t="s">
        <v>1007</v>
      </c>
      <c r="M288" s="8" t="s">
        <v>2933</v>
      </c>
      <c r="N288" s="8" t="s">
        <v>2937</v>
      </c>
      <c r="O288" s="1" t="s">
        <v>2934</v>
      </c>
      <c r="P288">
        <v>30</v>
      </c>
      <c r="Q288">
        <v>30</v>
      </c>
      <c r="R288">
        <v>0</v>
      </c>
      <c r="S288">
        <f t="shared" si="44"/>
        <v>30</v>
      </c>
      <c r="T288" s="1" t="s">
        <v>2935</v>
      </c>
      <c r="U288" s="1" t="s">
        <v>2932</v>
      </c>
      <c r="V288" s="3">
        <f t="shared" si="45"/>
        <v>40000</v>
      </c>
      <c r="W288" s="3">
        <f t="shared" si="46"/>
        <v>16000</v>
      </c>
      <c r="X288" s="3">
        <f t="shared" si="38"/>
        <v>1250</v>
      </c>
      <c r="Y288" s="3">
        <f t="shared" si="39"/>
        <v>1600</v>
      </c>
      <c r="Z288" s="3">
        <f t="shared" si="40"/>
        <v>1800</v>
      </c>
      <c r="AA288" s="3">
        <v>0</v>
      </c>
      <c r="AB288" s="3">
        <f>ROUND(U288 - (V288+W288+X288+Y288) - (U288/Q288 * 2),0)</f>
        <v>34483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f>SUM(V288+W288+X288+Y288+AB288)</f>
        <v>93333</v>
      </c>
      <c r="AK288" s="3">
        <f>SUM(AJ288-AA288)</f>
        <v>93333</v>
      </c>
      <c r="AL288" s="3">
        <f>IF(V288&lt;=15000,V288*12%,1800)</f>
        <v>1800</v>
      </c>
      <c r="AM288" s="3">
        <v>0</v>
      </c>
      <c r="AN288" s="3">
        <f t="shared" si="41"/>
        <v>1800</v>
      </c>
      <c r="AO288" s="12">
        <v>200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3">
        <f t="shared" si="43"/>
        <v>200</v>
      </c>
      <c r="AV288" s="3">
        <f>SUM(AJ288 - AN288 - AU288)</f>
        <v>91333</v>
      </c>
      <c r="AW288" s="11">
        <v>0</v>
      </c>
      <c r="AX288" s="11">
        <v>0</v>
      </c>
      <c r="AY288" s="11">
        <v>0</v>
      </c>
      <c r="AZ288" s="11">
        <v>0</v>
      </c>
      <c r="BA288" s="3">
        <f t="shared" si="42"/>
        <v>91333</v>
      </c>
    </row>
    <row r="289" spans="1:53" x14ac:dyDescent="0.25">
      <c r="A289" s="1" t="s">
        <v>287</v>
      </c>
      <c r="B289" s="9" t="s">
        <v>1654</v>
      </c>
      <c r="C289" s="9" t="s">
        <v>1026</v>
      </c>
      <c r="D289" s="9" t="s">
        <v>1655</v>
      </c>
      <c r="E289" s="9" t="s">
        <v>1008</v>
      </c>
      <c r="F289" s="10">
        <v>45362</v>
      </c>
      <c r="G289" s="9" t="s">
        <v>1019</v>
      </c>
      <c r="I289" s="9" t="s">
        <v>1014</v>
      </c>
      <c r="J289" s="9" t="s">
        <v>1015</v>
      </c>
      <c r="K289" s="8" t="s">
        <v>1006</v>
      </c>
      <c r="L289" s="8" t="s">
        <v>1007</v>
      </c>
      <c r="M289" s="8" t="s">
        <v>2933</v>
      </c>
      <c r="N289" s="8" t="s">
        <v>2937</v>
      </c>
      <c r="O289" s="1" t="s">
        <v>2934</v>
      </c>
      <c r="P289">
        <v>30</v>
      </c>
      <c r="Q289">
        <v>30</v>
      </c>
      <c r="R289">
        <v>0</v>
      </c>
      <c r="S289">
        <f t="shared" si="44"/>
        <v>30</v>
      </c>
      <c r="T289" s="1" t="s">
        <v>2935</v>
      </c>
      <c r="U289" s="1" t="s">
        <v>2932</v>
      </c>
      <c r="V289" s="3">
        <f t="shared" si="45"/>
        <v>40000</v>
      </c>
      <c r="W289" s="3">
        <f t="shared" si="46"/>
        <v>16000</v>
      </c>
      <c r="X289" s="3">
        <f t="shared" si="38"/>
        <v>1250</v>
      </c>
      <c r="Y289" s="3">
        <f t="shared" si="39"/>
        <v>1600</v>
      </c>
      <c r="Z289" s="3">
        <f t="shared" si="40"/>
        <v>1800</v>
      </c>
      <c r="AA289" s="3">
        <v>0</v>
      </c>
      <c r="AB289" s="3">
        <f>ROUND(U289 - (V289+W289+X289+Y289) - (U289/Q289 * 2),0)</f>
        <v>34483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f>SUM(V289+W289+X289+Y289+AB289)</f>
        <v>93333</v>
      </c>
      <c r="AK289" s="3">
        <f>SUM(AJ289-AA289)</f>
        <v>93333</v>
      </c>
      <c r="AL289" s="3">
        <f>IF(V289&lt;=15000,V289*12%,1800)</f>
        <v>1800</v>
      </c>
      <c r="AM289" s="3">
        <v>0</v>
      </c>
      <c r="AN289" s="3">
        <f t="shared" si="41"/>
        <v>1800</v>
      </c>
      <c r="AO289" s="12">
        <v>200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3">
        <f t="shared" si="43"/>
        <v>200</v>
      </c>
      <c r="AV289" s="3">
        <f>SUM(AJ289 - AN289 - AU289)</f>
        <v>91333</v>
      </c>
      <c r="AW289" s="11">
        <v>0</v>
      </c>
      <c r="AX289" s="11">
        <v>0</v>
      </c>
      <c r="AY289" s="11">
        <v>0</v>
      </c>
      <c r="AZ289" s="11">
        <v>0</v>
      </c>
      <c r="BA289" s="3">
        <f t="shared" si="42"/>
        <v>91333</v>
      </c>
    </row>
    <row r="290" spans="1:53" x14ac:dyDescent="0.25">
      <c r="A290" s="1" t="s">
        <v>288</v>
      </c>
      <c r="B290" s="9" t="s">
        <v>1652</v>
      </c>
      <c r="C290" s="9" t="s">
        <v>1063</v>
      </c>
      <c r="D290" s="9" t="s">
        <v>1653</v>
      </c>
      <c r="E290" s="9" t="s">
        <v>1012</v>
      </c>
      <c r="F290" s="10">
        <v>45362</v>
      </c>
      <c r="G290" s="9" t="s">
        <v>1019</v>
      </c>
      <c r="I290" s="9" t="s">
        <v>1014</v>
      </c>
      <c r="J290" s="9" t="s">
        <v>1015</v>
      </c>
      <c r="K290" s="8" t="s">
        <v>1006</v>
      </c>
      <c r="L290" s="8" t="s">
        <v>1007</v>
      </c>
      <c r="M290" s="8" t="s">
        <v>2933</v>
      </c>
      <c r="N290" s="8" t="s">
        <v>2937</v>
      </c>
      <c r="O290" s="1" t="s">
        <v>2934</v>
      </c>
      <c r="P290">
        <v>30</v>
      </c>
      <c r="Q290">
        <v>30</v>
      </c>
      <c r="R290">
        <v>0</v>
      </c>
      <c r="S290">
        <f t="shared" si="44"/>
        <v>30</v>
      </c>
      <c r="T290" s="1" t="s">
        <v>2935</v>
      </c>
      <c r="U290" s="1" t="s">
        <v>2932</v>
      </c>
      <c r="V290" s="3">
        <f t="shared" si="45"/>
        <v>40000</v>
      </c>
      <c r="W290" s="3">
        <f t="shared" si="46"/>
        <v>16000</v>
      </c>
      <c r="X290" s="3">
        <f t="shared" si="38"/>
        <v>1250</v>
      </c>
      <c r="Y290" s="3">
        <f t="shared" si="39"/>
        <v>1600</v>
      </c>
      <c r="Z290" s="3">
        <f t="shared" si="40"/>
        <v>1800</v>
      </c>
      <c r="AA290" s="3">
        <v>0</v>
      </c>
      <c r="AB290" s="3">
        <f>ROUND(U290 - (V290+W290+X290+Y290) - (U290/Q290 * 2),0)</f>
        <v>34483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f>SUM(V290+W290+X290+Y290+AB290)</f>
        <v>93333</v>
      </c>
      <c r="AK290" s="3">
        <f>SUM(AJ290-AA290)</f>
        <v>93333</v>
      </c>
      <c r="AL290" s="3">
        <f>IF(V290&lt;=15000,V290*12%,1800)</f>
        <v>1800</v>
      </c>
      <c r="AM290" s="3">
        <v>0</v>
      </c>
      <c r="AN290" s="3">
        <f t="shared" si="41"/>
        <v>1800</v>
      </c>
      <c r="AO290" s="12">
        <v>200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3">
        <f t="shared" si="43"/>
        <v>200</v>
      </c>
      <c r="AV290" s="3">
        <f>SUM(AJ290 - AN290 - AU290)</f>
        <v>91333</v>
      </c>
      <c r="AW290" s="11">
        <v>0</v>
      </c>
      <c r="AX290" s="11">
        <v>0</v>
      </c>
      <c r="AY290" s="11">
        <v>0</v>
      </c>
      <c r="AZ290" s="11">
        <v>0</v>
      </c>
      <c r="BA290" s="3">
        <f t="shared" si="42"/>
        <v>91333</v>
      </c>
    </row>
    <row r="291" spans="1:53" x14ac:dyDescent="0.25">
      <c r="A291" s="1" t="s">
        <v>289</v>
      </c>
      <c r="B291" s="9" t="s">
        <v>1650</v>
      </c>
      <c r="C291" s="9" t="s">
        <v>1063</v>
      </c>
      <c r="D291" s="9" t="s">
        <v>1651</v>
      </c>
      <c r="E291" s="9" t="s">
        <v>1008</v>
      </c>
      <c r="F291" s="10">
        <v>45369</v>
      </c>
      <c r="G291" s="9" t="s">
        <v>1013</v>
      </c>
      <c r="I291" s="9" t="s">
        <v>1014</v>
      </c>
      <c r="J291" s="9" t="s">
        <v>1015</v>
      </c>
      <c r="K291" s="8" t="s">
        <v>1006</v>
      </c>
      <c r="L291" s="8" t="s">
        <v>1007</v>
      </c>
      <c r="M291" s="8" t="s">
        <v>2933</v>
      </c>
      <c r="N291" s="8" t="s">
        <v>2937</v>
      </c>
      <c r="O291" s="1" t="s">
        <v>2934</v>
      </c>
      <c r="P291">
        <v>30</v>
      </c>
      <c r="Q291">
        <v>30</v>
      </c>
      <c r="R291">
        <v>0</v>
      </c>
      <c r="S291">
        <f t="shared" si="44"/>
        <v>30</v>
      </c>
      <c r="T291" s="1" t="s">
        <v>2935</v>
      </c>
      <c r="U291" s="1" t="s">
        <v>2932</v>
      </c>
      <c r="V291" s="3">
        <f t="shared" si="45"/>
        <v>40000</v>
      </c>
      <c r="W291" s="3">
        <f t="shared" si="46"/>
        <v>16000</v>
      </c>
      <c r="X291" s="3">
        <f t="shared" si="38"/>
        <v>1250</v>
      </c>
      <c r="Y291" s="3">
        <f t="shared" si="39"/>
        <v>1600</v>
      </c>
      <c r="Z291" s="3">
        <f t="shared" si="40"/>
        <v>1800</v>
      </c>
      <c r="AA291" s="3">
        <v>0</v>
      </c>
      <c r="AB291" s="3">
        <f>ROUND(U291 - (V291+W291+X291+Y291) - (U291/Q291 * 2),0)</f>
        <v>34483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f>SUM(V291+W291+X291+Y291+AB291)</f>
        <v>93333</v>
      </c>
      <c r="AK291" s="3">
        <f>SUM(AJ291-AA291)</f>
        <v>93333</v>
      </c>
      <c r="AL291" s="3">
        <f>IF(V291&lt;=15000,V291*12%,1800)</f>
        <v>1800</v>
      </c>
      <c r="AM291" s="3">
        <v>0</v>
      </c>
      <c r="AN291" s="3">
        <f t="shared" si="41"/>
        <v>1800</v>
      </c>
      <c r="AO291" s="12">
        <v>200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3">
        <f t="shared" si="43"/>
        <v>200</v>
      </c>
      <c r="AV291" s="3">
        <f>SUM(AJ291 - AN291 - AU291)</f>
        <v>91333</v>
      </c>
      <c r="AW291" s="11">
        <v>0</v>
      </c>
      <c r="AX291" s="11">
        <v>0</v>
      </c>
      <c r="AY291" s="11">
        <v>0</v>
      </c>
      <c r="AZ291" s="11">
        <v>0</v>
      </c>
      <c r="BA291" s="3">
        <f t="shared" si="42"/>
        <v>91333</v>
      </c>
    </row>
    <row r="292" spans="1:53" x14ac:dyDescent="0.25">
      <c r="A292" s="1" t="s">
        <v>290</v>
      </c>
      <c r="B292" s="9" t="s">
        <v>1648</v>
      </c>
      <c r="C292" s="9" t="s">
        <v>1026</v>
      </c>
      <c r="D292" s="9" t="s">
        <v>1649</v>
      </c>
      <c r="E292" s="9" t="s">
        <v>1008</v>
      </c>
      <c r="F292" s="10">
        <v>45383</v>
      </c>
      <c r="G292" s="9" t="s">
        <v>1019</v>
      </c>
      <c r="I292" s="9" t="s">
        <v>1014</v>
      </c>
      <c r="J292" s="9" t="s">
        <v>1015</v>
      </c>
      <c r="K292" s="8" t="s">
        <v>1006</v>
      </c>
      <c r="L292" s="8" t="s">
        <v>1007</v>
      </c>
      <c r="M292" s="8" t="s">
        <v>2933</v>
      </c>
      <c r="N292" s="8" t="s">
        <v>2937</v>
      </c>
      <c r="O292" s="1" t="s">
        <v>2934</v>
      </c>
      <c r="P292">
        <v>30</v>
      </c>
      <c r="Q292">
        <v>30</v>
      </c>
      <c r="R292">
        <v>0</v>
      </c>
      <c r="S292">
        <f t="shared" si="44"/>
        <v>30</v>
      </c>
      <c r="T292" s="1" t="s">
        <v>2935</v>
      </c>
      <c r="U292" s="1" t="s">
        <v>2932</v>
      </c>
      <c r="V292" s="3">
        <f t="shared" si="45"/>
        <v>40000</v>
      </c>
      <c r="W292" s="3">
        <f t="shared" si="46"/>
        <v>16000</v>
      </c>
      <c r="X292" s="3">
        <f t="shared" si="38"/>
        <v>1250</v>
      </c>
      <c r="Y292" s="3">
        <f t="shared" si="39"/>
        <v>1600</v>
      </c>
      <c r="Z292" s="3">
        <f t="shared" si="40"/>
        <v>1800</v>
      </c>
      <c r="AA292" s="3">
        <v>0</v>
      </c>
      <c r="AB292" s="3">
        <f>ROUND(U292 - (V292+W292+X292+Y292) - (U292/Q292 * 2),0)</f>
        <v>34483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f>SUM(V292+W292+X292+Y292+AB292)</f>
        <v>93333</v>
      </c>
      <c r="AK292" s="3">
        <f>SUM(AJ292-AA292)</f>
        <v>93333</v>
      </c>
      <c r="AL292" s="3">
        <f>IF(V292&lt;=15000,V292*12%,1800)</f>
        <v>1800</v>
      </c>
      <c r="AM292" s="3">
        <v>0</v>
      </c>
      <c r="AN292" s="3">
        <f t="shared" si="41"/>
        <v>1800</v>
      </c>
      <c r="AO292" s="12">
        <v>200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3">
        <f t="shared" si="43"/>
        <v>200</v>
      </c>
      <c r="AV292" s="3">
        <f>SUM(AJ292 - AN292 - AU292)</f>
        <v>91333</v>
      </c>
      <c r="AW292" s="11">
        <v>0</v>
      </c>
      <c r="AX292" s="11">
        <v>0</v>
      </c>
      <c r="AY292" s="11">
        <v>0</v>
      </c>
      <c r="AZ292" s="11">
        <v>0</v>
      </c>
      <c r="BA292" s="3">
        <f t="shared" si="42"/>
        <v>91333</v>
      </c>
    </row>
    <row r="293" spans="1:53" x14ac:dyDescent="0.25">
      <c r="A293" s="1" t="s">
        <v>291</v>
      </c>
      <c r="B293" s="9" t="s">
        <v>1646</v>
      </c>
      <c r="C293" s="9" t="s">
        <v>1063</v>
      </c>
      <c r="D293" s="9" t="s">
        <v>1647</v>
      </c>
      <c r="E293" s="9" t="s">
        <v>1012</v>
      </c>
      <c r="F293" s="10">
        <v>45385</v>
      </c>
      <c r="G293" s="9" t="s">
        <v>1019</v>
      </c>
      <c r="I293" s="9" t="s">
        <v>1020</v>
      </c>
      <c r="J293" s="9" t="s">
        <v>1015</v>
      </c>
      <c r="K293" s="8" t="s">
        <v>1006</v>
      </c>
      <c r="L293" s="8" t="s">
        <v>1007</v>
      </c>
      <c r="M293" s="8" t="s">
        <v>2933</v>
      </c>
      <c r="N293" s="8" t="s">
        <v>2937</v>
      </c>
      <c r="O293" s="1" t="s">
        <v>2934</v>
      </c>
      <c r="P293">
        <v>30</v>
      </c>
      <c r="Q293">
        <v>30</v>
      </c>
      <c r="R293">
        <v>0</v>
      </c>
      <c r="S293">
        <f t="shared" si="44"/>
        <v>30</v>
      </c>
      <c r="T293" s="1" t="s">
        <v>2935</v>
      </c>
      <c r="U293" s="1" t="s">
        <v>2932</v>
      </c>
      <c r="V293" s="3">
        <f t="shared" si="45"/>
        <v>40000</v>
      </c>
      <c r="W293" s="3">
        <f t="shared" si="46"/>
        <v>16000</v>
      </c>
      <c r="X293" s="3">
        <f t="shared" si="38"/>
        <v>1250</v>
      </c>
      <c r="Y293" s="3">
        <f t="shared" si="39"/>
        <v>1600</v>
      </c>
      <c r="Z293" s="3">
        <f t="shared" si="40"/>
        <v>1800</v>
      </c>
      <c r="AA293" s="3">
        <v>0</v>
      </c>
      <c r="AB293" s="3">
        <f>ROUND(U293 - (V293+W293+X293+Y293) - (U293/Q293 * 2),0)</f>
        <v>34483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f>SUM(V293+W293+X293+Y293+AB293)</f>
        <v>93333</v>
      </c>
      <c r="AK293" s="3">
        <f>SUM(AJ293-AA293)</f>
        <v>93333</v>
      </c>
      <c r="AL293" s="3">
        <f>IF(V293&lt;=15000,V293*12%,1800)</f>
        <v>1800</v>
      </c>
      <c r="AM293" s="3">
        <v>0</v>
      </c>
      <c r="AN293" s="3">
        <f t="shared" si="41"/>
        <v>1800</v>
      </c>
      <c r="AO293" s="12">
        <v>200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3">
        <f t="shared" si="43"/>
        <v>200</v>
      </c>
      <c r="AV293" s="3">
        <f>SUM(AJ293 - AN293 - AU293)</f>
        <v>91333</v>
      </c>
      <c r="AW293" s="11">
        <v>0</v>
      </c>
      <c r="AX293" s="11">
        <v>0</v>
      </c>
      <c r="AY293" s="11">
        <v>0</v>
      </c>
      <c r="AZ293" s="11">
        <v>0</v>
      </c>
      <c r="BA293" s="3">
        <f t="shared" si="42"/>
        <v>91333</v>
      </c>
    </row>
    <row r="294" spans="1:53" x14ac:dyDescent="0.25">
      <c r="A294" s="1" t="s">
        <v>292</v>
      </c>
      <c r="B294" s="9" t="s">
        <v>1644</v>
      </c>
      <c r="C294" s="9" t="s">
        <v>1029</v>
      </c>
      <c r="D294" s="9" t="s">
        <v>1645</v>
      </c>
      <c r="E294" s="9" t="s">
        <v>1012</v>
      </c>
      <c r="F294" s="10">
        <v>45399</v>
      </c>
      <c r="G294" s="9" t="s">
        <v>1013</v>
      </c>
      <c r="I294" s="9" t="s">
        <v>1020</v>
      </c>
      <c r="J294" s="9" t="s">
        <v>1031</v>
      </c>
      <c r="K294" s="8" t="s">
        <v>1006</v>
      </c>
      <c r="L294" s="8" t="s">
        <v>1007</v>
      </c>
      <c r="M294" s="8" t="s">
        <v>2933</v>
      </c>
      <c r="N294" s="8" t="s">
        <v>2937</v>
      </c>
      <c r="O294" s="1" t="s">
        <v>2934</v>
      </c>
      <c r="P294">
        <v>30</v>
      </c>
      <c r="Q294">
        <v>30</v>
      </c>
      <c r="R294">
        <v>0</v>
      </c>
      <c r="S294">
        <f t="shared" si="44"/>
        <v>30</v>
      </c>
      <c r="T294" s="1" t="s">
        <v>2935</v>
      </c>
      <c r="U294" s="1" t="s">
        <v>2932</v>
      </c>
      <c r="V294" s="3">
        <f t="shared" si="45"/>
        <v>40000</v>
      </c>
      <c r="W294" s="3">
        <f t="shared" si="46"/>
        <v>16000</v>
      </c>
      <c r="X294" s="3">
        <f t="shared" si="38"/>
        <v>1250</v>
      </c>
      <c r="Y294" s="3">
        <f t="shared" si="39"/>
        <v>1600</v>
      </c>
      <c r="Z294" s="3">
        <f t="shared" si="40"/>
        <v>1800</v>
      </c>
      <c r="AA294" s="3">
        <v>0</v>
      </c>
      <c r="AB294" s="3">
        <f>ROUND(U294 - (V294+W294+X294+Y294) - (U294/Q294 * 2),0)</f>
        <v>34483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f>SUM(V294+W294+X294+Y294+AB294)</f>
        <v>93333</v>
      </c>
      <c r="AK294" s="3">
        <f>SUM(AJ294-AA294)</f>
        <v>93333</v>
      </c>
      <c r="AL294" s="3">
        <f>IF(V294&lt;=15000,V294*12%,1800)</f>
        <v>1800</v>
      </c>
      <c r="AM294" s="3">
        <v>0</v>
      </c>
      <c r="AN294" s="3">
        <f t="shared" si="41"/>
        <v>1800</v>
      </c>
      <c r="AO294" s="12">
        <v>200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3">
        <f t="shared" si="43"/>
        <v>200</v>
      </c>
      <c r="AV294" s="3">
        <f>SUM(AJ294 - AN294 - AU294)</f>
        <v>91333</v>
      </c>
      <c r="AW294" s="11">
        <v>0</v>
      </c>
      <c r="AX294" s="11">
        <v>0</v>
      </c>
      <c r="AY294" s="11">
        <v>0</v>
      </c>
      <c r="AZ294" s="11">
        <v>0</v>
      </c>
      <c r="BA294" s="3">
        <f t="shared" si="42"/>
        <v>91333</v>
      </c>
    </row>
    <row r="295" spans="1:53" x14ac:dyDescent="0.25">
      <c r="A295" s="1" t="s">
        <v>293</v>
      </c>
      <c r="B295" s="9" t="s">
        <v>1642</v>
      </c>
      <c r="C295" s="9" t="s">
        <v>1010</v>
      </c>
      <c r="D295" s="9" t="s">
        <v>1643</v>
      </c>
      <c r="E295" s="9" t="s">
        <v>1012</v>
      </c>
      <c r="F295" s="10">
        <v>45392</v>
      </c>
      <c r="G295" s="9" t="s">
        <v>1019</v>
      </c>
      <c r="I295" s="9" t="s">
        <v>1014</v>
      </c>
      <c r="J295" s="9" t="s">
        <v>1015</v>
      </c>
      <c r="K295" s="8" t="s">
        <v>1006</v>
      </c>
      <c r="L295" s="8" t="s">
        <v>1007</v>
      </c>
      <c r="M295" s="8" t="s">
        <v>2933</v>
      </c>
      <c r="N295" s="8" t="s">
        <v>2937</v>
      </c>
      <c r="O295" s="1" t="s">
        <v>2934</v>
      </c>
      <c r="P295">
        <v>30</v>
      </c>
      <c r="Q295">
        <v>30</v>
      </c>
      <c r="R295">
        <v>0</v>
      </c>
      <c r="S295">
        <f t="shared" si="44"/>
        <v>30</v>
      </c>
      <c r="T295" s="1" t="s">
        <v>2935</v>
      </c>
      <c r="U295" s="1" t="s">
        <v>2932</v>
      </c>
      <c r="V295" s="3">
        <f t="shared" si="45"/>
        <v>40000</v>
      </c>
      <c r="W295" s="3">
        <f t="shared" si="46"/>
        <v>16000</v>
      </c>
      <c r="X295" s="3">
        <f t="shared" si="38"/>
        <v>1250</v>
      </c>
      <c r="Y295" s="3">
        <f t="shared" si="39"/>
        <v>1600</v>
      </c>
      <c r="Z295" s="3">
        <f t="shared" si="40"/>
        <v>1800</v>
      </c>
      <c r="AA295" s="3">
        <v>0</v>
      </c>
      <c r="AB295" s="3">
        <f>ROUND(U295 - (V295+W295+X295+Y295) - (U295/Q295 * 2),0)</f>
        <v>34483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f>SUM(V295+W295+X295+Y295+AB295)</f>
        <v>93333</v>
      </c>
      <c r="AK295" s="3">
        <f>SUM(AJ295-AA295)</f>
        <v>93333</v>
      </c>
      <c r="AL295" s="3">
        <f>IF(V295&lt;=15000,V295*12%,1800)</f>
        <v>1800</v>
      </c>
      <c r="AM295" s="3">
        <v>0</v>
      </c>
      <c r="AN295" s="3">
        <f t="shared" si="41"/>
        <v>1800</v>
      </c>
      <c r="AO295" s="12">
        <v>200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3">
        <f t="shared" si="43"/>
        <v>200</v>
      </c>
      <c r="AV295" s="3">
        <f>SUM(AJ295 - AN295 - AU295)</f>
        <v>91333</v>
      </c>
      <c r="AW295" s="11">
        <v>0</v>
      </c>
      <c r="AX295" s="11">
        <v>0</v>
      </c>
      <c r="AY295" s="11">
        <v>0</v>
      </c>
      <c r="AZ295" s="11">
        <v>0</v>
      </c>
      <c r="BA295" s="3">
        <f t="shared" si="42"/>
        <v>91333</v>
      </c>
    </row>
    <row r="296" spans="1:53" x14ac:dyDescent="0.25">
      <c r="A296" s="1" t="s">
        <v>294</v>
      </c>
      <c r="B296" s="9" t="s">
        <v>1640</v>
      </c>
      <c r="C296" s="9" t="s">
        <v>1010</v>
      </c>
      <c r="D296" s="9" t="s">
        <v>1641</v>
      </c>
      <c r="E296" s="9" t="s">
        <v>1012</v>
      </c>
      <c r="F296" s="10">
        <v>45394</v>
      </c>
      <c r="G296" s="9" t="s">
        <v>1019</v>
      </c>
      <c r="I296" s="9" t="s">
        <v>1014</v>
      </c>
      <c r="J296" s="9" t="s">
        <v>1015</v>
      </c>
      <c r="K296" s="8" t="s">
        <v>1006</v>
      </c>
      <c r="L296" s="8" t="s">
        <v>1007</v>
      </c>
      <c r="M296" s="8" t="s">
        <v>2933</v>
      </c>
      <c r="N296" s="8" t="s">
        <v>2937</v>
      </c>
      <c r="O296" s="1" t="s">
        <v>2934</v>
      </c>
      <c r="P296">
        <v>30</v>
      </c>
      <c r="Q296">
        <v>30</v>
      </c>
      <c r="R296">
        <v>0</v>
      </c>
      <c r="S296">
        <f t="shared" si="44"/>
        <v>30</v>
      </c>
      <c r="T296" s="1" t="s">
        <v>2935</v>
      </c>
      <c r="U296" s="1" t="s">
        <v>2932</v>
      </c>
      <c r="V296" s="3">
        <f t="shared" si="45"/>
        <v>40000</v>
      </c>
      <c r="W296" s="3">
        <f t="shared" si="46"/>
        <v>16000</v>
      </c>
      <c r="X296" s="3">
        <f t="shared" si="38"/>
        <v>1250</v>
      </c>
      <c r="Y296" s="3">
        <f t="shared" si="39"/>
        <v>1600</v>
      </c>
      <c r="Z296" s="3">
        <f t="shared" si="40"/>
        <v>1800</v>
      </c>
      <c r="AA296" s="3">
        <v>0</v>
      </c>
      <c r="AB296" s="3">
        <f>ROUND(U296 - (V296+W296+X296+Y296) - (U296/Q296 * 2),0)</f>
        <v>34483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f>SUM(V296+W296+X296+Y296+AB296)</f>
        <v>93333</v>
      </c>
      <c r="AK296" s="3">
        <f>SUM(AJ296-AA296)</f>
        <v>93333</v>
      </c>
      <c r="AL296" s="3">
        <f>IF(V296&lt;=15000,V296*12%,1800)</f>
        <v>1800</v>
      </c>
      <c r="AM296" s="3">
        <v>0</v>
      </c>
      <c r="AN296" s="3">
        <f t="shared" si="41"/>
        <v>1800</v>
      </c>
      <c r="AO296" s="12">
        <v>200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3">
        <f t="shared" si="43"/>
        <v>200</v>
      </c>
      <c r="AV296" s="3">
        <f>SUM(AJ296 - AN296 - AU296)</f>
        <v>91333</v>
      </c>
      <c r="AW296" s="11">
        <v>0</v>
      </c>
      <c r="AX296" s="11">
        <v>0</v>
      </c>
      <c r="AY296" s="11">
        <v>0</v>
      </c>
      <c r="AZ296" s="11">
        <v>0</v>
      </c>
      <c r="BA296" s="3">
        <f t="shared" si="42"/>
        <v>91333</v>
      </c>
    </row>
    <row r="297" spans="1:53" x14ac:dyDescent="0.25">
      <c r="A297" s="1" t="s">
        <v>295</v>
      </c>
      <c r="B297" s="9" t="s">
        <v>1638</v>
      </c>
      <c r="C297" s="9" t="s">
        <v>1010</v>
      </c>
      <c r="D297" s="9" t="s">
        <v>1639</v>
      </c>
      <c r="E297" s="9" t="s">
        <v>1012</v>
      </c>
      <c r="F297" s="10">
        <v>45397</v>
      </c>
      <c r="G297" s="9" t="s">
        <v>1019</v>
      </c>
      <c r="I297" s="9" t="s">
        <v>1014</v>
      </c>
      <c r="J297" s="9" t="s">
        <v>1015</v>
      </c>
      <c r="K297" s="8" t="s">
        <v>1006</v>
      </c>
      <c r="L297" s="8" t="s">
        <v>1007</v>
      </c>
      <c r="M297" s="8" t="s">
        <v>2933</v>
      </c>
      <c r="N297" s="8" t="s">
        <v>2937</v>
      </c>
      <c r="O297" s="1" t="s">
        <v>2934</v>
      </c>
      <c r="P297">
        <v>30</v>
      </c>
      <c r="Q297">
        <v>30</v>
      </c>
      <c r="R297">
        <v>0</v>
      </c>
      <c r="S297">
        <f t="shared" si="44"/>
        <v>30</v>
      </c>
      <c r="T297" s="1" t="s">
        <v>2935</v>
      </c>
      <c r="U297" s="1" t="s">
        <v>2932</v>
      </c>
      <c r="V297" s="3">
        <f t="shared" si="45"/>
        <v>40000</v>
      </c>
      <c r="W297" s="3">
        <f t="shared" si="46"/>
        <v>16000</v>
      </c>
      <c r="X297" s="3">
        <f t="shared" si="38"/>
        <v>1250</v>
      </c>
      <c r="Y297" s="3">
        <f t="shared" si="39"/>
        <v>1600</v>
      </c>
      <c r="Z297" s="3">
        <f t="shared" si="40"/>
        <v>1800</v>
      </c>
      <c r="AA297" s="3">
        <v>0</v>
      </c>
      <c r="AB297" s="3">
        <f>ROUND(U297 - (V297+W297+X297+Y297) - (U297/Q297 * 2),0)</f>
        <v>34483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f>SUM(V297+W297+X297+Y297+AB297)</f>
        <v>93333</v>
      </c>
      <c r="AK297" s="3">
        <f>SUM(AJ297-AA297)</f>
        <v>93333</v>
      </c>
      <c r="AL297" s="3">
        <f>IF(V297&lt;=15000,V297*12%,1800)</f>
        <v>1800</v>
      </c>
      <c r="AM297" s="3">
        <v>0</v>
      </c>
      <c r="AN297" s="3">
        <f t="shared" si="41"/>
        <v>1800</v>
      </c>
      <c r="AO297" s="12">
        <v>200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3">
        <f t="shared" si="43"/>
        <v>200</v>
      </c>
      <c r="AV297" s="3">
        <f>SUM(AJ297 - AN297 - AU297)</f>
        <v>91333</v>
      </c>
      <c r="AW297" s="11">
        <v>0</v>
      </c>
      <c r="AX297" s="11">
        <v>0</v>
      </c>
      <c r="AY297" s="11">
        <v>0</v>
      </c>
      <c r="AZ297" s="11">
        <v>0</v>
      </c>
      <c r="BA297" s="3">
        <f t="shared" si="42"/>
        <v>91333</v>
      </c>
    </row>
    <row r="298" spans="1:53" x14ac:dyDescent="0.25">
      <c r="A298" s="1" t="s">
        <v>296</v>
      </c>
      <c r="B298" s="9" t="s">
        <v>1636</v>
      </c>
      <c r="C298" s="9" t="s">
        <v>1063</v>
      </c>
      <c r="D298" s="9" t="s">
        <v>1637</v>
      </c>
      <c r="E298" s="9" t="s">
        <v>1012</v>
      </c>
      <c r="F298" s="10">
        <v>45404</v>
      </c>
      <c r="G298" s="9" t="s">
        <v>1013</v>
      </c>
      <c r="I298" s="9" t="s">
        <v>1014</v>
      </c>
      <c r="J298" s="9" t="s">
        <v>1015</v>
      </c>
      <c r="K298" s="8" t="s">
        <v>1006</v>
      </c>
      <c r="L298" s="8" t="s">
        <v>1007</v>
      </c>
      <c r="M298" s="8" t="s">
        <v>2933</v>
      </c>
      <c r="N298" s="8" t="s">
        <v>2937</v>
      </c>
      <c r="O298" s="1" t="s">
        <v>2934</v>
      </c>
      <c r="P298">
        <v>30</v>
      </c>
      <c r="Q298">
        <v>30</v>
      </c>
      <c r="R298">
        <v>0</v>
      </c>
      <c r="S298">
        <f t="shared" si="44"/>
        <v>30</v>
      </c>
      <c r="T298" s="1" t="s">
        <v>2935</v>
      </c>
      <c r="U298" s="1" t="s">
        <v>2932</v>
      </c>
      <c r="V298" s="3">
        <f t="shared" si="45"/>
        <v>40000</v>
      </c>
      <c r="W298" s="3">
        <f t="shared" si="46"/>
        <v>16000</v>
      </c>
      <c r="X298" s="3">
        <f t="shared" si="38"/>
        <v>1250</v>
      </c>
      <c r="Y298" s="3">
        <f t="shared" si="39"/>
        <v>1600</v>
      </c>
      <c r="Z298" s="3">
        <f t="shared" si="40"/>
        <v>1800</v>
      </c>
      <c r="AA298" s="3">
        <v>0</v>
      </c>
      <c r="AB298" s="3">
        <f>ROUND(U298 - (V298+W298+X298+Y298) - (U298/Q298 * 2),0)</f>
        <v>34483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f>SUM(V298+W298+X298+Y298+AB298)</f>
        <v>93333</v>
      </c>
      <c r="AK298" s="3">
        <f>SUM(AJ298-AA298)</f>
        <v>93333</v>
      </c>
      <c r="AL298" s="3">
        <f>IF(V298&lt;=15000,V298*12%,1800)</f>
        <v>1800</v>
      </c>
      <c r="AM298" s="3">
        <v>0</v>
      </c>
      <c r="AN298" s="3">
        <f t="shared" si="41"/>
        <v>1800</v>
      </c>
      <c r="AO298" s="12">
        <v>200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3">
        <f t="shared" si="43"/>
        <v>200</v>
      </c>
      <c r="AV298" s="3">
        <f>SUM(AJ298 - AN298 - AU298)</f>
        <v>91333</v>
      </c>
      <c r="AW298" s="11">
        <v>0</v>
      </c>
      <c r="AX298" s="11">
        <v>0</v>
      </c>
      <c r="AY298" s="11">
        <v>0</v>
      </c>
      <c r="AZ298" s="11">
        <v>0</v>
      </c>
      <c r="BA298" s="3">
        <f t="shared" si="42"/>
        <v>91333</v>
      </c>
    </row>
    <row r="299" spans="1:53" x14ac:dyDescent="0.25">
      <c r="A299" s="1" t="s">
        <v>297</v>
      </c>
      <c r="B299" s="9" t="s">
        <v>1634</v>
      </c>
      <c r="C299" s="9" t="s">
        <v>1010</v>
      </c>
      <c r="D299" s="9" t="s">
        <v>1635</v>
      </c>
      <c r="E299" s="9" t="s">
        <v>1008</v>
      </c>
      <c r="F299" s="10">
        <v>45404</v>
      </c>
      <c r="G299" s="9" t="s">
        <v>1019</v>
      </c>
      <c r="I299" s="9" t="s">
        <v>1014</v>
      </c>
      <c r="J299" s="9" t="s">
        <v>1015</v>
      </c>
      <c r="K299" s="8" t="s">
        <v>1006</v>
      </c>
      <c r="L299" s="8" t="s">
        <v>1007</v>
      </c>
      <c r="M299" s="8" t="s">
        <v>2933</v>
      </c>
      <c r="N299" s="8" t="s">
        <v>2937</v>
      </c>
      <c r="O299" s="1" t="s">
        <v>2934</v>
      </c>
      <c r="P299">
        <v>30</v>
      </c>
      <c r="Q299">
        <v>30</v>
      </c>
      <c r="R299">
        <v>0</v>
      </c>
      <c r="S299">
        <f t="shared" si="44"/>
        <v>30</v>
      </c>
      <c r="T299" s="1" t="s">
        <v>2935</v>
      </c>
      <c r="U299" s="1" t="s">
        <v>2932</v>
      </c>
      <c r="V299" s="3">
        <f t="shared" si="45"/>
        <v>40000</v>
      </c>
      <c r="W299" s="3">
        <f t="shared" si="46"/>
        <v>16000</v>
      </c>
      <c r="X299" s="3">
        <f t="shared" si="38"/>
        <v>1250</v>
      </c>
      <c r="Y299" s="3">
        <f t="shared" si="39"/>
        <v>1600</v>
      </c>
      <c r="Z299" s="3">
        <f t="shared" si="40"/>
        <v>1800</v>
      </c>
      <c r="AA299" s="3">
        <v>0</v>
      </c>
      <c r="AB299" s="3">
        <f>ROUND(U299 - (V299+W299+X299+Y299) - (U299/Q299 * 2),0)</f>
        <v>34483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f>SUM(V299+W299+X299+Y299+AB299)</f>
        <v>93333</v>
      </c>
      <c r="AK299" s="3">
        <f>SUM(AJ299-AA299)</f>
        <v>93333</v>
      </c>
      <c r="AL299" s="3">
        <f>IF(V299&lt;=15000,V299*12%,1800)</f>
        <v>1800</v>
      </c>
      <c r="AM299" s="3">
        <v>0</v>
      </c>
      <c r="AN299" s="3">
        <f t="shared" si="41"/>
        <v>1800</v>
      </c>
      <c r="AO299" s="12">
        <v>200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3">
        <f t="shared" si="43"/>
        <v>200</v>
      </c>
      <c r="AV299" s="3">
        <f>SUM(AJ299 - AN299 - AU299)</f>
        <v>91333</v>
      </c>
      <c r="AW299" s="11">
        <v>0</v>
      </c>
      <c r="AX299" s="11">
        <v>0</v>
      </c>
      <c r="AY299" s="11">
        <v>0</v>
      </c>
      <c r="AZ299" s="11">
        <v>0</v>
      </c>
      <c r="BA299" s="3">
        <f t="shared" si="42"/>
        <v>91333</v>
      </c>
    </row>
    <row r="300" spans="1:53" x14ac:dyDescent="0.25">
      <c r="A300" s="1" t="s">
        <v>298</v>
      </c>
      <c r="B300" s="9" t="s">
        <v>1632</v>
      </c>
      <c r="C300" s="9" t="s">
        <v>1010</v>
      </c>
      <c r="D300" s="9" t="s">
        <v>1633</v>
      </c>
      <c r="E300" s="9" t="s">
        <v>1012</v>
      </c>
      <c r="F300" s="10">
        <v>45407</v>
      </c>
      <c r="G300" s="9" t="s">
        <v>1019</v>
      </c>
      <c r="I300" s="9" t="s">
        <v>1014</v>
      </c>
      <c r="J300" s="9" t="s">
        <v>1015</v>
      </c>
      <c r="K300" s="8" t="s">
        <v>1006</v>
      </c>
      <c r="L300" s="8" t="s">
        <v>1007</v>
      </c>
      <c r="M300" s="8" t="s">
        <v>2933</v>
      </c>
      <c r="N300" s="8" t="s">
        <v>2937</v>
      </c>
      <c r="O300" s="1" t="s">
        <v>2934</v>
      </c>
      <c r="P300">
        <v>30</v>
      </c>
      <c r="Q300">
        <v>30</v>
      </c>
      <c r="R300">
        <v>0</v>
      </c>
      <c r="S300">
        <f t="shared" si="44"/>
        <v>30</v>
      </c>
      <c r="T300" s="1" t="s">
        <v>2935</v>
      </c>
      <c r="U300" s="1" t="s">
        <v>2932</v>
      </c>
      <c r="V300" s="3">
        <f t="shared" si="45"/>
        <v>40000</v>
      </c>
      <c r="W300" s="3">
        <f t="shared" si="46"/>
        <v>16000</v>
      </c>
      <c r="X300" s="3">
        <f t="shared" si="38"/>
        <v>1250</v>
      </c>
      <c r="Y300" s="3">
        <f t="shared" si="39"/>
        <v>1600</v>
      </c>
      <c r="Z300" s="3">
        <f t="shared" si="40"/>
        <v>1800</v>
      </c>
      <c r="AA300" s="3">
        <v>0</v>
      </c>
      <c r="AB300" s="3">
        <f>ROUND(U300 - (V300+W300+X300+Y300) - (U300/Q300 * 2),0)</f>
        <v>34483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f>SUM(V300+W300+X300+Y300+AB300)</f>
        <v>93333</v>
      </c>
      <c r="AK300" s="3">
        <f>SUM(AJ300-AA300)</f>
        <v>93333</v>
      </c>
      <c r="AL300" s="3">
        <f>IF(V300&lt;=15000,V300*12%,1800)</f>
        <v>1800</v>
      </c>
      <c r="AM300" s="3">
        <v>0</v>
      </c>
      <c r="AN300" s="3">
        <f t="shared" si="41"/>
        <v>1800</v>
      </c>
      <c r="AO300" s="12">
        <v>200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3">
        <f t="shared" si="43"/>
        <v>200</v>
      </c>
      <c r="AV300" s="3">
        <f>SUM(AJ300 - AN300 - AU300)</f>
        <v>91333</v>
      </c>
      <c r="AW300" s="11">
        <v>0</v>
      </c>
      <c r="AX300" s="11">
        <v>0</v>
      </c>
      <c r="AY300" s="11">
        <v>0</v>
      </c>
      <c r="AZ300" s="11">
        <v>0</v>
      </c>
      <c r="BA300" s="3">
        <f t="shared" si="42"/>
        <v>91333</v>
      </c>
    </row>
    <row r="301" spans="1:53" x14ac:dyDescent="0.25">
      <c r="A301" s="1" t="s">
        <v>299</v>
      </c>
      <c r="B301" s="9" t="s">
        <v>1630</v>
      </c>
      <c r="C301" s="9" t="s">
        <v>1063</v>
      </c>
      <c r="D301" s="9" t="s">
        <v>1631</v>
      </c>
      <c r="E301" s="9" t="s">
        <v>1012</v>
      </c>
      <c r="F301" s="10">
        <v>45407</v>
      </c>
      <c r="G301" s="9" t="s">
        <v>1013</v>
      </c>
      <c r="I301" s="9" t="s">
        <v>1014</v>
      </c>
      <c r="J301" s="9" t="s">
        <v>1015</v>
      </c>
      <c r="K301" s="8" t="s">
        <v>1006</v>
      </c>
      <c r="L301" s="8" t="s">
        <v>1007</v>
      </c>
      <c r="M301" s="8" t="s">
        <v>2933</v>
      </c>
      <c r="N301" s="8" t="s">
        <v>2937</v>
      </c>
      <c r="O301" s="1" t="s">
        <v>2934</v>
      </c>
      <c r="P301">
        <v>30</v>
      </c>
      <c r="Q301">
        <v>30</v>
      </c>
      <c r="R301">
        <v>0</v>
      </c>
      <c r="S301">
        <f t="shared" si="44"/>
        <v>30</v>
      </c>
      <c r="T301" s="1" t="s">
        <v>2935</v>
      </c>
      <c r="U301" s="1" t="s">
        <v>2932</v>
      </c>
      <c r="V301" s="3">
        <f t="shared" si="45"/>
        <v>40000</v>
      </c>
      <c r="W301" s="3">
        <f t="shared" si="46"/>
        <v>16000</v>
      </c>
      <c r="X301" s="3">
        <f t="shared" si="38"/>
        <v>1250</v>
      </c>
      <c r="Y301" s="3">
        <f t="shared" si="39"/>
        <v>1600</v>
      </c>
      <c r="Z301" s="3">
        <f t="shared" si="40"/>
        <v>1800</v>
      </c>
      <c r="AA301" s="3">
        <v>0</v>
      </c>
      <c r="AB301" s="3">
        <f>ROUND(U301 - (V301+W301+X301+Y301) - (U301/Q301 * 2),0)</f>
        <v>34483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f>SUM(V301+W301+X301+Y301+AB301)</f>
        <v>93333</v>
      </c>
      <c r="AK301" s="3">
        <f>SUM(AJ301-AA301)</f>
        <v>93333</v>
      </c>
      <c r="AL301" s="3">
        <f>IF(V301&lt;=15000,V301*12%,1800)</f>
        <v>1800</v>
      </c>
      <c r="AM301" s="3">
        <v>0</v>
      </c>
      <c r="AN301" s="3">
        <f t="shared" si="41"/>
        <v>1800</v>
      </c>
      <c r="AO301" s="12">
        <v>200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3">
        <f t="shared" si="43"/>
        <v>200</v>
      </c>
      <c r="AV301" s="3">
        <f>SUM(AJ301 - AN301 - AU301)</f>
        <v>91333</v>
      </c>
      <c r="AW301" s="11">
        <v>0</v>
      </c>
      <c r="AX301" s="11">
        <v>0</v>
      </c>
      <c r="AY301" s="11">
        <v>0</v>
      </c>
      <c r="AZ301" s="11">
        <v>0</v>
      </c>
      <c r="BA301" s="3">
        <f t="shared" si="42"/>
        <v>91333</v>
      </c>
    </row>
    <row r="302" spans="1:53" x14ac:dyDescent="0.25">
      <c r="A302" s="1" t="s">
        <v>300</v>
      </c>
      <c r="B302" s="9" t="s">
        <v>1628</v>
      </c>
      <c r="C302" s="9" t="s">
        <v>1010</v>
      </c>
      <c r="D302" s="9" t="s">
        <v>1629</v>
      </c>
      <c r="E302" s="9" t="s">
        <v>1012</v>
      </c>
      <c r="F302" s="10">
        <v>45411</v>
      </c>
      <c r="G302" s="9" t="s">
        <v>1019</v>
      </c>
      <c r="I302" s="9" t="s">
        <v>1014</v>
      </c>
      <c r="J302" s="9" t="s">
        <v>1015</v>
      </c>
      <c r="K302" s="8" t="s">
        <v>1006</v>
      </c>
      <c r="L302" s="8" t="s">
        <v>1007</v>
      </c>
      <c r="M302" s="8" t="s">
        <v>2933</v>
      </c>
      <c r="N302" s="8" t="s">
        <v>2937</v>
      </c>
      <c r="O302" s="1" t="s">
        <v>2934</v>
      </c>
      <c r="P302">
        <v>30</v>
      </c>
      <c r="Q302">
        <v>30</v>
      </c>
      <c r="R302">
        <v>0</v>
      </c>
      <c r="S302">
        <f t="shared" si="44"/>
        <v>30</v>
      </c>
      <c r="T302" s="1" t="s">
        <v>2935</v>
      </c>
      <c r="U302" s="1" t="s">
        <v>2932</v>
      </c>
      <c r="V302" s="3">
        <f t="shared" si="45"/>
        <v>40000</v>
      </c>
      <c r="W302" s="3">
        <f t="shared" si="46"/>
        <v>16000</v>
      </c>
      <c r="X302" s="3">
        <f t="shared" si="38"/>
        <v>1250</v>
      </c>
      <c r="Y302" s="3">
        <f t="shared" si="39"/>
        <v>1600</v>
      </c>
      <c r="Z302" s="3">
        <f t="shared" si="40"/>
        <v>1800</v>
      </c>
      <c r="AA302" s="3">
        <v>0</v>
      </c>
      <c r="AB302" s="3">
        <f>ROUND(U302 - (V302+W302+X302+Y302) - (U302/Q302 * 2),0)</f>
        <v>34483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f>SUM(V302+W302+X302+Y302+AB302)</f>
        <v>93333</v>
      </c>
      <c r="AK302" s="3">
        <f>SUM(AJ302-AA302)</f>
        <v>93333</v>
      </c>
      <c r="AL302" s="3">
        <f>IF(V302&lt;=15000,V302*12%,1800)</f>
        <v>1800</v>
      </c>
      <c r="AM302" s="3">
        <v>0</v>
      </c>
      <c r="AN302" s="3">
        <f t="shared" si="41"/>
        <v>1800</v>
      </c>
      <c r="AO302" s="12">
        <v>200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3">
        <f t="shared" si="43"/>
        <v>200</v>
      </c>
      <c r="AV302" s="3">
        <f>SUM(AJ302 - AN302 - AU302)</f>
        <v>91333</v>
      </c>
      <c r="AW302" s="11">
        <v>0</v>
      </c>
      <c r="AX302" s="11">
        <v>0</v>
      </c>
      <c r="AY302" s="11">
        <v>0</v>
      </c>
      <c r="AZ302" s="11">
        <v>0</v>
      </c>
      <c r="BA302" s="3">
        <f t="shared" si="42"/>
        <v>91333</v>
      </c>
    </row>
    <row r="303" spans="1:53" x14ac:dyDescent="0.25">
      <c r="A303" s="1" t="s">
        <v>301</v>
      </c>
      <c r="B303" s="9" t="s">
        <v>1690</v>
      </c>
      <c r="C303" s="9" t="s">
        <v>1063</v>
      </c>
      <c r="D303" s="9" t="s">
        <v>1691</v>
      </c>
      <c r="E303" s="9" t="s">
        <v>1012</v>
      </c>
      <c r="F303" s="10">
        <v>45411</v>
      </c>
      <c r="G303" s="9" t="s">
        <v>1013</v>
      </c>
      <c r="I303" s="9" t="s">
        <v>1014</v>
      </c>
      <c r="J303" s="9" t="s">
        <v>1015</v>
      </c>
      <c r="K303" s="8" t="s">
        <v>1006</v>
      </c>
      <c r="L303" s="8" t="s">
        <v>1007</v>
      </c>
      <c r="M303" s="8" t="s">
        <v>2933</v>
      </c>
      <c r="N303" s="8" t="s">
        <v>2937</v>
      </c>
      <c r="O303" s="1" t="s">
        <v>2934</v>
      </c>
      <c r="P303">
        <v>30</v>
      </c>
      <c r="Q303">
        <v>30</v>
      </c>
      <c r="R303">
        <v>0</v>
      </c>
      <c r="S303">
        <f t="shared" si="44"/>
        <v>30</v>
      </c>
      <c r="T303" s="1" t="s">
        <v>2935</v>
      </c>
      <c r="U303" s="1" t="s">
        <v>2932</v>
      </c>
      <c r="V303" s="3">
        <f t="shared" si="45"/>
        <v>40000</v>
      </c>
      <c r="W303" s="3">
        <f t="shared" si="46"/>
        <v>16000</v>
      </c>
      <c r="X303" s="3">
        <f t="shared" si="38"/>
        <v>1250</v>
      </c>
      <c r="Y303" s="3">
        <f t="shared" si="39"/>
        <v>1600</v>
      </c>
      <c r="Z303" s="3">
        <f t="shared" si="40"/>
        <v>1800</v>
      </c>
      <c r="AA303" s="3">
        <v>0</v>
      </c>
      <c r="AB303" s="3">
        <f>ROUND(U303 - (V303+W303+X303+Y303) - (U303/Q303 * 2),0)</f>
        <v>34483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f>SUM(V303+W303+X303+Y303+AB303)</f>
        <v>93333</v>
      </c>
      <c r="AK303" s="3">
        <f>SUM(AJ303-AA303)</f>
        <v>93333</v>
      </c>
      <c r="AL303" s="3">
        <f>IF(V303&lt;=15000,V303*12%,1800)</f>
        <v>1800</v>
      </c>
      <c r="AM303" s="3">
        <v>0</v>
      </c>
      <c r="AN303" s="3">
        <f t="shared" si="41"/>
        <v>1800</v>
      </c>
      <c r="AO303" s="12">
        <v>200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3">
        <f t="shared" si="43"/>
        <v>200</v>
      </c>
      <c r="AV303" s="3">
        <f>SUM(AJ303 - AN303 - AU303)</f>
        <v>91333</v>
      </c>
      <c r="AW303" s="11">
        <v>0</v>
      </c>
      <c r="AX303" s="11">
        <v>0</v>
      </c>
      <c r="AY303" s="11">
        <v>0</v>
      </c>
      <c r="AZ303" s="11">
        <v>0</v>
      </c>
      <c r="BA303" s="3">
        <f t="shared" si="42"/>
        <v>91333</v>
      </c>
    </row>
    <row r="304" spans="1:53" x14ac:dyDescent="0.25">
      <c r="A304" s="1" t="s">
        <v>302</v>
      </c>
      <c r="B304" s="9" t="s">
        <v>1688</v>
      </c>
      <c r="C304" s="9" t="s">
        <v>1063</v>
      </c>
      <c r="D304" s="9" t="s">
        <v>1689</v>
      </c>
      <c r="E304" s="9" t="s">
        <v>1012</v>
      </c>
      <c r="F304" s="10">
        <v>45413</v>
      </c>
      <c r="G304" s="9" t="s">
        <v>1019</v>
      </c>
      <c r="I304" s="9" t="s">
        <v>1014</v>
      </c>
      <c r="J304" s="9" t="s">
        <v>1015</v>
      </c>
      <c r="K304" s="8" t="s">
        <v>1006</v>
      </c>
      <c r="L304" s="8" t="s">
        <v>1007</v>
      </c>
      <c r="M304" s="8" t="s">
        <v>2933</v>
      </c>
      <c r="N304" s="8" t="s">
        <v>2937</v>
      </c>
      <c r="O304" s="1" t="s">
        <v>2934</v>
      </c>
      <c r="P304">
        <v>30</v>
      </c>
      <c r="Q304">
        <v>30</v>
      </c>
      <c r="R304">
        <v>0</v>
      </c>
      <c r="S304">
        <f t="shared" si="44"/>
        <v>30</v>
      </c>
      <c r="T304" s="1" t="s">
        <v>2935</v>
      </c>
      <c r="U304" s="1" t="s">
        <v>2932</v>
      </c>
      <c r="V304" s="3">
        <f t="shared" si="45"/>
        <v>40000</v>
      </c>
      <c r="W304" s="3">
        <f t="shared" si="46"/>
        <v>16000</v>
      </c>
      <c r="X304" s="3">
        <f t="shared" si="38"/>
        <v>1250</v>
      </c>
      <c r="Y304" s="3">
        <f t="shared" si="39"/>
        <v>1600</v>
      </c>
      <c r="Z304" s="3">
        <f t="shared" si="40"/>
        <v>1800</v>
      </c>
      <c r="AA304" s="3">
        <v>0</v>
      </c>
      <c r="AB304" s="3">
        <f>ROUND(U304 - (V304+W304+X304+Y304) - (U304/Q304 * 2),0)</f>
        <v>34483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f>SUM(V304+W304+X304+Y304+AB304)</f>
        <v>93333</v>
      </c>
      <c r="AK304" s="3">
        <f>SUM(AJ304-AA304)</f>
        <v>93333</v>
      </c>
      <c r="AL304" s="3">
        <f>IF(V304&lt;=15000,V304*12%,1800)</f>
        <v>1800</v>
      </c>
      <c r="AM304" s="3">
        <v>0</v>
      </c>
      <c r="AN304" s="3">
        <f t="shared" si="41"/>
        <v>1800</v>
      </c>
      <c r="AO304" s="12">
        <v>200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3">
        <f t="shared" si="43"/>
        <v>200</v>
      </c>
      <c r="AV304" s="3">
        <f>SUM(AJ304 - AN304 - AU304)</f>
        <v>91333</v>
      </c>
      <c r="AW304" s="11">
        <v>0</v>
      </c>
      <c r="AX304" s="11">
        <v>0</v>
      </c>
      <c r="AY304" s="11">
        <v>0</v>
      </c>
      <c r="AZ304" s="11">
        <v>0</v>
      </c>
      <c r="BA304" s="3">
        <f t="shared" si="42"/>
        <v>91333</v>
      </c>
    </row>
    <row r="305" spans="1:53" x14ac:dyDescent="0.25">
      <c r="A305" s="1" t="s">
        <v>303</v>
      </c>
      <c r="B305" s="9" t="s">
        <v>1686</v>
      </c>
      <c r="C305" s="9" t="s">
        <v>1010</v>
      </c>
      <c r="D305" s="9" t="s">
        <v>1687</v>
      </c>
      <c r="E305" s="9" t="s">
        <v>1012</v>
      </c>
      <c r="F305" s="10">
        <v>45415</v>
      </c>
      <c r="G305" s="9" t="s">
        <v>1019</v>
      </c>
      <c r="I305" s="9" t="s">
        <v>1014</v>
      </c>
      <c r="J305" s="9" t="s">
        <v>1015</v>
      </c>
      <c r="K305" s="8" t="s">
        <v>1006</v>
      </c>
      <c r="L305" s="8" t="s">
        <v>1007</v>
      </c>
      <c r="M305" s="8" t="s">
        <v>2933</v>
      </c>
      <c r="N305" s="8" t="s">
        <v>2937</v>
      </c>
      <c r="O305" s="1" t="s">
        <v>2934</v>
      </c>
      <c r="P305">
        <v>30</v>
      </c>
      <c r="Q305">
        <v>30</v>
      </c>
      <c r="R305">
        <v>0</v>
      </c>
      <c r="S305">
        <f t="shared" si="44"/>
        <v>30</v>
      </c>
      <c r="T305" s="1" t="s">
        <v>2935</v>
      </c>
      <c r="U305" s="1" t="s">
        <v>2932</v>
      </c>
      <c r="V305" s="3">
        <f t="shared" si="45"/>
        <v>40000</v>
      </c>
      <c r="W305" s="3">
        <f t="shared" si="46"/>
        <v>16000</v>
      </c>
      <c r="X305" s="3">
        <f t="shared" si="38"/>
        <v>1250</v>
      </c>
      <c r="Y305" s="3">
        <f t="shared" si="39"/>
        <v>1600</v>
      </c>
      <c r="Z305" s="3">
        <f t="shared" si="40"/>
        <v>1800</v>
      </c>
      <c r="AA305" s="3">
        <v>0</v>
      </c>
      <c r="AB305" s="3">
        <f>ROUND(U305 - (V305+W305+X305+Y305) - (U305/Q305 * 2),0)</f>
        <v>34483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f>SUM(V305+W305+X305+Y305+AB305)</f>
        <v>93333</v>
      </c>
      <c r="AK305" s="3">
        <f>SUM(AJ305-AA305)</f>
        <v>93333</v>
      </c>
      <c r="AL305" s="3">
        <f>IF(V305&lt;=15000,V305*12%,1800)</f>
        <v>1800</v>
      </c>
      <c r="AM305" s="3">
        <v>0</v>
      </c>
      <c r="AN305" s="3">
        <f t="shared" si="41"/>
        <v>1800</v>
      </c>
      <c r="AO305" s="12">
        <v>200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3">
        <f t="shared" si="43"/>
        <v>200</v>
      </c>
      <c r="AV305" s="3">
        <f>SUM(AJ305 - AN305 - AU305)</f>
        <v>91333</v>
      </c>
      <c r="AW305" s="11">
        <v>0</v>
      </c>
      <c r="AX305" s="11">
        <v>0</v>
      </c>
      <c r="AY305" s="11">
        <v>0</v>
      </c>
      <c r="AZ305" s="11">
        <v>0</v>
      </c>
      <c r="BA305" s="3">
        <f t="shared" si="42"/>
        <v>91333</v>
      </c>
    </row>
    <row r="306" spans="1:53" x14ac:dyDescent="0.25">
      <c r="A306" s="1" t="s">
        <v>304</v>
      </c>
      <c r="B306" s="9" t="s">
        <v>1684</v>
      </c>
      <c r="C306" s="9" t="s">
        <v>1029</v>
      </c>
      <c r="D306" s="9" t="s">
        <v>1685</v>
      </c>
      <c r="E306" s="9" t="s">
        <v>1008</v>
      </c>
      <c r="F306" s="10">
        <v>45432</v>
      </c>
      <c r="G306" s="9" t="s">
        <v>1013</v>
      </c>
      <c r="I306" s="9" t="s">
        <v>1042</v>
      </c>
      <c r="J306" s="9" t="s">
        <v>1031</v>
      </c>
      <c r="K306" s="8" t="s">
        <v>1006</v>
      </c>
      <c r="L306" s="8" t="s">
        <v>1007</v>
      </c>
      <c r="M306" s="8" t="s">
        <v>2933</v>
      </c>
      <c r="N306" s="8" t="s">
        <v>2937</v>
      </c>
      <c r="O306" s="1" t="s">
        <v>2934</v>
      </c>
      <c r="P306">
        <v>30</v>
      </c>
      <c r="Q306">
        <v>30</v>
      </c>
      <c r="R306">
        <v>0</v>
      </c>
      <c r="S306">
        <f t="shared" si="44"/>
        <v>30</v>
      </c>
      <c r="T306" s="1" t="s">
        <v>2935</v>
      </c>
      <c r="U306" s="1" t="s">
        <v>2932</v>
      </c>
      <c r="V306" s="3">
        <f t="shared" si="45"/>
        <v>40000</v>
      </c>
      <c r="W306" s="3">
        <f t="shared" si="46"/>
        <v>16000</v>
      </c>
      <c r="X306" s="3">
        <f t="shared" si="38"/>
        <v>1250</v>
      </c>
      <c r="Y306" s="3">
        <f t="shared" si="39"/>
        <v>1600</v>
      </c>
      <c r="Z306" s="3">
        <f t="shared" si="40"/>
        <v>1800</v>
      </c>
      <c r="AA306" s="3">
        <v>0</v>
      </c>
      <c r="AB306" s="3">
        <f>ROUND(U306 - (V306+W306+X306+Y306) - (U306/Q306 * 2),0)</f>
        <v>34483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f>SUM(V306+W306+X306+Y306+AB306)</f>
        <v>93333</v>
      </c>
      <c r="AK306" s="3">
        <f>SUM(AJ306-AA306)</f>
        <v>93333</v>
      </c>
      <c r="AL306" s="3">
        <f>IF(V306&lt;=15000,V306*12%,1800)</f>
        <v>1800</v>
      </c>
      <c r="AM306" s="3">
        <v>0</v>
      </c>
      <c r="AN306" s="3">
        <f t="shared" si="41"/>
        <v>1800</v>
      </c>
      <c r="AO306" s="12">
        <v>200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3">
        <f t="shared" si="43"/>
        <v>200</v>
      </c>
      <c r="AV306" s="3">
        <f>SUM(AJ306 - AN306 - AU306)</f>
        <v>91333</v>
      </c>
      <c r="AW306" s="11">
        <v>0</v>
      </c>
      <c r="AX306" s="11">
        <v>0</v>
      </c>
      <c r="AY306" s="11">
        <v>0</v>
      </c>
      <c r="AZ306" s="11">
        <v>0</v>
      </c>
      <c r="BA306" s="3">
        <f t="shared" si="42"/>
        <v>91333</v>
      </c>
    </row>
    <row r="307" spans="1:53" x14ac:dyDescent="0.25">
      <c r="A307" s="1" t="s">
        <v>305</v>
      </c>
      <c r="B307" s="9" t="s">
        <v>1682</v>
      </c>
      <c r="C307" s="9" t="s">
        <v>1023</v>
      </c>
      <c r="D307" s="9" t="s">
        <v>1683</v>
      </c>
      <c r="E307" s="9" t="s">
        <v>1012</v>
      </c>
      <c r="F307" s="10">
        <v>44389</v>
      </c>
      <c r="G307" s="9" t="s">
        <v>1019</v>
      </c>
      <c r="I307" s="9" t="s">
        <v>1035</v>
      </c>
      <c r="J307" s="9" t="s">
        <v>1021</v>
      </c>
      <c r="K307" s="8" t="s">
        <v>1006</v>
      </c>
      <c r="L307" s="8" t="s">
        <v>1007</v>
      </c>
      <c r="M307" s="8" t="s">
        <v>2933</v>
      </c>
      <c r="N307" s="8" t="s">
        <v>2937</v>
      </c>
      <c r="O307" s="1" t="s">
        <v>2934</v>
      </c>
      <c r="P307">
        <v>30</v>
      </c>
      <c r="Q307">
        <v>30</v>
      </c>
      <c r="R307">
        <v>0</v>
      </c>
      <c r="S307">
        <f t="shared" si="44"/>
        <v>30</v>
      </c>
      <c r="T307" s="1" t="s">
        <v>2935</v>
      </c>
      <c r="U307" s="1" t="s">
        <v>2932</v>
      </c>
      <c r="V307" s="3">
        <f t="shared" si="45"/>
        <v>40000</v>
      </c>
      <c r="W307" s="3">
        <f t="shared" si="46"/>
        <v>16000</v>
      </c>
      <c r="X307" s="3">
        <f t="shared" si="38"/>
        <v>1250</v>
      </c>
      <c r="Y307" s="3">
        <f t="shared" si="39"/>
        <v>1600</v>
      </c>
      <c r="Z307" s="3">
        <f t="shared" si="40"/>
        <v>1800</v>
      </c>
      <c r="AA307" s="3">
        <v>0</v>
      </c>
      <c r="AB307" s="3">
        <f>ROUND(U307 - (V307+W307+X307+Y307) - (U307/Q307 * 2),0)</f>
        <v>34483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f>SUM(V307+W307+X307+Y307+AB307)</f>
        <v>93333</v>
      </c>
      <c r="AK307" s="3">
        <f>SUM(AJ307-AA307)</f>
        <v>93333</v>
      </c>
      <c r="AL307" s="3">
        <f>IF(V307&lt;=15000,V307*12%,1800)</f>
        <v>1800</v>
      </c>
      <c r="AM307" s="3">
        <v>0</v>
      </c>
      <c r="AN307" s="3">
        <f t="shared" si="41"/>
        <v>1800</v>
      </c>
      <c r="AO307" s="12">
        <v>200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3">
        <f t="shared" si="43"/>
        <v>200</v>
      </c>
      <c r="AV307" s="3">
        <f>SUM(AJ307 - AN307 - AU307)</f>
        <v>91333</v>
      </c>
      <c r="AW307" s="11">
        <v>0</v>
      </c>
      <c r="AX307" s="11">
        <v>0</v>
      </c>
      <c r="AY307" s="11">
        <v>0</v>
      </c>
      <c r="AZ307" s="11">
        <v>0</v>
      </c>
      <c r="BA307" s="3">
        <f t="shared" si="42"/>
        <v>91333</v>
      </c>
    </row>
    <row r="308" spans="1:53" x14ac:dyDescent="0.25">
      <c r="A308" s="1" t="s">
        <v>306</v>
      </c>
      <c r="B308" s="9" t="s">
        <v>1680</v>
      </c>
      <c r="C308" s="9" t="s">
        <v>1216</v>
      </c>
      <c r="D308" s="9" t="s">
        <v>1681</v>
      </c>
      <c r="E308" s="9" t="s">
        <v>1012</v>
      </c>
      <c r="F308" s="10">
        <v>44398</v>
      </c>
      <c r="G308" s="9" t="s">
        <v>1019</v>
      </c>
      <c r="I308" s="9" t="s">
        <v>1035</v>
      </c>
      <c r="J308" s="9" t="s">
        <v>1021</v>
      </c>
      <c r="K308" s="8" t="s">
        <v>1006</v>
      </c>
      <c r="L308" s="8" t="s">
        <v>1007</v>
      </c>
      <c r="M308" s="8" t="s">
        <v>2933</v>
      </c>
      <c r="N308" s="8" t="s">
        <v>2937</v>
      </c>
      <c r="O308" s="1" t="s">
        <v>2934</v>
      </c>
      <c r="P308">
        <v>30</v>
      </c>
      <c r="Q308">
        <v>30</v>
      </c>
      <c r="R308">
        <v>0</v>
      </c>
      <c r="S308">
        <f t="shared" si="44"/>
        <v>30</v>
      </c>
      <c r="T308" s="1" t="s">
        <v>2935</v>
      </c>
      <c r="U308" s="1" t="s">
        <v>2932</v>
      </c>
      <c r="V308" s="3">
        <f t="shared" si="45"/>
        <v>40000</v>
      </c>
      <c r="W308" s="3">
        <f t="shared" si="46"/>
        <v>16000</v>
      </c>
      <c r="X308" s="3">
        <f t="shared" si="38"/>
        <v>1250</v>
      </c>
      <c r="Y308" s="3">
        <f t="shared" si="39"/>
        <v>1600</v>
      </c>
      <c r="Z308" s="3">
        <f t="shared" si="40"/>
        <v>1800</v>
      </c>
      <c r="AA308" s="3">
        <v>0</v>
      </c>
      <c r="AB308" s="3">
        <f>ROUND(U308 - (V308+W308+X308+Y308) - (U308/Q308 * 2),0)</f>
        <v>34483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f>SUM(V308+W308+X308+Y308+AB308)</f>
        <v>93333</v>
      </c>
      <c r="AK308" s="3">
        <f>SUM(AJ308-AA308)</f>
        <v>93333</v>
      </c>
      <c r="AL308" s="3">
        <f>IF(V308&lt;=15000,V308*12%,1800)</f>
        <v>1800</v>
      </c>
      <c r="AM308" s="3">
        <v>0</v>
      </c>
      <c r="AN308" s="3">
        <f t="shared" si="41"/>
        <v>1800</v>
      </c>
      <c r="AO308" s="12">
        <v>200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3">
        <f t="shared" si="43"/>
        <v>200</v>
      </c>
      <c r="AV308" s="3">
        <f>SUM(AJ308 - AN308 - AU308)</f>
        <v>91333</v>
      </c>
      <c r="AW308" s="11">
        <v>0</v>
      </c>
      <c r="AX308" s="11">
        <v>0</v>
      </c>
      <c r="AY308" s="11">
        <v>0</v>
      </c>
      <c r="AZ308" s="11">
        <v>0</v>
      </c>
      <c r="BA308" s="3">
        <f t="shared" si="42"/>
        <v>91333</v>
      </c>
    </row>
    <row r="309" spans="1:53" x14ac:dyDescent="0.25">
      <c r="A309" s="1" t="s">
        <v>307</v>
      </c>
      <c r="B309" s="9" t="s">
        <v>1678</v>
      </c>
      <c r="C309" s="9" t="s">
        <v>1033</v>
      </c>
      <c r="D309" s="9" t="s">
        <v>1679</v>
      </c>
      <c r="E309" s="9" t="s">
        <v>1012</v>
      </c>
      <c r="F309" s="10">
        <v>44417</v>
      </c>
      <c r="G309" s="9" t="s">
        <v>1019</v>
      </c>
      <c r="I309" s="9" t="s">
        <v>1042</v>
      </c>
      <c r="J309" s="9" t="s">
        <v>1048</v>
      </c>
      <c r="K309" s="8" t="s">
        <v>1006</v>
      </c>
      <c r="L309" s="8" t="s">
        <v>1007</v>
      </c>
      <c r="M309" s="8" t="s">
        <v>2933</v>
      </c>
      <c r="N309" s="8" t="s">
        <v>2937</v>
      </c>
      <c r="O309" s="1" t="s">
        <v>2934</v>
      </c>
      <c r="P309">
        <v>30</v>
      </c>
      <c r="Q309">
        <v>30</v>
      </c>
      <c r="R309">
        <v>0</v>
      </c>
      <c r="S309">
        <f t="shared" si="44"/>
        <v>30</v>
      </c>
      <c r="T309" s="1" t="s">
        <v>2935</v>
      </c>
      <c r="U309" s="1" t="s">
        <v>2932</v>
      </c>
      <c r="V309" s="3">
        <f t="shared" si="45"/>
        <v>40000</v>
      </c>
      <c r="W309" s="3">
        <f t="shared" si="46"/>
        <v>16000</v>
      </c>
      <c r="X309" s="3">
        <f t="shared" si="38"/>
        <v>1250</v>
      </c>
      <c r="Y309" s="3">
        <f t="shared" si="39"/>
        <v>1600</v>
      </c>
      <c r="Z309" s="3">
        <f t="shared" si="40"/>
        <v>1800</v>
      </c>
      <c r="AA309" s="3">
        <v>0</v>
      </c>
      <c r="AB309" s="3">
        <f>ROUND(U309 - (V309+W309+X309+Y309) - (U309/Q309 * 2),0)</f>
        <v>34483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f>SUM(V309+W309+X309+Y309+AB309)</f>
        <v>93333</v>
      </c>
      <c r="AK309" s="3">
        <f>SUM(AJ309-AA309)</f>
        <v>93333</v>
      </c>
      <c r="AL309" s="3">
        <f>IF(V309&lt;=15000,V309*12%,1800)</f>
        <v>1800</v>
      </c>
      <c r="AM309" s="3">
        <v>0</v>
      </c>
      <c r="AN309" s="3">
        <f t="shared" si="41"/>
        <v>1800</v>
      </c>
      <c r="AO309" s="12">
        <v>200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3">
        <f t="shared" si="43"/>
        <v>200</v>
      </c>
      <c r="AV309" s="3">
        <f>SUM(AJ309 - AN309 - AU309)</f>
        <v>91333</v>
      </c>
      <c r="AW309" s="11">
        <v>0</v>
      </c>
      <c r="AX309" s="11">
        <v>0</v>
      </c>
      <c r="AY309" s="11">
        <v>0</v>
      </c>
      <c r="AZ309" s="11">
        <v>0</v>
      </c>
      <c r="BA309" s="3">
        <f t="shared" si="42"/>
        <v>91333</v>
      </c>
    </row>
    <row r="310" spans="1:53" x14ac:dyDescent="0.25">
      <c r="A310" s="1" t="s">
        <v>308</v>
      </c>
      <c r="B310" s="9" t="s">
        <v>1676</v>
      </c>
      <c r="C310" s="9" t="s">
        <v>1023</v>
      </c>
      <c r="D310" s="9" t="s">
        <v>1677</v>
      </c>
      <c r="E310" s="9" t="s">
        <v>1012</v>
      </c>
      <c r="F310" s="10">
        <v>44426</v>
      </c>
      <c r="G310" s="9" t="s">
        <v>1013</v>
      </c>
      <c r="I310" s="9" t="s">
        <v>1014</v>
      </c>
      <c r="J310" s="9" t="s">
        <v>1021</v>
      </c>
      <c r="K310" s="8" t="s">
        <v>1006</v>
      </c>
      <c r="L310" s="8" t="s">
        <v>1007</v>
      </c>
      <c r="M310" s="8" t="s">
        <v>2933</v>
      </c>
      <c r="N310" s="8" t="s">
        <v>2937</v>
      </c>
      <c r="O310" s="1" t="s">
        <v>2934</v>
      </c>
      <c r="P310">
        <v>30</v>
      </c>
      <c r="Q310">
        <v>30</v>
      </c>
      <c r="R310">
        <v>0</v>
      </c>
      <c r="S310">
        <f t="shared" si="44"/>
        <v>30</v>
      </c>
      <c r="T310" s="1" t="s">
        <v>2935</v>
      </c>
      <c r="U310" s="1" t="s">
        <v>2932</v>
      </c>
      <c r="V310" s="3">
        <f t="shared" si="45"/>
        <v>40000</v>
      </c>
      <c r="W310" s="3">
        <f t="shared" si="46"/>
        <v>16000</v>
      </c>
      <c r="X310" s="3">
        <f t="shared" si="38"/>
        <v>1250</v>
      </c>
      <c r="Y310" s="3">
        <f t="shared" si="39"/>
        <v>1600</v>
      </c>
      <c r="Z310" s="3">
        <f t="shared" si="40"/>
        <v>1800</v>
      </c>
      <c r="AA310" s="3">
        <v>0</v>
      </c>
      <c r="AB310" s="3">
        <f>ROUND(U310 - (V310+W310+X310+Y310) - (U310/Q310 * 2),0)</f>
        <v>34483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f>SUM(V310+W310+X310+Y310+AB310)</f>
        <v>93333</v>
      </c>
      <c r="AK310" s="3">
        <f>SUM(AJ310-AA310)</f>
        <v>93333</v>
      </c>
      <c r="AL310" s="3">
        <f>IF(V310&lt;=15000,V310*12%,1800)</f>
        <v>1800</v>
      </c>
      <c r="AM310" s="3">
        <v>0</v>
      </c>
      <c r="AN310" s="3">
        <f t="shared" si="41"/>
        <v>1800</v>
      </c>
      <c r="AO310" s="12">
        <v>200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3">
        <f t="shared" si="43"/>
        <v>200</v>
      </c>
      <c r="AV310" s="3">
        <f>SUM(AJ310 - AN310 - AU310)</f>
        <v>91333</v>
      </c>
      <c r="AW310" s="11">
        <v>0</v>
      </c>
      <c r="AX310" s="11">
        <v>0</v>
      </c>
      <c r="AY310" s="11">
        <v>0</v>
      </c>
      <c r="AZ310" s="11">
        <v>0</v>
      </c>
      <c r="BA310" s="3">
        <f t="shared" si="42"/>
        <v>91333</v>
      </c>
    </row>
    <row r="311" spans="1:53" x14ac:dyDescent="0.25">
      <c r="A311" s="1" t="s">
        <v>309</v>
      </c>
      <c r="B311" s="9" t="s">
        <v>1674</v>
      </c>
      <c r="C311" s="9" t="s">
        <v>1663</v>
      </c>
      <c r="D311" s="9" t="s">
        <v>1675</v>
      </c>
      <c r="E311" s="9" t="s">
        <v>1012</v>
      </c>
      <c r="F311" s="10">
        <v>44417</v>
      </c>
      <c r="G311" s="9" t="s">
        <v>1013</v>
      </c>
      <c r="I311" s="9" t="s">
        <v>1042</v>
      </c>
      <c r="J311" s="9" t="s">
        <v>1440</v>
      </c>
      <c r="K311" s="8" t="s">
        <v>1006</v>
      </c>
      <c r="L311" s="8" t="s">
        <v>1007</v>
      </c>
      <c r="M311" s="8" t="s">
        <v>2933</v>
      </c>
      <c r="N311" s="8" t="s">
        <v>2937</v>
      </c>
      <c r="O311" s="1" t="s">
        <v>2934</v>
      </c>
      <c r="P311">
        <v>30</v>
      </c>
      <c r="Q311">
        <v>30</v>
      </c>
      <c r="R311">
        <v>0</v>
      </c>
      <c r="S311">
        <f t="shared" si="44"/>
        <v>30</v>
      </c>
      <c r="T311" s="1" t="s">
        <v>2935</v>
      </c>
      <c r="U311" s="1" t="s">
        <v>2932</v>
      </c>
      <c r="V311" s="3">
        <f t="shared" si="45"/>
        <v>40000</v>
      </c>
      <c r="W311" s="3">
        <f t="shared" si="46"/>
        <v>16000</v>
      </c>
      <c r="X311" s="3">
        <f t="shared" si="38"/>
        <v>1250</v>
      </c>
      <c r="Y311" s="3">
        <f t="shared" si="39"/>
        <v>1600</v>
      </c>
      <c r="Z311" s="3">
        <f t="shared" si="40"/>
        <v>1800</v>
      </c>
      <c r="AA311" s="3">
        <v>0</v>
      </c>
      <c r="AB311" s="3">
        <f>ROUND(U311 - (V311+W311+X311+Y311) - (U311/Q311 * 2),0)</f>
        <v>34483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f>SUM(V311+W311+X311+Y311+AB311)</f>
        <v>93333</v>
      </c>
      <c r="AK311" s="3">
        <f>SUM(AJ311-AA311)</f>
        <v>93333</v>
      </c>
      <c r="AL311" s="3">
        <f>IF(V311&lt;=15000,V311*12%,1800)</f>
        <v>1800</v>
      </c>
      <c r="AM311" s="3">
        <v>0</v>
      </c>
      <c r="AN311" s="3">
        <f t="shared" si="41"/>
        <v>1800</v>
      </c>
      <c r="AO311" s="12">
        <v>200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3">
        <f t="shared" si="43"/>
        <v>200</v>
      </c>
      <c r="AV311" s="3">
        <f>SUM(AJ311 - AN311 - AU311)</f>
        <v>91333</v>
      </c>
      <c r="AW311" s="11">
        <v>0</v>
      </c>
      <c r="AX311" s="11">
        <v>0</v>
      </c>
      <c r="AY311" s="11">
        <v>0</v>
      </c>
      <c r="AZ311" s="11">
        <v>0</v>
      </c>
      <c r="BA311" s="3">
        <f t="shared" si="42"/>
        <v>91333</v>
      </c>
    </row>
    <row r="312" spans="1:53" x14ac:dyDescent="0.25">
      <c r="A312" s="1" t="s">
        <v>310</v>
      </c>
      <c r="B312" s="9" t="s">
        <v>1672</v>
      </c>
      <c r="C312" s="9" t="s">
        <v>1017</v>
      </c>
      <c r="D312" s="9" t="s">
        <v>1673</v>
      </c>
      <c r="E312" s="9" t="s">
        <v>1012</v>
      </c>
      <c r="F312" s="10">
        <v>44424</v>
      </c>
      <c r="G312" s="9" t="s">
        <v>1013</v>
      </c>
      <c r="I312" s="9" t="s">
        <v>1042</v>
      </c>
      <c r="J312" s="9" t="s">
        <v>1440</v>
      </c>
      <c r="K312" s="8" t="s">
        <v>1006</v>
      </c>
      <c r="L312" s="8" t="s">
        <v>1007</v>
      </c>
      <c r="M312" s="8" t="s">
        <v>2933</v>
      </c>
      <c r="N312" s="8" t="s">
        <v>2937</v>
      </c>
      <c r="O312" s="1" t="s">
        <v>2934</v>
      </c>
      <c r="P312">
        <v>30</v>
      </c>
      <c r="Q312">
        <v>30</v>
      </c>
      <c r="R312">
        <v>0</v>
      </c>
      <c r="S312">
        <f t="shared" si="44"/>
        <v>30</v>
      </c>
      <c r="T312" s="1" t="s">
        <v>2935</v>
      </c>
      <c r="U312" s="1" t="s">
        <v>2932</v>
      </c>
      <c r="V312" s="3">
        <f t="shared" si="45"/>
        <v>40000</v>
      </c>
      <c r="W312" s="3">
        <f t="shared" si="46"/>
        <v>16000</v>
      </c>
      <c r="X312" s="3">
        <f t="shared" si="38"/>
        <v>1250</v>
      </c>
      <c r="Y312" s="3">
        <f t="shared" si="39"/>
        <v>1600</v>
      </c>
      <c r="Z312" s="3">
        <f t="shared" si="40"/>
        <v>1800</v>
      </c>
      <c r="AA312" s="3">
        <v>0</v>
      </c>
      <c r="AB312" s="3">
        <f>ROUND(U312 - (V312+W312+X312+Y312) - (U312/Q312 * 2),0)</f>
        <v>34483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f>SUM(V312+W312+X312+Y312+AB312)</f>
        <v>93333</v>
      </c>
      <c r="AK312" s="3">
        <f>SUM(AJ312-AA312)</f>
        <v>93333</v>
      </c>
      <c r="AL312" s="3">
        <f>IF(V312&lt;=15000,V312*12%,1800)</f>
        <v>1800</v>
      </c>
      <c r="AM312" s="3">
        <v>0</v>
      </c>
      <c r="AN312" s="3">
        <f t="shared" si="41"/>
        <v>1800</v>
      </c>
      <c r="AO312" s="12">
        <v>200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3">
        <f t="shared" si="43"/>
        <v>200</v>
      </c>
      <c r="AV312" s="3">
        <f>SUM(AJ312 - AN312 - AU312)</f>
        <v>91333</v>
      </c>
      <c r="AW312" s="11">
        <v>0</v>
      </c>
      <c r="AX312" s="11">
        <v>0</v>
      </c>
      <c r="AY312" s="11">
        <v>0</v>
      </c>
      <c r="AZ312" s="11">
        <v>0</v>
      </c>
      <c r="BA312" s="3">
        <f t="shared" si="42"/>
        <v>91333</v>
      </c>
    </row>
    <row r="313" spans="1:53" x14ac:dyDescent="0.25">
      <c r="A313" s="1" t="s">
        <v>311</v>
      </c>
      <c r="B313" s="9" t="s">
        <v>1077</v>
      </c>
      <c r="C313" s="9" t="s">
        <v>1115</v>
      </c>
      <c r="D313" s="9" t="s">
        <v>1671</v>
      </c>
      <c r="E313" s="9" t="s">
        <v>1008</v>
      </c>
      <c r="F313" s="10">
        <v>44431</v>
      </c>
      <c r="G313" s="9" t="s">
        <v>1019</v>
      </c>
      <c r="I313" s="9" t="s">
        <v>1035</v>
      </c>
      <c r="J313" s="9" t="s">
        <v>1048</v>
      </c>
      <c r="K313" s="8" t="s">
        <v>1006</v>
      </c>
      <c r="L313" s="8" t="s">
        <v>1007</v>
      </c>
      <c r="M313" s="8" t="s">
        <v>2933</v>
      </c>
      <c r="N313" s="8" t="s">
        <v>2937</v>
      </c>
      <c r="O313" s="1" t="s">
        <v>2934</v>
      </c>
      <c r="P313">
        <v>30</v>
      </c>
      <c r="Q313">
        <v>30</v>
      </c>
      <c r="R313">
        <v>0</v>
      </c>
      <c r="S313">
        <f t="shared" si="44"/>
        <v>30</v>
      </c>
      <c r="T313" s="1" t="s">
        <v>2935</v>
      </c>
      <c r="U313" s="1" t="s">
        <v>2932</v>
      </c>
      <c r="V313" s="3">
        <f t="shared" si="45"/>
        <v>40000</v>
      </c>
      <c r="W313" s="3">
        <f t="shared" si="46"/>
        <v>16000</v>
      </c>
      <c r="X313" s="3">
        <f t="shared" si="38"/>
        <v>1250</v>
      </c>
      <c r="Y313" s="3">
        <f t="shared" si="39"/>
        <v>1600</v>
      </c>
      <c r="Z313" s="3">
        <f t="shared" si="40"/>
        <v>1800</v>
      </c>
      <c r="AA313" s="3">
        <v>0</v>
      </c>
      <c r="AB313" s="3">
        <f>ROUND(U313 - (V313+W313+X313+Y313) - (U313/Q313 * 2),0)</f>
        <v>34483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f>SUM(V313+W313+X313+Y313+AB313)</f>
        <v>93333</v>
      </c>
      <c r="AK313" s="3">
        <f>SUM(AJ313-AA313)</f>
        <v>93333</v>
      </c>
      <c r="AL313" s="3">
        <f>IF(V313&lt;=15000,V313*12%,1800)</f>
        <v>1800</v>
      </c>
      <c r="AM313" s="3">
        <v>0</v>
      </c>
      <c r="AN313" s="3">
        <f t="shared" si="41"/>
        <v>1800</v>
      </c>
      <c r="AO313" s="12">
        <v>200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3">
        <f t="shared" si="43"/>
        <v>200</v>
      </c>
      <c r="AV313" s="3">
        <f>SUM(AJ313 - AN313 - AU313)</f>
        <v>91333</v>
      </c>
      <c r="AW313" s="11">
        <v>0</v>
      </c>
      <c r="AX313" s="11">
        <v>0</v>
      </c>
      <c r="AY313" s="11">
        <v>0</v>
      </c>
      <c r="AZ313" s="11">
        <v>0</v>
      </c>
      <c r="BA313" s="3">
        <f t="shared" si="42"/>
        <v>91333</v>
      </c>
    </row>
    <row r="314" spans="1:53" x14ac:dyDescent="0.25">
      <c r="A314" s="1" t="s">
        <v>312</v>
      </c>
      <c r="B314" s="9" t="s">
        <v>1669</v>
      </c>
      <c r="C314" s="9" t="s">
        <v>1273</v>
      </c>
      <c r="D314" s="9" t="s">
        <v>1670</v>
      </c>
      <c r="E314" s="9" t="s">
        <v>1008</v>
      </c>
      <c r="F314" s="10">
        <v>44431</v>
      </c>
      <c r="G314" s="9" t="s">
        <v>1019</v>
      </c>
      <c r="I314" s="9" t="s">
        <v>1035</v>
      </c>
      <c r="J314" s="9" t="s">
        <v>1048</v>
      </c>
      <c r="K314" s="8" t="s">
        <v>1006</v>
      </c>
      <c r="L314" s="8" t="s">
        <v>1007</v>
      </c>
      <c r="M314" s="8" t="s">
        <v>2933</v>
      </c>
      <c r="N314" s="8" t="s">
        <v>2937</v>
      </c>
      <c r="O314" s="1" t="s">
        <v>2934</v>
      </c>
      <c r="P314">
        <v>30</v>
      </c>
      <c r="Q314">
        <v>30</v>
      </c>
      <c r="R314">
        <v>0</v>
      </c>
      <c r="S314">
        <f t="shared" si="44"/>
        <v>30</v>
      </c>
      <c r="T314" s="1" t="s">
        <v>2935</v>
      </c>
      <c r="U314" s="1" t="s">
        <v>2932</v>
      </c>
      <c r="V314" s="3">
        <f t="shared" si="45"/>
        <v>40000</v>
      </c>
      <c r="W314" s="3">
        <f t="shared" si="46"/>
        <v>16000</v>
      </c>
      <c r="X314" s="3">
        <f t="shared" si="38"/>
        <v>1250</v>
      </c>
      <c r="Y314" s="3">
        <f t="shared" si="39"/>
        <v>1600</v>
      </c>
      <c r="Z314" s="3">
        <f t="shared" si="40"/>
        <v>1800</v>
      </c>
      <c r="AA314" s="3">
        <v>0</v>
      </c>
      <c r="AB314" s="3">
        <f>ROUND(U314 - (V314+W314+X314+Y314) - (U314/Q314 * 2),0)</f>
        <v>34483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f>SUM(V314+W314+X314+Y314+AB314)</f>
        <v>93333</v>
      </c>
      <c r="AK314" s="3">
        <f>SUM(AJ314-AA314)</f>
        <v>93333</v>
      </c>
      <c r="AL314" s="3">
        <f>IF(V314&lt;=15000,V314*12%,1800)</f>
        <v>1800</v>
      </c>
      <c r="AM314" s="3">
        <v>0</v>
      </c>
      <c r="AN314" s="3">
        <f t="shared" si="41"/>
        <v>1800</v>
      </c>
      <c r="AO314" s="12">
        <v>200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3">
        <f t="shared" si="43"/>
        <v>200</v>
      </c>
      <c r="AV314" s="3">
        <f>SUM(AJ314 - AN314 - AU314)</f>
        <v>91333</v>
      </c>
      <c r="AW314" s="11">
        <v>0</v>
      </c>
      <c r="AX314" s="11">
        <v>0</v>
      </c>
      <c r="AY314" s="11">
        <v>0</v>
      </c>
      <c r="AZ314" s="11">
        <v>0</v>
      </c>
      <c r="BA314" s="3">
        <f t="shared" si="42"/>
        <v>91333</v>
      </c>
    </row>
    <row r="315" spans="1:53" x14ac:dyDescent="0.25">
      <c r="A315" s="1" t="s">
        <v>313</v>
      </c>
      <c r="B315" s="9" t="s">
        <v>1667</v>
      </c>
      <c r="C315" s="9" t="s">
        <v>1216</v>
      </c>
      <c r="D315" s="9" t="s">
        <v>1668</v>
      </c>
      <c r="E315" s="9" t="s">
        <v>1012</v>
      </c>
      <c r="F315" s="10">
        <v>44389</v>
      </c>
      <c r="G315" s="9" t="s">
        <v>1019</v>
      </c>
      <c r="I315" s="9" t="s">
        <v>1035</v>
      </c>
      <c r="J315" s="9" t="s">
        <v>1021</v>
      </c>
      <c r="K315" s="8" t="s">
        <v>1006</v>
      </c>
      <c r="L315" s="8" t="s">
        <v>1007</v>
      </c>
      <c r="M315" s="8" t="s">
        <v>2933</v>
      </c>
      <c r="N315" s="8" t="s">
        <v>2937</v>
      </c>
      <c r="O315" s="1" t="s">
        <v>2934</v>
      </c>
      <c r="P315">
        <v>30</v>
      </c>
      <c r="Q315">
        <v>30</v>
      </c>
      <c r="R315">
        <v>0</v>
      </c>
      <c r="S315">
        <f t="shared" si="44"/>
        <v>30</v>
      </c>
      <c r="T315" s="1" t="s">
        <v>2935</v>
      </c>
      <c r="U315" s="1" t="s">
        <v>2932</v>
      </c>
      <c r="V315" s="3">
        <f t="shared" si="45"/>
        <v>40000</v>
      </c>
      <c r="W315" s="3">
        <f t="shared" si="46"/>
        <v>16000</v>
      </c>
      <c r="X315" s="3">
        <f t="shared" si="38"/>
        <v>1250</v>
      </c>
      <c r="Y315" s="3">
        <f t="shared" si="39"/>
        <v>1600</v>
      </c>
      <c r="Z315" s="3">
        <f t="shared" si="40"/>
        <v>1800</v>
      </c>
      <c r="AA315" s="3">
        <v>0</v>
      </c>
      <c r="AB315" s="3">
        <f>ROUND(U315 - (V315+W315+X315+Y315) - (U315/Q315 * 2),0)</f>
        <v>34483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f>SUM(V315+W315+X315+Y315+AB315)</f>
        <v>93333</v>
      </c>
      <c r="AK315" s="3">
        <f>SUM(AJ315-AA315)</f>
        <v>93333</v>
      </c>
      <c r="AL315" s="3">
        <f>IF(V315&lt;=15000,V315*12%,1800)</f>
        <v>1800</v>
      </c>
      <c r="AM315" s="3">
        <v>0</v>
      </c>
      <c r="AN315" s="3">
        <f t="shared" si="41"/>
        <v>1800</v>
      </c>
      <c r="AO315" s="12">
        <v>200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3">
        <f t="shared" si="43"/>
        <v>200</v>
      </c>
      <c r="AV315" s="3">
        <f>SUM(AJ315 - AN315 - AU315)</f>
        <v>91333</v>
      </c>
      <c r="AW315" s="11">
        <v>0</v>
      </c>
      <c r="AX315" s="11">
        <v>0</v>
      </c>
      <c r="AY315" s="11">
        <v>0</v>
      </c>
      <c r="AZ315" s="11">
        <v>0</v>
      </c>
      <c r="BA315" s="3">
        <f t="shared" si="42"/>
        <v>91333</v>
      </c>
    </row>
    <row r="316" spans="1:53" x14ac:dyDescent="0.25">
      <c r="A316" s="1" t="s">
        <v>314</v>
      </c>
      <c r="B316" s="9" t="s">
        <v>1665</v>
      </c>
      <c r="C316" s="9" t="s">
        <v>1115</v>
      </c>
      <c r="D316" s="9" t="s">
        <v>1666</v>
      </c>
      <c r="E316" s="9" t="s">
        <v>1012</v>
      </c>
      <c r="F316" s="10">
        <v>44431</v>
      </c>
      <c r="G316" s="9" t="s">
        <v>1013</v>
      </c>
      <c r="I316" s="9" t="s">
        <v>1042</v>
      </c>
      <c r="J316" s="9" t="s">
        <v>1048</v>
      </c>
      <c r="K316" s="8" t="s">
        <v>1006</v>
      </c>
      <c r="L316" s="8" t="s">
        <v>1007</v>
      </c>
      <c r="M316" s="8" t="s">
        <v>2933</v>
      </c>
      <c r="N316" s="8" t="s">
        <v>2937</v>
      </c>
      <c r="O316" s="1" t="s">
        <v>2934</v>
      </c>
      <c r="P316">
        <v>30</v>
      </c>
      <c r="Q316">
        <v>30</v>
      </c>
      <c r="R316">
        <v>0</v>
      </c>
      <c r="S316">
        <f t="shared" si="44"/>
        <v>30</v>
      </c>
      <c r="T316" s="1" t="s">
        <v>2935</v>
      </c>
      <c r="U316" s="1" t="s">
        <v>2932</v>
      </c>
      <c r="V316" s="3">
        <f t="shared" si="45"/>
        <v>40000</v>
      </c>
      <c r="W316" s="3">
        <f t="shared" si="46"/>
        <v>16000</v>
      </c>
      <c r="X316" s="3">
        <f t="shared" si="38"/>
        <v>1250</v>
      </c>
      <c r="Y316" s="3">
        <f t="shared" si="39"/>
        <v>1600</v>
      </c>
      <c r="Z316" s="3">
        <f t="shared" si="40"/>
        <v>1800</v>
      </c>
      <c r="AA316" s="3">
        <v>0</v>
      </c>
      <c r="AB316" s="3">
        <f>ROUND(U316 - (V316+W316+X316+Y316) - (U316/Q316 * 2),0)</f>
        <v>34483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f>SUM(V316+W316+X316+Y316+AB316)</f>
        <v>93333</v>
      </c>
      <c r="AK316" s="3">
        <f>SUM(AJ316-AA316)</f>
        <v>93333</v>
      </c>
      <c r="AL316" s="3">
        <f>IF(V316&lt;=15000,V316*12%,1800)</f>
        <v>1800</v>
      </c>
      <c r="AM316" s="3">
        <v>0</v>
      </c>
      <c r="AN316" s="3">
        <f t="shared" si="41"/>
        <v>1800</v>
      </c>
      <c r="AO316" s="12">
        <v>200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3">
        <f t="shared" si="43"/>
        <v>200</v>
      </c>
      <c r="AV316" s="3">
        <f>SUM(AJ316 - AN316 - AU316)</f>
        <v>91333</v>
      </c>
      <c r="AW316" s="11">
        <v>0</v>
      </c>
      <c r="AX316" s="11">
        <v>0</v>
      </c>
      <c r="AY316" s="11">
        <v>0</v>
      </c>
      <c r="AZ316" s="11">
        <v>0</v>
      </c>
      <c r="BA316" s="3">
        <f t="shared" si="42"/>
        <v>91333</v>
      </c>
    </row>
    <row r="317" spans="1:53" x14ac:dyDescent="0.25">
      <c r="A317" s="1" t="s">
        <v>315</v>
      </c>
      <c r="B317" s="9" t="s">
        <v>1662</v>
      </c>
      <c r="C317" s="9" t="s">
        <v>1663</v>
      </c>
      <c r="D317" s="9" t="s">
        <v>1664</v>
      </c>
      <c r="E317" s="9" t="s">
        <v>1012</v>
      </c>
      <c r="F317" s="10">
        <v>44433</v>
      </c>
      <c r="G317" s="9" t="s">
        <v>1013</v>
      </c>
      <c r="I317" s="9" t="s">
        <v>1042</v>
      </c>
      <c r="J317" s="9" t="s">
        <v>1440</v>
      </c>
      <c r="K317" s="8" t="s">
        <v>1006</v>
      </c>
      <c r="L317" s="8" t="s">
        <v>1007</v>
      </c>
      <c r="M317" s="8" t="s">
        <v>2933</v>
      </c>
      <c r="N317" s="8" t="s">
        <v>2937</v>
      </c>
      <c r="O317" s="1" t="s">
        <v>2934</v>
      </c>
      <c r="P317">
        <v>30</v>
      </c>
      <c r="Q317">
        <v>30</v>
      </c>
      <c r="R317">
        <v>0</v>
      </c>
      <c r="S317">
        <f t="shared" si="44"/>
        <v>30</v>
      </c>
      <c r="T317" s="1" t="s">
        <v>2935</v>
      </c>
      <c r="U317" s="1" t="s">
        <v>2932</v>
      </c>
      <c r="V317" s="3">
        <f t="shared" si="45"/>
        <v>40000</v>
      </c>
      <c r="W317" s="3">
        <f t="shared" si="46"/>
        <v>16000</v>
      </c>
      <c r="X317" s="3">
        <f t="shared" si="38"/>
        <v>1250</v>
      </c>
      <c r="Y317" s="3">
        <f t="shared" si="39"/>
        <v>1600</v>
      </c>
      <c r="Z317" s="3">
        <f t="shared" si="40"/>
        <v>1800</v>
      </c>
      <c r="AA317" s="3">
        <v>0</v>
      </c>
      <c r="AB317" s="3">
        <f>ROUND(U317 - (V317+W317+X317+Y317) - (U317/Q317 * 2),0)</f>
        <v>34483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f>SUM(V317+W317+X317+Y317+AB317)</f>
        <v>93333</v>
      </c>
      <c r="AK317" s="3">
        <f>SUM(AJ317-AA317)</f>
        <v>93333</v>
      </c>
      <c r="AL317" s="3">
        <f>IF(V317&lt;=15000,V317*12%,1800)</f>
        <v>1800</v>
      </c>
      <c r="AM317" s="3">
        <v>0</v>
      </c>
      <c r="AN317" s="3">
        <f t="shared" si="41"/>
        <v>1800</v>
      </c>
      <c r="AO317" s="12">
        <v>200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3">
        <f t="shared" si="43"/>
        <v>200</v>
      </c>
      <c r="AV317" s="3">
        <f>SUM(AJ317 - AN317 - AU317)</f>
        <v>91333</v>
      </c>
      <c r="AW317" s="11">
        <v>0</v>
      </c>
      <c r="AX317" s="11">
        <v>0</v>
      </c>
      <c r="AY317" s="11">
        <v>0</v>
      </c>
      <c r="AZ317" s="11">
        <v>0</v>
      </c>
      <c r="BA317" s="3">
        <f t="shared" si="42"/>
        <v>91333</v>
      </c>
    </row>
    <row r="318" spans="1:53" x14ac:dyDescent="0.25">
      <c r="A318" s="1" t="s">
        <v>316</v>
      </c>
      <c r="B318" s="9" t="s">
        <v>1660</v>
      </c>
      <c r="C318" s="9" t="s">
        <v>1115</v>
      </c>
      <c r="D318" s="9" t="s">
        <v>1661</v>
      </c>
      <c r="E318" s="9" t="s">
        <v>1008</v>
      </c>
      <c r="F318" s="10">
        <v>45047</v>
      </c>
      <c r="G318" s="9" t="s">
        <v>1019</v>
      </c>
      <c r="I318" s="9" t="s">
        <v>1042</v>
      </c>
      <c r="J318" s="9" t="s">
        <v>1048</v>
      </c>
      <c r="K318" s="8" t="s">
        <v>1006</v>
      </c>
      <c r="L318" s="8" t="s">
        <v>1007</v>
      </c>
      <c r="M318" s="8" t="s">
        <v>2933</v>
      </c>
      <c r="N318" s="8" t="s">
        <v>2937</v>
      </c>
      <c r="O318" s="1" t="s">
        <v>2934</v>
      </c>
      <c r="P318">
        <v>30</v>
      </c>
      <c r="Q318">
        <v>30</v>
      </c>
      <c r="R318">
        <v>0</v>
      </c>
      <c r="S318">
        <f t="shared" si="44"/>
        <v>30</v>
      </c>
      <c r="T318" s="1" t="s">
        <v>2935</v>
      </c>
      <c r="U318" s="1" t="s">
        <v>2932</v>
      </c>
      <c r="V318" s="3">
        <f t="shared" si="45"/>
        <v>40000</v>
      </c>
      <c r="W318" s="3">
        <f t="shared" si="46"/>
        <v>16000</v>
      </c>
      <c r="X318" s="3">
        <f t="shared" si="38"/>
        <v>1250</v>
      </c>
      <c r="Y318" s="3">
        <f t="shared" si="39"/>
        <v>1600</v>
      </c>
      <c r="Z318" s="3">
        <f t="shared" si="40"/>
        <v>1800</v>
      </c>
      <c r="AA318" s="3">
        <v>0</v>
      </c>
      <c r="AB318" s="3">
        <f>ROUND(U318 - (V318+W318+X318+Y318) - (U318/Q318 * 2),0)</f>
        <v>34483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f>SUM(V318+W318+X318+Y318+AB318)</f>
        <v>93333</v>
      </c>
      <c r="AK318" s="3">
        <f>SUM(AJ318-AA318)</f>
        <v>93333</v>
      </c>
      <c r="AL318" s="3">
        <f>IF(V318&lt;=15000,V318*12%,1800)</f>
        <v>1800</v>
      </c>
      <c r="AM318" s="3">
        <v>0</v>
      </c>
      <c r="AN318" s="3">
        <f t="shared" si="41"/>
        <v>1800</v>
      </c>
      <c r="AO318" s="12">
        <v>200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3">
        <f t="shared" si="43"/>
        <v>200</v>
      </c>
      <c r="AV318" s="3">
        <f>SUM(AJ318 - AN318 - AU318)</f>
        <v>91333</v>
      </c>
      <c r="AW318" s="11">
        <v>0</v>
      </c>
      <c r="AX318" s="11">
        <v>0</v>
      </c>
      <c r="AY318" s="11">
        <v>0</v>
      </c>
      <c r="AZ318" s="11">
        <v>0</v>
      </c>
      <c r="BA318" s="3">
        <f t="shared" si="42"/>
        <v>91333</v>
      </c>
    </row>
    <row r="319" spans="1:53" x14ac:dyDescent="0.25">
      <c r="A319" s="1" t="s">
        <v>317</v>
      </c>
      <c r="B319" s="9" t="s">
        <v>1711</v>
      </c>
      <c r="C319" s="9" t="s">
        <v>1023</v>
      </c>
      <c r="D319" s="9">
        <v>0</v>
      </c>
      <c r="E319" s="9" t="s">
        <v>1012</v>
      </c>
      <c r="F319" s="10">
        <v>44431</v>
      </c>
      <c r="G319" s="9" t="s">
        <v>1019</v>
      </c>
      <c r="I319" s="9" t="s">
        <v>1014</v>
      </c>
      <c r="J319" s="9" t="s">
        <v>1021</v>
      </c>
      <c r="K319" s="8" t="s">
        <v>1006</v>
      </c>
      <c r="L319" s="8" t="s">
        <v>1007</v>
      </c>
      <c r="M319" s="8" t="s">
        <v>2933</v>
      </c>
      <c r="N319" s="8" t="s">
        <v>2937</v>
      </c>
      <c r="O319" s="1" t="s">
        <v>2934</v>
      </c>
      <c r="P319">
        <v>30</v>
      </c>
      <c r="Q319">
        <v>30</v>
      </c>
      <c r="R319">
        <v>0</v>
      </c>
      <c r="S319">
        <f t="shared" si="44"/>
        <v>30</v>
      </c>
      <c r="T319" s="1" t="s">
        <v>2935</v>
      </c>
      <c r="U319" s="1" t="s">
        <v>2932</v>
      </c>
      <c r="V319" s="3">
        <f t="shared" si="45"/>
        <v>40000</v>
      </c>
      <c r="W319" s="3">
        <f t="shared" si="46"/>
        <v>16000</v>
      </c>
      <c r="X319" s="3">
        <f t="shared" si="38"/>
        <v>1250</v>
      </c>
      <c r="Y319" s="3">
        <f t="shared" si="39"/>
        <v>1600</v>
      </c>
      <c r="Z319" s="3">
        <f t="shared" si="40"/>
        <v>1800</v>
      </c>
      <c r="AA319" s="3">
        <v>0</v>
      </c>
      <c r="AB319" s="3">
        <f>ROUND(U319 - (V319+W319+X319+Y319) - (U319/Q319 * 2),0)</f>
        <v>34483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f>SUM(V319+W319+X319+Y319+AB319)</f>
        <v>93333</v>
      </c>
      <c r="AK319" s="3">
        <f>SUM(AJ319-AA319)</f>
        <v>93333</v>
      </c>
      <c r="AL319" s="3">
        <f>IF(V319&lt;=15000,V319*12%,1800)</f>
        <v>1800</v>
      </c>
      <c r="AM319" s="3">
        <v>0</v>
      </c>
      <c r="AN319" s="3">
        <f t="shared" si="41"/>
        <v>1800</v>
      </c>
      <c r="AO319" s="12">
        <v>200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3">
        <f t="shared" si="43"/>
        <v>200</v>
      </c>
      <c r="AV319" s="3">
        <f>SUM(AJ319 - AN319 - AU319)</f>
        <v>91333</v>
      </c>
      <c r="AW319" s="11">
        <v>0</v>
      </c>
      <c r="AX319" s="11">
        <v>0</v>
      </c>
      <c r="AY319" s="11">
        <v>0</v>
      </c>
      <c r="AZ319" s="11">
        <v>0</v>
      </c>
      <c r="BA319" s="3">
        <f t="shared" si="42"/>
        <v>91333</v>
      </c>
    </row>
    <row r="320" spans="1:53" x14ac:dyDescent="0.25">
      <c r="A320" s="1" t="s">
        <v>318</v>
      </c>
      <c r="B320" s="9" t="s">
        <v>1710</v>
      </c>
      <c r="C320" s="9" t="s">
        <v>1115</v>
      </c>
      <c r="D320" s="9">
        <v>0</v>
      </c>
      <c r="E320" s="9" t="s">
        <v>1008</v>
      </c>
      <c r="F320" s="10">
        <v>43290</v>
      </c>
      <c r="G320" s="9" t="s">
        <v>1019</v>
      </c>
      <c r="I320" s="9" t="s">
        <v>1042</v>
      </c>
      <c r="J320" s="9" t="s">
        <v>1048</v>
      </c>
      <c r="K320" s="8" t="s">
        <v>1006</v>
      </c>
      <c r="L320" s="8" t="s">
        <v>1007</v>
      </c>
      <c r="M320" s="8" t="s">
        <v>2933</v>
      </c>
      <c r="N320" s="8" t="s">
        <v>2937</v>
      </c>
      <c r="O320" s="1" t="s">
        <v>2934</v>
      </c>
      <c r="P320">
        <v>30</v>
      </c>
      <c r="Q320">
        <v>30</v>
      </c>
      <c r="R320">
        <v>0</v>
      </c>
      <c r="S320">
        <f t="shared" si="44"/>
        <v>30</v>
      </c>
      <c r="T320" s="1" t="s">
        <v>2935</v>
      </c>
      <c r="U320" s="1" t="s">
        <v>2932</v>
      </c>
      <c r="V320" s="3">
        <f t="shared" si="45"/>
        <v>40000</v>
      </c>
      <c r="W320" s="3">
        <f t="shared" si="46"/>
        <v>16000</v>
      </c>
      <c r="X320" s="3">
        <f t="shared" si="38"/>
        <v>1250</v>
      </c>
      <c r="Y320" s="3">
        <f t="shared" si="39"/>
        <v>1600</v>
      </c>
      <c r="Z320" s="3">
        <f t="shared" si="40"/>
        <v>1800</v>
      </c>
      <c r="AA320" s="3">
        <v>0</v>
      </c>
      <c r="AB320" s="3">
        <f>ROUND(U320 - (V320+W320+X320+Y320) - (U320/Q320 * 2),0)</f>
        <v>34483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f>SUM(V320+W320+X320+Y320+AB320)</f>
        <v>93333</v>
      </c>
      <c r="AK320" s="3">
        <f>SUM(AJ320-AA320)</f>
        <v>93333</v>
      </c>
      <c r="AL320" s="3">
        <f>IF(V320&lt;=15000,V320*12%,1800)</f>
        <v>1800</v>
      </c>
      <c r="AM320" s="3">
        <v>0</v>
      </c>
      <c r="AN320" s="3">
        <f t="shared" si="41"/>
        <v>1800</v>
      </c>
      <c r="AO320" s="12">
        <v>200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3">
        <f t="shared" si="43"/>
        <v>200</v>
      </c>
      <c r="AV320" s="3">
        <f>SUM(AJ320 - AN320 - AU320)</f>
        <v>91333</v>
      </c>
      <c r="AW320" s="11">
        <v>0</v>
      </c>
      <c r="AX320" s="11">
        <v>0</v>
      </c>
      <c r="AY320" s="11">
        <v>0</v>
      </c>
      <c r="AZ320" s="11">
        <v>0</v>
      </c>
      <c r="BA320" s="3">
        <f t="shared" si="42"/>
        <v>91333</v>
      </c>
    </row>
    <row r="321" spans="1:53" x14ac:dyDescent="0.25">
      <c r="A321" s="1" t="s">
        <v>319</v>
      </c>
      <c r="B321" s="9" t="s">
        <v>1708</v>
      </c>
      <c r="C321" s="9" t="s">
        <v>1115</v>
      </c>
      <c r="D321" s="9" t="s">
        <v>1709</v>
      </c>
      <c r="E321" s="9" t="s">
        <v>1012</v>
      </c>
      <c r="F321" s="10">
        <v>44433</v>
      </c>
      <c r="G321" s="9" t="s">
        <v>1019</v>
      </c>
      <c r="I321" s="9" t="s">
        <v>1035</v>
      </c>
      <c r="J321" s="9" t="s">
        <v>1048</v>
      </c>
      <c r="K321" s="8" t="s">
        <v>1006</v>
      </c>
      <c r="L321" s="8" t="s">
        <v>1007</v>
      </c>
      <c r="M321" s="8" t="s">
        <v>2933</v>
      </c>
      <c r="N321" s="8" t="s">
        <v>2937</v>
      </c>
      <c r="O321" s="1" t="s">
        <v>2934</v>
      </c>
      <c r="P321">
        <v>30</v>
      </c>
      <c r="Q321">
        <v>30</v>
      </c>
      <c r="R321">
        <v>0</v>
      </c>
      <c r="S321">
        <f t="shared" si="44"/>
        <v>30</v>
      </c>
      <c r="T321" s="1" t="s">
        <v>2935</v>
      </c>
      <c r="U321" s="1" t="s">
        <v>2932</v>
      </c>
      <c r="V321" s="3">
        <f t="shared" si="45"/>
        <v>40000</v>
      </c>
      <c r="W321" s="3">
        <f t="shared" si="46"/>
        <v>16000</v>
      </c>
      <c r="X321" s="3">
        <f t="shared" si="38"/>
        <v>1250</v>
      </c>
      <c r="Y321" s="3">
        <f t="shared" si="39"/>
        <v>1600</v>
      </c>
      <c r="Z321" s="3">
        <f t="shared" si="40"/>
        <v>1800</v>
      </c>
      <c r="AA321" s="3">
        <v>0</v>
      </c>
      <c r="AB321" s="3">
        <f>ROUND(U321 - (V321+W321+X321+Y321) - (U321/Q321 * 2),0)</f>
        <v>34483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f>SUM(V321+W321+X321+Y321+AB321)</f>
        <v>93333</v>
      </c>
      <c r="AK321" s="3">
        <f>SUM(AJ321-AA321)</f>
        <v>93333</v>
      </c>
      <c r="AL321" s="3">
        <f>IF(V321&lt;=15000,V321*12%,1800)</f>
        <v>1800</v>
      </c>
      <c r="AM321" s="3">
        <v>0</v>
      </c>
      <c r="AN321" s="3">
        <f t="shared" si="41"/>
        <v>1800</v>
      </c>
      <c r="AO321" s="12">
        <v>200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3">
        <f t="shared" si="43"/>
        <v>200</v>
      </c>
      <c r="AV321" s="3">
        <f>SUM(AJ321 - AN321 - AU321)</f>
        <v>91333</v>
      </c>
      <c r="AW321" s="11">
        <v>0</v>
      </c>
      <c r="AX321" s="11">
        <v>0</v>
      </c>
      <c r="AY321" s="11">
        <v>0</v>
      </c>
      <c r="AZ321" s="11">
        <v>0</v>
      </c>
      <c r="BA321" s="3">
        <f t="shared" si="42"/>
        <v>91333</v>
      </c>
    </row>
    <row r="322" spans="1:53" x14ac:dyDescent="0.25">
      <c r="A322" s="1" t="s">
        <v>320</v>
      </c>
      <c r="B322" s="9" t="s">
        <v>1706</v>
      </c>
      <c r="C322" s="9" t="s">
        <v>1216</v>
      </c>
      <c r="D322" s="9" t="s">
        <v>1707</v>
      </c>
      <c r="E322" s="9" t="s">
        <v>1012</v>
      </c>
      <c r="F322" s="10">
        <v>44441</v>
      </c>
      <c r="G322" s="9" t="s">
        <v>1019</v>
      </c>
      <c r="I322" s="9" t="s">
        <v>1020</v>
      </c>
      <c r="J322" s="9" t="s">
        <v>1021</v>
      </c>
      <c r="K322" s="8" t="s">
        <v>1006</v>
      </c>
      <c r="L322" s="8" t="s">
        <v>1007</v>
      </c>
      <c r="M322" s="8" t="s">
        <v>2933</v>
      </c>
      <c r="N322" s="8" t="s">
        <v>2937</v>
      </c>
      <c r="O322" s="1" t="s">
        <v>2934</v>
      </c>
      <c r="P322">
        <v>30</v>
      </c>
      <c r="Q322">
        <v>30</v>
      </c>
      <c r="R322">
        <v>0</v>
      </c>
      <c r="S322">
        <f t="shared" si="44"/>
        <v>30</v>
      </c>
      <c r="T322" s="1" t="s">
        <v>2935</v>
      </c>
      <c r="U322" s="1" t="s">
        <v>2932</v>
      </c>
      <c r="V322" s="3">
        <f t="shared" si="45"/>
        <v>40000</v>
      </c>
      <c r="W322" s="3">
        <f t="shared" si="46"/>
        <v>16000</v>
      </c>
      <c r="X322" s="3">
        <f t="shared" si="38"/>
        <v>1250</v>
      </c>
      <c r="Y322" s="3">
        <f t="shared" si="39"/>
        <v>1600</v>
      </c>
      <c r="Z322" s="3">
        <f t="shared" si="40"/>
        <v>1800</v>
      </c>
      <c r="AA322" s="3">
        <v>0</v>
      </c>
      <c r="AB322" s="3">
        <f>ROUND(U322 - (V322+W322+X322+Y322) - (U322/Q322 * 2),0)</f>
        <v>34483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f>SUM(V322+W322+X322+Y322+AB322)</f>
        <v>93333</v>
      </c>
      <c r="AK322" s="3">
        <f>SUM(AJ322-AA322)</f>
        <v>93333</v>
      </c>
      <c r="AL322" s="3">
        <f>IF(V322&lt;=15000,V322*12%,1800)</f>
        <v>1800</v>
      </c>
      <c r="AM322" s="3">
        <v>0</v>
      </c>
      <c r="AN322" s="3">
        <f t="shared" si="41"/>
        <v>1800</v>
      </c>
      <c r="AO322" s="12">
        <v>200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3">
        <f t="shared" si="43"/>
        <v>200</v>
      </c>
      <c r="AV322" s="3">
        <f>SUM(AJ322 - AN322 - AU322)</f>
        <v>91333</v>
      </c>
      <c r="AW322" s="11">
        <v>0</v>
      </c>
      <c r="AX322" s="11">
        <v>0</v>
      </c>
      <c r="AY322" s="11">
        <v>0</v>
      </c>
      <c r="AZ322" s="11">
        <v>0</v>
      </c>
      <c r="BA322" s="3">
        <f t="shared" si="42"/>
        <v>91333</v>
      </c>
    </row>
    <row r="323" spans="1:53" x14ac:dyDescent="0.25">
      <c r="A323" s="1" t="s">
        <v>321</v>
      </c>
      <c r="B323" s="9" t="s">
        <v>1704</v>
      </c>
      <c r="C323" s="9" t="s">
        <v>1106</v>
      </c>
      <c r="D323" s="9" t="s">
        <v>1705</v>
      </c>
      <c r="E323" s="9" t="s">
        <v>1008</v>
      </c>
      <c r="F323" s="10">
        <v>44438</v>
      </c>
      <c r="G323" s="9" t="s">
        <v>1019</v>
      </c>
      <c r="I323" s="9" t="s">
        <v>1042</v>
      </c>
      <c r="J323" s="9" t="s">
        <v>1036</v>
      </c>
      <c r="K323" s="8" t="s">
        <v>1006</v>
      </c>
      <c r="L323" s="8" t="s">
        <v>1007</v>
      </c>
      <c r="M323" s="8" t="s">
        <v>2933</v>
      </c>
      <c r="N323" s="8" t="s">
        <v>2937</v>
      </c>
      <c r="O323" s="1" t="s">
        <v>2934</v>
      </c>
      <c r="P323">
        <v>30</v>
      </c>
      <c r="Q323">
        <v>30</v>
      </c>
      <c r="R323">
        <v>0</v>
      </c>
      <c r="S323">
        <f t="shared" si="44"/>
        <v>30</v>
      </c>
      <c r="T323" s="1" t="s">
        <v>2935</v>
      </c>
      <c r="U323" s="1" t="s">
        <v>2932</v>
      </c>
      <c r="V323" s="3">
        <f t="shared" si="45"/>
        <v>40000</v>
      </c>
      <c r="W323" s="3">
        <f t="shared" si="46"/>
        <v>16000</v>
      </c>
      <c r="X323" s="3">
        <f t="shared" ref="X323:X386" si="47">ROUND(1250 - ((1250/Q323)*R323),0)</f>
        <v>1250</v>
      </c>
      <c r="Y323" s="3">
        <f t="shared" ref="Y323:Y386" si="48">ROUND(1600 - (1600/Q323) *R323,0)</f>
        <v>1600</v>
      </c>
      <c r="Z323" s="3">
        <f t="shared" ref="Z323:Z386" si="49">IF(V323&lt;=15000,V323*12%,1800)</f>
        <v>1800</v>
      </c>
      <c r="AA323" s="3">
        <v>0</v>
      </c>
      <c r="AB323" s="3">
        <f>ROUND(U323 - (V323+W323+X323+Y323) - (U323/Q323 * 2),0)</f>
        <v>34483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f>SUM(V323+W323+X323+Y323+AB323)</f>
        <v>93333</v>
      </c>
      <c r="AK323" s="3">
        <f>SUM(AJ323-AA323)</f>
        <v>93333</v>
      </c>
      <c r="AL323" s="3">
        <f>IF(V323&lt;=15000,V323*12%,1800)</f>
        <v>1800</v>
      </c>
      <c r="AM323" s="3">
        <v>0</v>
      </c>
      <c r="AN323" s="3">
        <f t="shared" ref="AN323:AN386" si="50">SUM(AL323+AM323)</f>
        <v>1800</v>
      </c>
      <c r="AO323" s="12">
        <v>200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3">
        <f t="shared" si="43"/>
        <v>200</v>
      </c>
      <c r="AV323" s="3">
        <f>SUM(AJ323 - AN323 - AU323)</f>
        <v>91333</v>
      </c>
      <c r="AW323" s="11">
        <v>0</v>
      </c>
      <c r="AX323" s="11">
        <v>0</v>
      </c>
      <c r="AY323" s="11">
        <v>0</v>
      </c>
      <c r="AZ323" s="11">
        <v>0</v>
      </c>
      <c r="BA323" s="3">
        <f t="shared" ref="BA323:BA386" si="51">AV323+AW323+AX323+AZ323</f>
        <v>91333</v>
      </c>
    </row>
    <row r="324" spans="1:53" x14ac:dyDescent="0.25">
      <c r="A324" s="1" t="s">
        <v>322</v>
      </c>
      <c r="B324" s="9" t="s">
        <v>1703</v>
      </c>
      <c r="C324" s="9" t="s">
        <v>1017</v>
      </c>
      <c r="D324" s="9">
        <v>0</v>
      </c>
      <c r="E324" s="9" t="s">
        <v>1012</v>
      </c>
      <c r="F324" s="10">
        <v>44097</v>
      </c>
      <c r="G324" s="9" t="s">
        <v>1013</v>
      </c>
      <c r="I324" s="9" t="s">
        <v>1014</v>
      </c>
      <c r="J324" s="9" t="s">
        <v>1021</v>
      </c>
      <c r="K324" s="8" t="s">
        <v>1006</v>
      </c>
      <c r="L324" s="8" t="s">
        <v>1007</v>
      </c>
      <c r="M324" s="8" t="s">
        <v>2933</v>
      </c>
      <c r="N324" s="8" t="s">
        <v>2937</v>
      </c>
      <c r="O324" s="1" t="s">
        <v>2934</v>
      </c>
      <c r="P324">
        <v>30</v>
      </c>
      <c r="Q324">
        <v>30</v>
      </c>
      <c r="R324">
        <v>0</v>
      </c>
      <c r="S324">
        <f t="shared" si="44"/>
        <v>30</v>
      </c>
      <c r="T324" s="1" t="s">
        <v>2935</v>
      </c>
      <c r="U324" s="1" t="s">
        <v>2932</v>
      </c>
      <c r="V324" s="3">
        <f t="shared" si="45"/>
        <v>40000</v>
      </c>
      <c r="W324" s="3">
        <f t="shared" si="46"/>
        <v>16000</v>
      </c>
      <c r="X324" s="3">
        <f t="shared" si="47"/>
        <v>1250</v>
      </c>
      <c r="Y324" s="3">
        <f t="shared" si="48"/>
        <v>1600</v>
      </c>
      <c r="Z324" s="3">
        <f t="shared" si="49"/>
        <v>1800</v>
      </c>
      <c r="AA324" s="3">
        <v>0</v>
      </c>
      <c r="AB324" s="3">
        <f>ROUND(U324 - (V324+W324+X324+Y324) - (U324/Q324 * 2),0)</f>
        <v>34483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f>SUM(V324+W324+X324+Y324+AB324)</f>
        <v>93333</v>
      </c>
      <c r="AK324" s="3">
        <f>SUM(AJ324-AA324)</f>
        <v>93333</v>
      </c>
      <c r="AL324" s="3">
        <f>IF(V324&lt;=15000,V324*12%,1800)</f>
        <v>1800</v>
      </c>
      <c r="AM324" s="3">
        <v>0</v>
      </c>
      <c r="AN324" s="3">
        <f t="shared" si="50"/>
        <v>1800</v>
      </c>
      <c r="AO324" s="12">
        <v>200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3">
        <f t="shared" ref="AU324:AU387" si="52">SUM(AO324:AT324)</f>
        <v>200</v>
      </c>
      <c r="AV324" s="3">
        <f>SUM(AJ324 - AN324 - AU324)</f>
        <v>91333</v>
      </c>
      <c r="AW324" s="11">
        <v>0</v>
      </c>
      <c r="AX324" s="11">
        <v>0</v>
      </c>
      <c r="AY324" s="11">
        <v>0</v>
      </c>
      <c r="AZ324" s="11">
        <v>0</v>
      </c>
      <c r="BA324" s="3">
        <f t="shared" si="51"/>
        <v>91333</v>
      </c>
    </row>
    <row r="325" spans="1:53" x14ac:dyDescent="0.25">
      <c r="A325" s="1" t="s">
        <v>323</v>
      </c>
      <c r="B325" s="9" t="s">
        <v>1701</v>
      </c>
      <c r="C325" s="9" t="s">
        <v>1023</v>
      </c>
      <c r="D325" s="9" t="s">
        <v>1702</v>
      </c>
      <c r="E325" s="9" t="s">
        <v>1012</v>
      </c>
      <c r="F325" s="10">
        <v>44447</v>
      </c>
      <c r="G325" s="9" t="s">
        <v>1019</v>
      </c>
      <c r="I325" s="9" t="s">
        <v>1014</v>
      </c>
      <c r="J325" s="9" t="s">
        <v>1021</v>
      </c>
      <c r="K325" s="8" t="s">
        <v>1006</v>
      </c>
      <c r="L325" s="8" t="s">
        <v>1007</v>
      </c>
      <c r="M325" s="8" t="s">
        <v>2933</v>
      </c>
      <c r="N325" s="8" t="s">
        <v>2937</v>
      </c>
      <c r="O325" s="1" t="s">
        <v>2934</v>
      </c>
      <c r="P325">
        <v>30</v>
      </c>
      <c r="Q325">
        <v>30</v>
      </c>
      <c r="R325">
        <v>0</v>
      </c>
      <c r="S325">
        <f t="shared" ref="S325:S388" si="53">SUM(Q325-R325)</f>
        <v>30</v>
      </c>
      <c r="T325" s="1" t="s">
        <v>2935</v>
      </c>
      <c r="U325" s="1" t="s">
        <v>2932</v>
      </c>
      <c r="V325" s="3">
        <f t="shared" ref="V325:V388" si="54">ROUND((U325*40%) / Q325  * S325,0)</f>
        <v>40000</v>
      </c>
      <c r="W325" s="3">
        <f t="shared" ref="W325:W388" si="55">ROUND((U325*16%) / Q325  * S325,0)</f>
        <v>16000</v>
      </c>
      <c r="X325" s="3">
        <f t="shared" si="47"/>
        <v>1250</v>
      </c>
      <c r="Y325" s="3">
        <f t="shared" si="48"/>
        <v>1600</v>
      </c>
      <c r="Z325" s="3">
        <f t="shared" si="49"/>
        <v>1800</v>
      </c>
      <c r="AA325" s="3">
        <v>0</v>
      </c>
      <c r="AB325" s="3">
        <f>ROUND(U325 - (V325+W325+X325+Y325) - (U325/Q325 * 2),0)</f>
        <v>34483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f>SUM(V325+W325+X325+Y325+AB325)</f>
        <v>93333</v>
      </c>
      <c r="AK325" s="3">
        <f>SUM(AJ325-AA325)</f>
        <v>93333</v>
      </c>
      <c r="AL325" s="3">
        <f>IF(V325&lt;=15000,V325*12%,1800)</f>
        <v>1800</v>
      </c>
      <c r="AM325" s="3">
        <v>0</v>
      </c>
      <c r="AN325" s="3">
        <f t="shared" si="50"/>
        <v>1800</v>
      </c>
      <c r="AO325" s="12">
        <v>200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3">
        <f t="shared" si="52"/>
        <v>200</v>
      </c>
      <c r="AV325" s="3">
        <f>SUM(AJ325 - AN325 - AU325)</f>
        <v>91333</v>
      </c>
      <c r="AW325" s="11">
        <v>0</v>
      </c>
      <c r="AX325" s="11">
        <v>0</v>
      </c>
      <c r="AY325" s="11">
        <v>0</v>
      </c>
      <c r="AZ325" s="11">
        <v>0</v>
      </c>
      <c r="BA325" s="3">
        <f t="shared" si="51"/>
        <v>91333</v>
      </c>
    </row>
    <row r="326" spans="1:53" x14ac:dyDescent="0.25">
      <c r="A326" s="1" t="s">
        <v>324</v>
      </c>
      <c r="B326" s="9" t="s">
        <v>1700</v>
      </c>
      <c r="C326" s="9" t="s">
        <v>1115</v>
      </c>
      <c r="D326" s="9">
        <v>0</v>
      </c>
      <c r="E326" s="9" t="s">
        <v>1012</v>
      </c>
      <c r="F326" s="10">
        <v>44287</v>
      </c>
      <c r="G326" s="9" t="s">
        <v>1019</v>
      </c>
      <c r="I326" s="9" t="s">
        <v>1042</v>
      </c>
      <c r="J326" s="9" t="s">
        <v>1048</v>
      </c>
      <c r="K326" s="8" t="s">
        <v>1006</v>
      </c>
      <c r="L326" s="8" t="s">
        <v>1007</v>
      </c>
      <c r="M326" s="8" t="s">
        <v>2933</v>
      </c>
      <c r="N326" s="8" t="s">
        <v>2937</v>
      </c>
      <c r="O326" s="1" t="s">
        <v>2934</v>
      </c>
      <c r="P326">
        <v>30</v>
      </c>
      <c r="Q326">
        <v>30</v>
      </c>
      <c r="R326">
        <v>0</v>
      </c>
      <c r="S326">
        <f t="shared" si="53"/>
        <v>30</v>
      </c>
      <c r="T326" s="1" t="s">
        <v>2935</v>
      </c>
      <c r="U326" s="1" t="s">
        <v>2932</v>
      </c>
      <c r="V326" s="3">
        <f t="shared" si="54"/>
        <v>40000</v>
      </c>
      <c r="W326" s="3">
        <f t="shared" si="55"/>
        <v>16000</v>
      </c>
      <c r="X326" s="3">
        <f t="shared" si="47"/>
        <v>1250</v>
      </c>
      <c r="Y326" s="3">
        <f t="shared" si="48"/>
        <v>1600</v>
      </c>
      <c r="Z326" s="3">
        <f t="shared" si="49"/>
        <v>1800</v>
      </c>
      <c r="AA326" s="3">
        <v>0</v>
      </c>
      <c r="AB326" s="3">
        <f>ROUND(U326 - (V326+W326+X326+Y326) - (U326/Q326 * 2),0)</f>
        <v>34483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f>SUM(V326+W326+X326+Y326+AB326)</f>
        <v>93333</v>
      </c>
      <c r="AK326" s="3">
        <f>SUM(AJ326-AA326)</f>
        <v>93333</v>
      </c>
      <c r="AL326" s="3">
        <f>IF(V326&lt;=15000,V326*12%,1800)</f>
        <v>1800</v>
      </c>
      <c r="AM326" s="3">
        <v>0</v>
      </c>
      <c r="AN326" s="3">
        <f t="shared" si="50"/>
        <v>1800</v>
      </c>
      <c r="AO326" s="12">
        <v>200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3">
        <f t="shared" si="52"/>
        <v>200</v>
      </c>
      <c r="AV326" s="3">
        <f>SUM(AJ326 - AN326 - AU326)</f>
        <v>91333</v>
      </c>
      <c r="AW326" s="11">
        <v>0</v>
      </c>
      <c r="AX326" s="11">
        <v>0</v>
      </c>
      <c r="AY326" s="11">
        <v>0</v>
      </c>
      <c r="AZ326" s="11">
        <v>0</v>
      </c>
      <c r="BA326" s="3">
        <f t="shared" si="51"/>
        <v>91333</v>
      </c>
    </row>
    <row r="327" spans="1:53" x14ac:dyDescent="0.25">
      <c r="A327" s="1" t="s">
        <v>325</v>
      </c>
      <c r="B327" s="9" t="s">
        <v>1699</v>
      </c>
      <c r="C327" s="9" t="s">
        <v>1305</v>
      </c>
      <c r="D327" s="9">
        <v>0</v>
      </c>
      <c r="E327" s="9" t="s">
        <v>1012</v>
      </c>
      <c r="F327" s="10">
        <v>43801</v>
      </c>
      <c r="G327" s="9" t="s">
        <v>1013</v>
      </c>
      <c r="I327" s="9" t="s">
        <v>1042</v>
      </c>
      <c r="J327" s="9" t="s">
        <v>1307</v>
      </c>
      <c r="K327" s="8" t="s">
        <v>1006</v>
      </c>
      <c r="L327" s="8" t="s">
        <v>1007</v>
      </c>
      <c r="M327" s="8" t="s">
        <v>2933</v>
      </c>
      <c r="N327" s="8" t="s">
        <v>2937</v>
      </c>
      <c r="O327" s="1" t="s">
        <v>2934</v>
      </c>
      <c r="P327">
        <v>30</v>
      </c>
      <c r="Q327">
        <v>30</v>
      </c>
      <c r="R327">
        <v>0</v>
      </c>
      <c r="S327">
        <f t="shared" si="53"/>
        <v>30</v>
      </c>
      <c r="T327" s="1" t="s">
        <v>2935</v>
      </c>
      <c r="U327" s="1" t="s">
        <v>2932</v>
      </c>
      <c r="V327" s="3">
        <f t="shared" si="54"/>
        <v>40000</v>
      </c>
      <c r="W327" s="3">
        <f t="shared" si="55"/>
        <v>16000</v>
      </c>
      <c r="X327" s="3">
        <f t="shared" si="47"/>
        <v>1250</v>
      </c>
      <c r="Y327" s="3">
        <f t="shared" si="48"/>
        <v>1600</v>
      </c>
      <c r="Z327" s="3">
        <f t="shared" si="49"/>
        <v>1800</v>
      </c>
      <c r="AA327" s="3">
        <v>0</v>
      </c>
      <c r="AB327" s="3">
        <f>ROUND(U327 - (V327+W327+X327+Y327) - (U327/Q327 * 2),0)</f>
        <v>34483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f>SUM(V327+W327+X327+Y327+AB327)</f>
        <v>93333</v>
      </c>
      <c r="AK327" s="3">
        <f>SUM(AJ327-AA327)</f>
        <v>93333</v>
      </c>
      <c r="AL327" s="3">
        <f>IF(V327&lt;=15000,V327*12%,1800)</f>
        <v>1800</v>
      </c>
      <c r="AM327" s="3">
        <v>0</v>
      </c>
      <c r="AN327" s="3">
        <f t="shared" si="50"/>
        <v>1800</v>
      </c>
      <c r="AO327" s="12">
        <v>200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3">
        <f t="shared" si="52"/>
        <v>200</v>
      </c>
      <c r="AV327" s="3">
        <f>SUM(AJ327 - AN327 - AU327)</f>
        <v>91333</v>
      </c>
      <c r="AW327" s="11">
        <v>0</v>
      </c>
      <c r="AX327" s="11">
        <v>0</v>
      </c>
      <c r="AY327" s="11">
        <v>0</v>
      </c>
      <c r="AZ327" s="11">
        <v>0</v>
      </c>
      <c r="BA327" s="3">
        <f t="shared" si="51"/>
        <v>91333</v>
      </c>
    </row>
    <row r="328" spans="1:53" x14ac:dyDescent="0.25">
      <c r="A328" s="1" t="s">
        <v>326</v>
      </c>
      <c r="B328" s="9" t="s">
        <v>1698</v>
      </c>
      <c r="C328" s="9" t="s">
        <v>1115</v>
      </c>
      <c r="D328" s="9">
        <v>0</v>
      </c>
      <c r="E328" s="9" t="s">
        <v>1012</v>
      </c>
      <c r="F328" s="10">
        <v>43689</v>
      </c>
      <c r="G328" s="9" t="s">
        <v>1013</v>
      </c>
      <c r="I328" s="9" t="s">
        <v>1042</v>
      </c>
      <c r="J328" s="9" t="s">
        <v>1048</v>
      </c>
      <c r="K328" s="8" t="s">
        <v>1006</v>
      </c>
      <c r="L328" s="8" t="s">
        <v>1007</v>
      </c>
      <c r="M328" s="8" t="s">
        <v>2933</v>
      </c>
      <c r="N328" s="8" t="s">
        <v>2937</v>
      </c>
      <c r="O328" s="1" t="s">
        <v>2934</v>
      </c>
      <c r="P328">
        <v>30</v>
      </c>
      <c r="Q328">
        <v>30</v>
      </c>
      <c r="R328">
        <v>0</v>
      </c>
      <c r="S328">
        <f t="shared" si="53"/>
        <v>30</v>
      </c>
      <c r="T328" s="1" t="s">
        <v>2935</v>
      </c>
      <c r="U328" s="1" t="s">
        <v>2932</v>
      </c>
      <c r="V328" s="3">
        <f t="shared" si="54"/>
        <v>40000</v>
      </c>
      <c r="W328" s="3">
        <f t="shared" si="55"/>
        <v>16000</v>
      </c>
      <c r="X328" s="3">
        <f t="shared" si="47"/>
        <v>1250</v>
      </c>
      <c r="Y328" s="3">
        <f t="shared" si="48"/>
        <v>1600</v>
      </c>
      <c r="Z328" s="3">
        <f t="shared" si="49"/>
        <v>1800</v>
      </c>
      <c r="AA328" s="3">
        <v>0</v>
      </c>
      <c r="AB328" s="3">
        <f>ROUND(U328 - (V328+W328+X328+Y328) - (U328/Q328 * 2),0)</f>
        <v>34483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f>SUM(V328+W328+X328+Y328+AB328)</f>
        <v>93333</v>
      </c>
      <c r="AK328" s="3">
        <f>SUM(AJ328-AA328)</f>
        <v>93333</v>
      </c>
      <c r="AL328" s="3">
        <f>IF(V328&lt;=15000,V328*12%,1800)</f>
        <v>1800</v>
      </c>
      <c r="AM328" s="3">
        <v>0</v>
      </c>
      <c r="AN328" s="3">
        <f t="shared" si="50"/>
        <v>1800</v>
      </c>
      <c r="AO328" s="12">
        <v>200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3">
        <f t="shared" si="52"/>
        <v>200</v>
      </c>
      <c r="AV328" s="3">
        <f>SUM(AJ328 - AN328 - AU328)</f>
        <v>91333</v>
      </c>
      <c r="AW328" s="11">
        <v>0</v>
      </c>
      <c r="AX328" s="11">
        <v>0</v>
      </c>
      <c r="AY328" s="11">
        <v>0</v>
      </c>
      <c r="AZ328" s="11">
        <v>0</v>
      </c>
      <c r="BA328" s="3">
        <f t="shared" si="51"/>
        <v>91333</v>
      </c>
    </row>
    <row r="329" spans="1:53" x14ac:dyDescent="0.25">
      <c r="A329" s="1" t="s">
        <v>327</v>
      </c>
      <c r="B329" s="9" t="s">
        <v>1697</v>
      </c>
      <c r="C329" s="9" t="s">
        <v>1115</v>
      </c>
      <c r="D329" s="9">
        <v>0</v>
      </c>
      <c r="E329" s="9" t="s">
        <v>1012</v>
      </c>
      <c r="F329" s="10">
        <v>43689</v>
      </c>
      <c r="G329" s="9" t="s">
        <v>1013</v>
      </c>
      <c r="I329" s="9" t="s">
        <v>1042</v>
      </c>
      <c r="J329" s="9" t="s">
        <v>1048</v>
      </c>
      <c r="K329" s="8" t="s">
        <v>1006</v>
      </c>
      <c r="L329" s="8" t="s">
        <v>1007</v>
      </c>
      <c r="M329" s="8" t="s">
        <v>2933</v>
      </c>
      <c r="N329" s="8" t="s">
        <v>2937</v>
      </c>
      <c r="O329" s="1" t="s">
        <v>2934</v>
      </c>
      <c r="P329">
        <v>30</v>
      </c>
      <c r="Q329">
        <v>30</v>
      </c>
      <c r="R329">
        <v>0</v>
      </c>
      <c r="S329">
        <f t="shared" si="53"/>
        <v>30</v>
      </c>
      <c r="T329" s="1" t="s">
        <v>2935</v>
      </c>
      <c r="U329" s="1" t="s">
        <v>2932</v>
      </c>
      <c r="V329" s="3">
        <f t="shared" si="54"/>
        <v>40000</v>
      </c>
      <c r="W329" s="3">
        <f t="shared" si="55"/>
        <v>16000</v>
      </c>
      <c r="X329" s="3">
        <f t="shared" si="47"/>
        <v>1250</v>
      </c>
      <c r="Y329" s="3">
        <f t="shared" si="48"/>
        <v>1600</v>
      </c>
      <c r="Z329" s="3">
        <f t="shared" si="49"/>
        <v>1800</v>
      </c>
      <c r="AA329" s="3">
        <v>0</v>
      </c>
      <c r="AB329" s="3">
        <f>ROUND(U329 - (V329+W329+X329+Y329) - (U329/Q329 * 2),0)</f>
        <v>34483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f>SUM(V329+W329+X329+Y329+AB329)</f>
        <v>93333</v>
      </c>
      <c r="AK329" s="3">
        <f>SUM(AJ329-AA329)</f>
        <v>93333</v>
      </c>
      <c r="AL329" s="3">
        <f>IF(V329&lt;=15000,V329*12%,1800)</f>
        <v>1800</v>
      </c>
      <c r="AM329" s="3">
        <v>0</v>
      </c>
      <c r="AN329" s="3">
        <f t="shared" si="50"/>
        <v>1800</v>
      </c>
      <c r="AO329" s="12">
        <v>200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3">
        <f t="shared" si="52"/>
        <v>200</v>
      </c>
      <c r="AV329" s="3">
        <f>SUM(AJ329 - AN329 - AU329)</f>
        <v>91333</v>
      </c>
      <c r="AW329" s="11">
        <v>0</v>
      </c>
      <c r="AX329" s="11">
        <v>0</v>
      </c>
      <c r="AY329" s="11">
        <v>0</v>
      </c>
      <c r="AZ329" s="11">
        <v>0</v>
      </c>
      <c r="BA329" s="3">
        <f t="shared" si="51"/>
        <v>91333</v>
      </c>
    </row>
    <row r="330" spans="1:53" x14ac:dyDescent="0.25">
      <c r="A330" s="1" t="s">
        <v>328</v>
      </c>
      <c r="B330" s="9" t="s">
        <v>1696</v>
      </c>
      <c r="C330" s="9" t="s">
        <v>1063</v>
      </c>
      <c r="D330" s="9">
        <v>0</v>
      </c>
      <c r="E330" s="9" t="s">
        <v>1012</v>
      </c>
      <c r="F330" s="10">
        <v>44249</v>
      </c>
      <c r="G330" s="9" t="s">
        <v>1019</v>
      </c>
      <c r="I330" s="9" t="s">
        <v>1014</v>
      </c>
      <c r="J330" s="9" t="s">
        <v>1015</v>
      </c>
      <c r="K330" s="8" t="s">
        <v>1006</v>
      </c>
      <c r="L330" s="8" t="s">
        <v>1007</v>
      </c>
      <c r="M330" s="8" t="s">
        <v>2933</v>
      </c>
      <c r="N330" s="8" t="s">
        <v>2937</v>
      </c>
      <c r="O330" s="1" t="s">
        <v>2934</v>
      </c>
      <c r="P330">
        <v>30</v>
      </c>
      <c r="Q330">
        <v>30</v>
      </c>
      <c r="R330">
        <v>0</v>
      </c>
      <c r="S330">
        <f t="shared" si="53"/>
        <v>30</v>
      </c>
      <c r="T330" s="1" t="s">
        <v>2935</v>
      </c>
      <c r="U330" s="1" t="s">
        <v>2932</v>
      </c>
      <c r="V330" s="3">
        <f t="shared" si="54"/>
        <v>40000</v>
      </c>
      <c r="W330" s="3">
        <f t="shared" si="55"/>
        <v>16000</v>
      </c>
      <c r="X330" s="3">
        <f t="shared" si="47"/>
        <v>1250</v>
      </c>
      <c r="Y330" s="3">
        <f t="shared" si="48"/>
        <v>1600</v>
      </c>
      <c r="Z330" s="3">
        <f t="shared" si="49"/>
        <v>1800</v>
      </c>
      <c r="AA330" s="3">
        <v>0</v>
      </c>
      <c r="AB330" s="3">
        <f>ROUND(U330 - (V330+W330+X330+Y330) - (U330/Q330 * 2),0)</f>
        <v>34483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f>SUM(V330+W330+X330+Y330+AB330)</f>
        <v>93333</v>
      </c>
      <c r="AK330" s="3">
        <f>SUM(AJ330-AA330)</f>
        <v>93333</v>
      </c>
      <c r="AL330" s="3">
        <f>IF(V330&lt;=15000,V330*12%,1800)</f>
        <v>1800</v>
      </c>
      <c r="AM330" s="3">
        <v>0</v>
      </c>
      <c r="AN330" s="3">
        <f t="shared" si="50"/>
        <v>1800</v>
      </c>
      <c r="AO330" s="12">
        <v>200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3">
        <f t="shared" si="52"/>
        <v>200</v>
      </c>
      <c r="AV330" s="3">
        <f>SUM(AJ330 - AN330 - AU330)</f>
        <v>91333</v>
      </c>
      <c r="AW330" s="11">
        <v>0</v>
      </c>
      <c r="AX330" s="11">
        <v>0</v>
      </c>
      <c r="AY330" s="11">
        <v>0</v>
      </c>
      <c r="AZ330" s="11">
        <v>0</v>
      </c>
      <c r="BA330" s="3">
        <f t="shared" si="51"/>
        <v>91333</v>
      </c>
    </row>
    <row r="331" spans="1:53" x14ac:dyDescent="0.25">
      <c r="A331" s="1" t="s">
        <v>329</v>
      </c>
      <c r="B331" s="9" t="s">
        <v>1695</v>
      </c>
      <c r="C331" s="9" t="s">
        <v>1017</v>
      </c>
      <c r="D331" s="9">
        <v>0</v>
      </c>
      <c r="E331" s="9" t="s">
        <v>1012</v>
      </c>
      <c r="F331" s="10">
        <v>44270</v>
      </c>
      <c r="G331" s="9" t="s">
        <v>1019</v>
      </c>
      <c r="I331" s="9" t="s">
        <v>1014</v>
      </c>
      <c r="J331" s="9" t="s">
        <v>1021</v>
      </c>
      <c r="K331" s="8" t="s">
        <v>1006</v>
      </c>
      <c r="L331" s="8" t="s">
        <v>1007</v>
      </c>
      <c r="M331" s="8" t="s">
        <v>2933</v>
      </c>
      <c r="N331" s="8" t="s">
        <v>2937</v>
      </c>
      <c r="O331" s="1" t="s">
        <v>2934</v>
      </c>
      <c r="P331">
        <v>30</v>
      </c>
      <c r="Q331">
        <v>30</v>
      </c>
      <c r="R331">
        <v>0</v>
      </c>
      <c r="S331">
        <f t="shared" si="53"/>
        <v>30</v>
      </c>
      <c r="T331" s="1" t="s">
        <v>2935</v>
      </c>
      <c r="U331" s="1" t="s">
        <v>2932</v>
      </c>
      <c r="V331" s="3">
        <f t="shared" si="54"/>
        <v>40000</v>
      </c>
      <c r="W331" s="3">
        <f t="shared" si="55"/>
        <v>16000</v>
      </c>
      <c r="X331" s="3">
        <f t="shared" si="47"/>
        <v>1250</v>
      </c>
      <c r="Y331" s="3">
        <f t="shared" si="48"/>
        <v>1600</v>
      </c>
      <c r="Z331" s="3">
        <f t="shared" si="49"/>
        <v>1800</v>
      </c>
      <c r="AA331" s="3">
        <v>0</v>
      </c>
      <c r="AB331" s="3">
        <f>ROUND(U331 - (V331+W331+X331+Y331) - (U331/Q331 * 2),0)</f>
        <v>34483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f>SUM(V331+W331+X331+Y331+AB331)</f>
        <v>93333</v>
      </c>
      <c r="AK331" s="3">
        <f>SUM(AJ331-AA331)</f>
        <v>93333</v>
      </c>
      <c r="AL331" s="3">
        <f>IF(V331&lt;=15000,V331*12%,1800)</f>
        <v>1800</v>
      </c>
      <c r="AM331" s="3">
        <v>0</v>
      </c>
      <c r="AN331" s="3">
        <f t="shared" si="50"/>
        <v>1800</v>
      </c>
      <c r="AO331" s="12">
        <v>200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3">
        <f t="shared" si="52"/>
        <v>200</v>
      </c>
      <c r="AV331" s="3">
        <f>SUM(AJ331 - AN331 - AU331)</f>
        <v>91333</v>
      </c>
      <c r="AW331" s="11">
        <v>0</v>
      </c>
      <c r="AX331" s="11">
        <v>0</v>
      </c>
      <c r="AY331" s="11">
        <v>0</v>
      </c>
      <c r="AZ331" s="11">
        <v>0</v>
      </c>
      <c r="BA331" s="3">
        <f t="shared" si="51"/>
        <v>91333</v>
      </c>
    </row>
    <row r="332" spans="1:53" x14ac:dyDescent="0.25">
      <c r="A332" s="1" t="s">
        <v>330</v>
      </c>
      <c r="B332" s="9" t="s">
        <v>1694</v>
      </c>
      <c r="C332" s="9" t="s">
        <v>1115</v>
      </c>
      <c r="D332" s="9">
        <v>0</v>
      </c>
      <c r="E332" s="9" t="s">
        <v>1012</v>
      </c>
      <c r="F332" s="10">
        <v>44287</v>
      </c>
      <c r="G332" s="9" t="s">
        <v>1013</v>
      </c>
      <c r="I332" s="9" t="s">
        <v>1042</v>
      </c>
      <c r="J332" s="9" t="s">
        <v>1048</v>
      </c>
      <c r="K332" s="8" t="s">
        <v>1006</v>
      </c>
      <c r="L332" s="8" t="s">
        <v>1007</v>
      </c>
      <c r="M332" s="8" t="s">
        <v>2933</v>
      </c>
      <c r="N332" s="8" t="s">
        <v>2937</v>
      </c>
      <c r="O332" s="1" t="s">
        <v>2934</v>
      </c>
      <c r="P332">
        <v>30</v>
      </c>
      <c r="Q332">
        <v>30</v>
      </c>
      <c r="R332">
        <v>0</v>
      </c>
      <c r="S332">
        <f t="shared" si="53"/>
        <v>30</v>
      </c>
      <c r="T332" s="1" t="s">
        <v>2935</v>
      </c>
      <c r="U332" s="1" t="s">
        <v>2932</v>
      </c>
      <c r="V332" s="3">
        <f t="shared" si="54"/>
        <v>40000</v>
      </c>
      <c r="W332" s="3">
        <f t="shared" si="55"/>
        <v>16000</v>
      </c>
      <c r="X332" s="3">
        <f t="shared" si="47"/>
        <v>1250</v>
      </c>
      <c r="Y332" s="3">
        <f t="shared" si="48"/>
        <v>1600</v>
      </c>
      <c r="Z332" s="3">
        <f t="shared" si="49"/>
        <v>1800</v>
      </c>
      <c r="AA332" s="3">
        <v>0</v>
      </c>
      <c r="AB332" s="3">
        <f>ROUND(U332 - (V332+W332+X332+Y332) - (U332/Q332 * 2),0)</f>
        <v>34483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f>SUM(V332+W332+X332+Y332+AB332)</f>
        <v>93333</v>
      </c>
      <c r="AK332" s="3">
        <f>SUM(AJ332-AA332)</f>
        <v>93333</v>
      </c>
      <c r="AL332" s="3">
        <f>IF(V332&lt;=15000,V332*12%,1800)</f>
        <v>1800</v>
      </c>
      <c r="AM332" s="3">
        <v>0</v>
      </c>
      <c r="AN332" s="3">
        <f t="shared" si="50"/>
        <v>1800</v>
      </c>
      <c r="AO332" s="12">
        <v>200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3">
        <f t="shared" si="52"/>
        <v>200</v>
      </c>
      <c r="AV332" s="3">
        <f>SUM(AJ332 - AN332 - AU332)</f>
        <v>91333</v>
      </c>
      <c r="AW332" s="11">
        <v>0</v>
      </c>
      <c r="AX332" s="11">
        <v>0</v>
      </c>
      <c r="AY332" s="11">
        <v>0</v>
      </c>
      <c r="AZ332" s="11">
        <v>0</v>
      </c>
      <c r="BA332" s="3">
        <f t="shared" si="51"/>
        <v>91333</v>
      </c>
    </row>
    <row r="333" spans="1:53" x14ac:dyDescent="0.25">
      <c r="A333" s="1" t="s">
        <v>331</v>
      </c>
      <c r="B333" s="9" t="s">
        <v>1693</v>
      </c>
      <c r="C333" s="9" t="s">
        <v>1010</v>
      </c>
      <c r="D333" s="9">
        <v>0</v>
      </c>
      <c r="E333" s="9" t="s">
        <v>1012</v>
      </c>
      <c r="F333" s="10">
        <v>43683</v>
      </c>
      <c r="G333" s="9" t="s">
        <v>1019</v>
      </c>
      <c r="I333" s="9" t="s">
        <v>1014</v>
      </c>
      <c r="J333" s="9" t="s">
        <v>1021</v>
      </c>
      <c r="K333" s="8" t="s">
        <v>1006</v>
      </c>
      <c r="L333" s="8" t="s">
        <v>1007</v>
      </c>
      <c r="M333" s="8" t="s">
        <v>2933</v>
      </c>
      <c r="N333" s="8" t="s">
        <v>2937</v>
      </c>
      <c r="O333" s="1" t="s">
        <v>2934</v>
      </c>
      <c r="P333">
        <v>30</v>
      </c>
      <c r="Q333">
        <v>30</v>
      </c>
      <c r="R333">
        <v>0</v>
      </c>
      <c r="S333">
        <f t="shared" si="53"/>
        <v>30</v>
      </c>
      <c r="T333" s="1" t="s">
        <v>2935</v>
      </c>
      <c r="U333" s="1" t="s">
        <v>2932</v>
      </c>
      <c r="V333" s="3">
        <f t="shared" si="54"/>
        <v>40000</v>
      </c>
      <c r="W333" s="3">
        <f t="shared" si="55"/>
        <v>16000</v>
      </c>
      <c r="X333" s="3">
        <f t="shared" si="47"/>
        <v>1250</v>
      </c>
      <c r="Y333" s="3">
        <f t="shared" si="48"/>
        <v>1600</v>
      </c>
      <c r="Z333" s="3">
        <f t="shared" si="49"/>
        <v>1800</v>
      </c>
      <c r="AA333" s="3">
        <v>0</v>
      </c>
      <c r="AB333" s="3">
        <f>ROUND(U333 - (V333+W333+X333+Y333) - (U333/Q333 * 2),0)</f>
        <v>34483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f>SUM(V333+W333+X333+Y333+AB333)</f>
        <v>93333</v>
      </c>
      <c r="AK333" s="3">
        <f>SUM(AJ333-AA333)</f>
        <v>93333</v>
      </c>
      <c r="AL333" s="3">
        <f>IF(V333&lt;=15000,V333*12%,1800)</f>
        <v>1800</v>
      </c>
      <c r="AM333" s="3">
        <v>0</v>
      </c>
      <c r="AN333" s="3">
        <f t="shared" si="50"/>
        <v>1800</v>
      </c>
      <c r="AO333" s="12">
        <v>200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3">
        <f t="shared" si="52"/>
        <v>200</v>
      </c>
      <c r="AV333" s="3">
        <f>SUM(AJ333 - AN333 - AU333)</f>
        <v>91333</v>
      </c>
      <c r="AW333" s="11">
        <v>0</v>
      </c>
      <c r="AX333" s="11">
        <v>0</v>
      </c>
      <c r="AY333" s="11">
        <v>0</v>
      </c>
      <c r="AZ333" s="11">
        <v>0</v>
      </c>
      <c r="BA333" s="3">
        <f t="shared" si="51"/>
        <v>91333</v>
      </c>
    </row>
    <row r="334" spans="1:53" x14ac:dyDescent="0.25">
      <c r="A334" s="1" t="s">
        <v>332</v>
      </c>
      <c r="B334" s="9" t="s">
        <v>1692</v>
      </c>
      <c r="C334" s="9" t="s">
        <v>1115</v>
      </c>
      <c r="D334" s="9">
        <v>0</v>
      </c>
      <c r="E334" s="9" t="s">
        <v>1012</v>
      </c>
      <c r="F334" s="10">
        <v>44447</v>
      </c>
      <c r="G334" s="9" t="s">
        <v>1019</v>
      </c>
      <c r="I334" s="9" t="s">
        <v>1042</v>
      </c>
      <c r="J334" s="9" t="s">
        <v>1048</v>
      </c>
      <c r="K334" s="8" t="s">
        <v>1006</v>
      </c>
      <c r="L334" s="8" t="s">
        <v>1007</v>
      </c>
      <c r="M334" s="8" t="s">
        <v>2933</v>
      </c>
      <c r="N334" s="8" t="s">
        <v>2937</v>
      </c>
      <c r="O334" s="1" t="s">
        <v>2934</v>
      </c>
      <c r="P334">
        <v>30</v>
      </c>
      <c r="Q334">
        <v>30</v>
      </c>
      <c r="R334">
        <v>0</v>
      </c>
      <c r="S334">
        <f t="shared" si="53"/>
        <v>30</v>
      </c>
      <c r="T334" s="1" t="s">
        <v>2935</v>
      </c>
      <c r="U334" s="1" t="s">
        <v>2932</v>
      </c>
      <c r="V334" s="3">
        <f t="shared" si="54"/>
        <v>40000</v>
      </c>
      <c r="W334" s="3">
        <f t="shared" si="55"/>
        <v>16000</v>
      </c>
      <c r="X334" s="3">
        <f t="shared" si="47"/>
        <v>1250</v>
      </c>
      <c r="Y334" s="3">
        <f t="shared" si="48"/>
        <v>1600</v>
      </c>
      <c r="Z334" s="3">
        <f t="shared" si="49"/>
        <v>1800</v>
      </c>
      <c r="AA334" s="3">
        <v>0</v>
      </c>
      <c r="AB334" s="3">
        <f>ROUND(U334 - (V334+W334+X334+Y334) - (U334/Q334 * 2),0)</f>
        <v>34483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f>SUM(V334+W334+X334+Y334+AB334)</f>
        <v>93333</v>
      </c>
      <c r="AK334" s="3">
        <f>SUM(AJ334-AA334)</f>
        <v>93333</v>
      </c>
      <c r="AL334" s="3">
        <f>IF(V334&lt;=15000,V334*12%,1800)</f>
        <v>1800</v>
      </c>
      <c r="AM334" s="3">
        <v>0</v>
      </c>
      <c r="AN334" s="3">
        <f t="shared" si="50"/>
        <v>1800</v>
      </c>
      <c r="AO334" s="12">
        <v>200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3">
        <f t="shared" si="52"/>
        <v>200</v>
      </c>
      <c r="AV334" s="3">
        <f>SUM(AJ334 - AN334 - AU334)</f>
        <v>91333</v>
      </c>
      <c r="AW334" s="11">
        <v>0</v>
      </c>
      <c r="AX334" s="11">
        <v>0</v>
      </c>
      <c r="AY334" s="11">
        <v>0</v>
      </c>
      <c r="AZ334" s="11">
        <v>0</v>
      </c>
      <c r="BA334" s="3">
        <f t="shared" si="51"/>
        <v>91333</v>
      </c>
    </row>
    <row r="335" spans="1:53" x14ac:dyDescent="0.25">
      <c r="A335" s="1" t="s">
        <v>333</v>
      </c>
      <c r="B335" s="9" t="s">
        <v>1738</v>
      </c>
      <c r="C335" s="9" t="s">
        <v>1063</v>
      </c>
      <c r="D335" s="9" t="s">
        <v>1739</v>
      </c>
      <c r="E335" s="9" t="s">
        <v>1012</v>
      </c>
      <c r="F335" s="10">
        <v>44447</v>
      </c>
      <c r="G335" s="9" t="s">
        <v>1019</v>
      </c>
      <c r="I335" s="9" t="s">
        <v>1035</v>
      </c>
      <c r="J335" s="9" t="s">
        <v>1015</v>
      </c>
      <c r="K335" s="8" t="s">
        <v>1006</v>
      </c>
      <c r="L335" s="8" t="s">
        <v>1007</v>
      </c>
      <c r="M335" s="8" t="s">
        <v>2933</v>
      </c>
      <c r="N335" s="8" t="s">
        <v>2937</v>
      </c>
      <c r="O335" s="1" t="s">
        <v>2934</v>
      </c>
      <c r="P335">
        <v>30</v>
      </c>
      <c r="Q335">
        <v>30</v>
      </c>
      <c r="R335">
        <v>0</v>
      </c>
      <c r="S335">
        <f t="shared" si="53"/>
        <v>30</v>
      </c>
      <c r="T335" s="1" t="s">
        <v>2935</v>
      </c>
      <c r="U335" s="1" t="s">
        <v>2932</v>
      </c>
      <c r="V335" s="3">
        <f t="shared" si="54"/>
        <v>40000</v>
      </c>
      <c r="W335" s="3">
        <f t="shared" si="55"/>
        <v>16000</v>
      </c>
      <c r="X335" s="3">
        <f t="shared" si="47"/>
        <v>1250</v>
      </c>
      <c r="Y335" s="3">
        <f t="shared" si="48"/>
        <v>1600</v>
      </c>
      <c r="Z335" s="3">
        <f t="shared" si="49"/>
        <v>1800</v>
      </c>
      <c r="AA335" s="3">
        <v>0</v>
      </c>
      <c r="AB335" s="3">
        <f>ROUND(U335 - (V335+W335+X335+Y335) - (U335/Q335 * 2),0)</f>
        <v>34483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f>SUM(V335+W335+X335+Y335+AB335)</f>
        <v>93333</v>
      </c>
      <c r="AK335" s="3">
        <f>SUM(AJ335-AA335)</f>
        <v>93333</v>
      </c>
      <c r="AL335" s="3">
        <f>IF(V335&lt;=15000,V335*12%,1800)</f>
        <v>1800</v>
      </c>
      <c r="AM335" s="3">
        <v>0</v>
      </c>
      <c r="AN335" s="3">
        <f t="shared" si="50"/>
        <v>1800</v>
      </c>
      <c r="AO335" s="12">
        <v>200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3">
        <f t="shared" si="52"/>
        <v>200</v>
      </c>
      <c r="AV335" s="3">
        <f>SUM(AJ335 - AN335 - AU335)</f>
        <v>91333</v>
      </c>
      <c r="AW335" s="11">
        <v>0</v>
      </c>
      <c r="AX335" s="11">
        <v>0</v>
      </c>
      <c r="AY335" s="11">
        <v>0</v>
      </c>
      <c r="AZ335" s="11">
        <v>0</v>
      </c>
      <c r="BA335" s="3">
        <f t="shared" si="51"/>
        <v>91333</v>
      </c>
    </row>
    <row r="336" spans="1:53" x14ac:dyDescent="0.25">
      <c r="A336" s="1" t="s">
        <v>334</v>
      </c>
      <c r="B336" s="9" t="s">
        <v>1736</v>
      </c>
      <c r="C336" s="9" t="s">
        <v>1023</v>
      </c>
      <c r="D336" s="9" t="s">
        <v>1737</v>
      </c>
      <c r="E336" s="9" t="s">
        <v>1012</v>
      </c>
      <c r="F336" s="10">
        <v>44454</v>
      </c>
      <c r="G336" s="9" t="s">
        <v>1019</v>
      </c>
      <c r="I336" s="9" t="s">
        <v>1035</v>
      </c>
      <c r="J336" s="9" t="s">
        <v>1021</v>
      </c>
      <c r="K336" s="8" t="s">
        <v>1006</v>
      </c>
      <c r="L336" s="8" t="s">
        <v>1007</v>
      </c>
      <c r="M336" s="8" t="s">
        <v>2933</v>
      </c>
      <c r="N336" s="8" t="s">
        <v>2937</v>
      </c>
      <c r="O336" s="1" t="s">
        <v>2934</v>
      </c>
      <c r="P336">
        <v>30</v>
      </c>
      <c r="Q336">
        <v>30</v>
      </c>
      <c r="R336">
        <v>0</v>
      </c>
      <c r="S336">
        <f t="shared" si="53"/>
        <v>30</v>
      </c>
      <c r="T336" s="1" t="s">
        <v>2935</v>
      </c>
      <c r="U336" s="1" t="s">
        <v>2932</v>
      </c>
      <c r="V336" s="3">
        <f t="shared" si="54"/>
        <v>40000</v>
      </c>
      <c r="W336" s="3">
        <f t="shared" si="55"/>
        <v>16000</v>
      </c>
      <c r="X336" s="3">
        <f t="shared" si="47"/>
        <v>1250</v>
      </c>
      <c r="Y336" s="3">
        <f t="shared" si="48"/>
        <v>1600</v>
      </c>
      <c r="Z336" s="3">
        <f t="shared" si="49"/>
        <v>1800</v>
      </c>
      <c r="AA336" s="3">
        <v>0</v>
      </c>
      <c r="AB336" s="3">
        <f>ROUND(U336 - (V336+W336+X336+Y336) - (U336/Q336 * 2),0)</f>
        <v>34483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f>SUM(V336+W336+X336+Y336+AB336)</f>
        <v>93333</v>
      </c>
      <c r="AK336" s="3">
        <f>SUM(AJ336-AA336)</f>
        <v>93333</v>
      </c>
      <c r="AL336" s="3">
        <f>IF(V336&lt;=15000,V336*12%,1800)</f>
        <v>1800</v>
      </c>
      <c r="AM336" s="3">
        <v>0</v>
      </c>
      <c r="AN336" s="3">
        <f t="shared" si="50"/>
        <v>1800</v>
      </c>
      <c r="AO336" s="12">
        <v>200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3">
        <f t="shared" si="52"/>
        <v>200</v>
      </c>
      <c r="AV336" s="3">
        <f>SUM(AJ336 - AN336 - AU336)</f>
        <v>91333</v>
      </c>
      <c r="AW336" s="11">
        <v>0</v>
      </c>
      <c r="AX336" s="11">
        <v>0</v>
      </c>
      <c r="AY336" s="11">
        <v>0</v>
      </c>
      <c r="AZ336" s="11">
        <v>0</v>
      </c>
      <c r="BA336" s="3">
        <f t="shared" si="51"/>
        <v>91333</v>
      </c>
    </row>
    <row r="337" spans="1:53" x14ac:dyDescent="0.25">
      <c r="A337" s="1" t="s">
        <v>335</v>
      </c>
      <c r="B337" s="9" t="s">
        <v>1735</v>
      </c>
      <c r="C337" s="9" t="s">
        <v>1216</v>
      </c>
      <c r="D337" s="9">
        <v>0</v>
      </c>
      <c r="E337" s="9" t="s">
        <v>1012</v>
      </c>
      <c r="F337" s="10">
        <v>44454</v>
      </c>
      <c r="G337" s="9" t="s">
        <v>1019</v>
      </c>
      <c r="I337" s="9" t="s">
        <v>1209</v>
      </c>
      <c r="J337" s="9" t="s">
        <v>1021</v>
      </c>
      <c r="K337" s="8" t="s">
        <v>1006</v>
      </c>
      <c r="L337" s="8" t="s">
        <v>1007</v>
      </c>
      <c r="M337" s="8" t="s">
        <v>2933</v>
      </c>
      <c r="N337" s="8" t="s">
        <v>2937</v>
      </c>
      <c r="O337" s="1" t="s">
        <v>2934</v>
      </c>
      <c r="P337">
        <v>30</v>
      </c>
      <c r="Q337">
        <v>30</v>
      </c>
      <c r="R337">
        <v>0</v>
      </c>
      <c r="S337">
        <f t="shared" si="53"/>
        <v>30</v>
      </c>
      <c r="T337" s="1" t="s">
        <v>2935</v>
      </c>
      <c r="U337" s="1" t="s">
        <v>2932</v>
      </c>
      <c r="V337" s="3">
        <f t="shared" si="54"/>
        <v>40000</v>
      </c>
      <c r="W337" s="3">
        <f t="shared" si="55"/>
        <v>16000</v>
      </c>
      <c r="X337" s="3">
        <f t="shared" si="47"/>
        <v>1250</v>
      </c>
      <c r="Y337" s="3">
        <f t="shared" si="48"/>
        <v>1600</v>
      </c>
      <c r="Z337" s="3">
        <f t="shared" si="49"/>
        <v>1800</v>
      </c>
      <c r="AA337" s="3">
        <v>0</v>
      </c>
      <c r="AB337" s="3">
        <f>ROUND(U337 - (V337+W337+X337+Y337) - (U337/Q337 * 2),0)</f>
        <v>34483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f>SUM(V337+W337+X337+Y337+AB337)</f>
        <v>93333</v>
      </c>
      <c r="AK337" s="3">
        <f>SUM(AJ337-AA337)</f>
        <v>93333</v>
      </c>
      <c r="AL337" s="3">
        <f>IF(V337&lt;=15000,V337*12%,1800)</f>
        <v>1800</v>
      </c>
      <c r="AM337" s="3">
        <v>0</v>
      </c>
      <c r="AN337" s="3">
        <f t="shared" si="50"/>
        <v>1800</v>
      </c>
      <c r="AO337" s="12">
        <v>200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3">
        <f t="shared" si="52"/>
        <v>200</v>
      </c>
      <c r="AV337" s="3">
        <f>SUM(AJ337 - AN337 - AU337)</f>
        <v>91333</v>
      </c>
      <c r="AW337" s="11">
        <v>0</v>
      </c>
      <c r="AX337" s="11">
        <v>0</v>
      </c>
      <c r="AY337" s="11">
        <v>0</v>
      </c>
      <c r="AZ337" s="11">
        <v>0</v>
      </c>
      <c r="BA337" s="3">
        <f t="shared" si="51"/>
        <v>91333</v>
      </c>
    </row>
    <row r="338" spans="1:53" x14ac:dyDescent="0.25">
      <c r="A338" s="1" t="s">
        <v>336</v>
      </c>
      <c r="B338" s="9" t="s">
        <v>1733</v>
      </c>
      <c r="C338" s="9" t="s">
        <v>1115</v>
      </c>
      <c r="D338" s="9" t="s">
        <v>1734</v>
      </c>
      <c r="E338" s="9" t="s">
        <v>1012</v>
      </c>
      <c r="F338" s="10">
        <v>44459</v>
      </c>
      <c r="G338" s="9" t="s">
        <v>1019</v>
      </c>
      <c r="I338" s="9" t="s">
        <v>1035</v>
      </c>
      <c r="J338" s="9" t="s">
        <v>1048</v>
      </c>
      <c r="K338" s="8" t="s">
        <v>1006</v>
      </c>
      <c r="L338" s="8" t="s">
        <v>1007</v>
      </c>
      <c r="M338" s="8" t="s">
        <v>2933</v>
      </c>
      <c r="N338" s="8" t="s">
        <v>2937</v>
      </c>
      <c r="O338" s="1" t="s">
        <v>2934</v>
      </c>
      <c r="P338">
        <v>30</v>
      </c>
      <c r="Q338">
        <v>30</v>
      </c>
      <c r="R338">
        <v>0</v>
      </c>
      <c r="S338">
        <f t="shared" si="53"/>
        <v>30</v>
      </c>
      <c r="T338" s="1" t="s">
        <v>2935</v>
      </c>
      <c r="U338" s="1" t="s">
        <v>2932</v>
      </c>
      <c r="V338" s="3">
        <f t="shared" si="54"/>
        <v>40000</v>
      </c>
      <c r="W338" s="3">
        <f t="shared" si="55"/>
        <v>16000</v>
      </c>
      <c r="X338" s="3">
        <f t="shared" si="47"/>
        <v>1250</v>
      </c>
      <c r="Y338" s="3">
        <f t="shared" si="48"/>
        <v>1600</v>
      </c>
      <c r="Z338" s="3">
        <f t="shared" si="49"/>
        <v>1800</v>
      </c>
      <c r="AA338" s="3">
        <v>0</v>
      </c>
      <c r="AB338" s="3">
        <f>ROUND(U338 - (V338+W338+X338+Y338) - (U338/Q338 * 2),0)</f>
        <v>34483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f>SUM(V338+W338+X338+Y338+AB338)</f>
        <v>93333</v>
      </c>
      <c r="AK338" s="3">
        <f>SUM(AJ338-AA338)</f>
        <v>93333</v>
      </c>
      <c r="AL338" s="3">
        <f>IF(V338&lt;=15000,V338*12%,1800)</f>
        <v>1800</v>
      </c>
      <c r="AM338" s="3">
        <v>0</v>
      </c>
      <c r="AN338" s="3">
        <f t="shared" si="50"/>
        <v>1800</v>
      </c>
      <c r="AO338" s="12">
        <v>200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3">
        <f t="shared" si="52"/>
        <v>200</v>
      </c>
      <c r="AV338" s="3">
        <f>SUM(AJ338 - AN338 - AU338)</f>
        <v>91333</v>
      </c>
      <c r="AW338" s="11">
        <v>0</v>
      </c>
      <c r="AX338" s="11">
        <v>0</v>
      </c>
      <c r="AY338" s="11">
        <v>0</v>
      </c>
      <c r="AZ338" s="11">
        <v>0</v>
      </c>
      <c r="BA338" s="3">
        <f t="shared" si="51"/>
        <v>91333</v>
      </c>
    </row>
    <row r="339" spans="1:53" x14ac:dyDescent="0.25">
      <c r="A339" s="1" t="s">
        <v>337</v>
      </c>
      <c r="B339" s="9" t="s">
        <v>1731</v>
      </c>
      <c r="C339" s="9" t="s">
        <v>1115</v>
      </c>
      <c r="D339" s="9" t="s">
        <v>1732</v>
      </c>
      <c r="E339" s="9" t="s">
        <v>1008</v>
      </c>
      <c r="F339" s="10">
        <v>44459</v>
      </c>
      <c r="G339" s="9" t="s">
        <v>1013</v>
      </c>
      <c r="I339" s="9" t="s">
        <v>1042</v>
      </c>
      <c r="J339" s="9" t="s">
        <v>1048</v>
      </c>
      <c r="K339" s="8" t="s">
        <v>1006</v>
      </c>
      <c r="L339" s="8" t="s">
        <v>1007</v>
      </c>
      <c r="M339" s="8" t="s">
        <v>2933</v>
      </c>
      <c r="N339" s="8" t="s">
        <v>2937</v>
      </c>
      <c r="O339" s="1" t="s">
        <v>2934</v>
      </c>
      <c r="P339">
        <v>30</v>
      </c>
      <c r="Q339">
        <v>30</v>
      </c>
      <c r="R339">
        <v>0</v>
      </c>
      <c r="S339">
        <f t="shared" si="53"/>
        <v>30</v>
      </c>
      <c r="T339" s="1" t="s">
        <v>2935</v>
      </c>
      <c r="U339" s="1" t="s">
        <v>2932</v>
      </c>
      <c r="V339" s="3">
        <f t="shared" si="54"/>
        <v>40000</v>
      </c>
      <c r="W339" s="3">
        <f t="shared" si="55"/>
        <v>16000</v>
      </c>
      <c r="X339" s="3">
        <f t="shared" si="47"/>
        <v>1250</v>
      </c>
      <c r="Y339" s="3">
        <f t="shared" si="48"/>
        <v>1600</v>
      </c>
      <c r="Z339" s="3">
        <f t="shared" si="49"/>
        <v>1800</v>
      </c>
      <c r="AA339" s="3">
        <v>0</v>
      </c>
      <c r="AB339" s="3">
        <f>ROUND(U339 - (V339+W339+X339+Y339) - (U339/Q339 * 2),0)</f>
        <v>34483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f>SUM(V339+W339+X339+Y339+AB339)</f>
        <v>93333</v>
      </c>
      <c r="AK339" s="3">
        <f>SUM(AJ339-AA339)</f>
        <v>93333</v>
      </c>
      <c r="AL339" s="3">
        <f>IF(V339&lt;=15000,V339*12%,1800)</f>
        <v>1800</v>
      </c>
      <c r="AM339" s="3">
        <v>0</v>
      </c>
      <c r="AN339" s="3">
        <f t="shared" si="50"/>
        <v>1800</v>
      </c>
      <c r="AO339" s="12">
        <v>200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3">
        <f t="shared" si="52"/>
        <v>200</v>
      </c>
      <c r="AV339" s="3">
        <f>SUM(AJ339 - AN339 - AU339)</f>
        <v>91333</v>
      </c>
      <c r="AW339" s="11">
        <v>0</v>
      </c>
      <c r="AX339" s="11">
        <v>0</v>
      </c>
      <c r="AY339" s="11">
        <v>0</v>
      </c>
      <c r="AZ339" s="11">
        <v>0</v>
      </c>
      <c r="BA339" s="3">
        <f t="shared" si="51"/>
        <v>91333</v>
      </c>
    </row>
    <row r="340" spans="1:53" x14ac:dyDescent="0.25">
      <c r="A340" s="1" t="s">
        <v>338</v>
      </c>
      <c r="B340" s="9" t="s">
        <v>1729</v>
      </c>
      <c r="C340" s="9" t="s">
        <v>1115</v>
      </c>
      <c r="D340" s="9" t="s">
        <v>1730</v>
      </c>
      <c r="E340" s="9" t="s">
        <v>1012</v>
      </c>
      <c r="F340" s="10">
        <v>44459</v>
      </c>
      <c r="G340" s="9" t="s">
        <v>1019</v>
      </c>
      <c r="I340" s="9" t="s">
        <v>1042</v>
      </c>
      <c r="J340" s="9" t="s">
        <v>1048</v>
      </c>
      <c r="K340" s="8" t="s">
        <v>1006</v>
      </c>
      <c r="L340" s="8" t="s">
        <v>1007</v>
      </c>
      <c r="M340" s="8" t="s">
        <v>2933</v>
      </c>
      <c r="N340" s="8" t="s">
        <v>2937</v>
      </c>
      <c r="O340" s="1" t="s">
        <v>2934</v>
      </c>
      <c r="P340">
        <v>30</v>
      </c>
      <c r="Q340">
        <v>30</v>
      </c>
      <c r="R340">
        <v>0</v>
      </c>
      <c r="S340">
        <f t="shared" si="53"/>
        <v>30</v>
      </c>
      <c r="T340" s="1" t="s">
        <v>2935</v>
      </c>
      <c r="U340" s="1" t="s">
        <v>2932</v>
      </c>
      <c r="V340" s="3">
        <f t="shared" si="54"/>
        <v>40000</v>
      </c>
      <c r="W340" s="3">
        <f t="shared" si="55"/>
        <v>16000</v>
      </c>
      <c r="X340" s="3">
        <f t="shared" si="47"/>
        <v>1250</v>
      </c>
      <c r="Y340" s="3">
        <f t="shared" si="48"/>
        <v>1600</v>
      </c>
      <c r="Z340" s="3">
        <f t="shared" si="49"/>
        <v>1800</v>
      </c>
      <c r="AA340" s="3">
        <v>0</v>
      </c>
      <c r="AB340" s="3">
        <f>ROUND(U340 - (V340+W340+X340+Y340) - (U340/Q340 * 2),0)</f>
        <v>34483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f>SUM(V340+W340+X340+Y340+AB340)</f>
        <v>93333</v>
      </c>
      <c r="AK340" s="3">
        <f>SUM(AJ340-AA340)</f>
        <v>93333</v>
      </c>
      <c r="AL340" s="3">
        <f>IF(V340&lt;=15000,V340*12%,1800)</f>
        <v>1800</v>
      </c>
      <c r="AM340" s="3">
        <v>0</v>
      </c>
      <c r="AN340" s="3">
        <f t="shared" si="50"/>
        <v>1800</v>
      </c>
      <c r="AO340" s="12">
        <v>200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3">
        <f t="shared" si="52"/>
        <v>200</v>
      </c>
      <c r="AV340" s="3">
        <f>SUM(AJ340 - AN340 - AU340)</f>
        <v>91333</v>
      </c>
      <c r="AW340" s="11">
        <v>0</v>
      </c>
      <c r="AX340" s="11">
        <v>0</v>
      </c>
      <c r="AY340" s="11">
        <v>0</v>
      </c>
      <c r="AZ340" s="11">
        <v>0</v>
      </c>
      <c r="BA340" s="3">
        <f t="shared" si="51"/>
        <v>91333</v>
      </c>
    </row>
    <row r="341" spans="1:53" x14ac:dyDescent="0.25">
      <c r="A341" s="1" t="s">
        <v>339</v>
      </c>
      <c r="B341" s="9" t="s">
        <v>1727</v>
      </c>
      <c r="C341" s="9" t="s">
        <v>1067</v>
      </c>
      <c r="D341" s="9" t="s">
        <v>1728</v>
      </c>
      <c r="E341" s="9" t="s">
        <v>1012</v>
      </c>
      <c r="F341" s="10">
        <v>44501</v>
      </c>
      <c r="G341" s="9" t="s">
        <v>1019</v>
      </c>
      <c r="I341" s="9" t="s">
        <v>1035</v>
      </c>
      <c r="J341" s="9" t="s">
        <v>1048</v>
      </c>
      <c r="K341" s="8" t="s">
        <v>1006</v>
      </c>
      <c r="L341" s="8" t="s">
        <v>1007</v>
      </c>
      <c r="M341" s="8" t="s">
        <v>2933</v>
      </c>
      <c r="N341" s="8" t="s">
        <v>2937</v>
      </c>
      <c r="O341" s="1" t="s">
        <v>2934</v>
      </c>
      <c r="P341">
        <v>30</v>
      </c>
      <c r="Q341">
        <v>30</v>
      </c>
      <c r="R341">
        <v>0</v>
      </c>
      <c r="S341">
        <f t="shared" si="53"/>
        <v>30</v>
      </c>
      <c r="T341" s="1" t="s">
        <v>2935</v>
      </c>
      <c r="U341" s="1" t="s">
        <v>2932</v>
      </c>
      <c r="V341" s="3">
        <f t="shared" si="54"/>
        <v>40000</v>
      </c>
      <c r="W341" s="3">
        <f t="shared" si="55"/>
        <v>16000</v>
      </c>
      <c r="X341" s="3">
        <f t="shared" si="47"/>
        <v>1250</v>
      </c>
      <c r="Y341" s="3">
        <f t="shared" si="48"/>
        <v>1600</v>
      </c>
      <c r="Z341" s="3">
        <f t="shared" si="49"/>
        <v>1800</v>
      </c>
      <c r="AA341" s="3">
        <v>0</v>
      </c>
      <c r="AB341" s="3">
        <f>ROUND(U341 - (V341+W341+X341+Y341) - (U341/Q341 * 2),0)</f>
        <v>34483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f>SUM(V341+W341+X341+Y341+AB341)</f>
        <v>93333</v>
      </c>
      <c r="AK341" s="3">
        <f>SUM(AJ341-AA341)</f>
        <v>93333</v>
      </c>
      <c r="AL341" s="3">
        <f>IF(V341&lt;=15000,V341*12%,1800)</f>
        <v>1800</v>
      </c>
      <c r="AM341" s="3">
        <v>0</v>
      </c>
      <c r="AN341" s="3">
        <f t="shared" si="50"/>
        <v>1800</v>
      </c>
      <c r="AO341" s="12">
        <v>200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3">
        <f t="shared" si="52"/>
        <v>200</v>
      </c>
      <c r="AV341" s="3">
        <f>SUM(AJ341 - AN341 - AU341)</f>
        <v>91333</v>
      </c>
      <c r="AW341" s="11">
        <v>0</v>
      </c>
      <c r="AX341" s="11">
        <v>0</v>
      </c>
      <c r="AY341" s="11">
        <v>0</v>
      </c>
      <c r="AZ341" s="11">
        <v>0</v>
      </c>
      <c r="BA341" s="3">
        <f t="shared" si="51"/>
        <v>91333</v>
      </c>
    </row>
    <row r="342" spans="1:53" x14ac:dyDescent="0.25">
      <c r="A342" s="1" t="s">
        <v>340</v>
      </c>
      <c r="B342" s="9" t="s">
        <v>1417</v>
      </c>
      <c r="C342" s="9" t="s">
        <v>1519</v>
      </c>
      <c r="D342" s="9" t="s">
        <v>1726</v>
      </c>
      <c r="E342" s="9" t="s">
        <v>1012</v>
      </c>
      <c r="F342" s="10">
        <v>44468</v>
      </c>
      <c r="G342" s="9" t="s">
        <v>1013</v>
      </c>
      <c r="I342" s="9" t="s">
        <v>1042</v>
      </c>
      <c r="J342" s="9" t="s">
        <v>1440</v>
      </c>
      <c r="K342" s="8" t="s">
        <v>1006</v>
      </c>
      <c r="L342" s="8" t="s">
        <v>1007</v>
      </c>
      <c r="M342" s="8" t="s">
        <v>2933</v>
      </c>
      <c r="N342" s="8" t="s">
        <v>2937</v>
      </c>
      <c r="O342" s="1" t="s">
        <v>2934</v>
      </c>
      <c r="P342">
        <v>30</v>
      </c>
      <c r="Q342">
        <v>30</v>
      </c>
      <c r="R342">
        <v>0</v>
      </c>
      <c r="S342">
        <f t="shared" si="53"/>
        <v>30</v>
      </c>
      <c r="T342" s="1" t="s">
        <v>2935</v>
      </c>
      <c r="U342" s="1" t="s">
        <v>2932</v>
      </c>
      <c r="V342" s="3">
        <f t="shared" si="54"/>
        <v>40000</v>
      </c>
      <c r="W342" s="3">
        <f t="shared" si="55"/>
        <v>16000</v>
      </c>
      <c r="X342" s="3">
        <f t="shared" si="47"/>
        <v>1250</v>
      </c>
      <c r="Y342" s="3">
        <f t="shared" si="48"/>
        <v>1600</v>
      </c>
      <c r="Z342" s="3">
        <f t="shared" si="49"/>
        <v>1800</v>
      </c>
      <c r="AA342" s="3">
        <v>0</v>
      </c>
      <c r="AB342" s="3">
        <f>ROUND(U342 - (V342+W342+X342+Y342) - (U342/Q342 * 2),0)</f>
        <v>34483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f>SUM(V342+W342+X342+Y342+AB342)</f>
        <v>93333</v>
      </c>
      <c r="AK342" s="3">
        <f>SUM(AJ342-AA342)</f>
        <v>93333</v>
      </c>
      <c r="AL342" s="3">
        <f>IF(V342&lt;=15000,V342*12%,1800)</f>
        <v>1800</v>
      </c>
      <c r="AM342" s="3">
        <v>0</v>
      </c>
      <c r="AN342" s="3">
        <f t="shared" si="50"/>
        <v>1800</v>
      </c>
      <c r="AO342" s="12">
        <v>200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3">
        <f t="shared" si="52"/>
        <v>200</v>
      </c>
      <c r="AV342" s="3">
        <f>SUM(AJ342 - AN342 - AU342)</f>
        <v>91333</v>
      </c>
      <c r="AW342" s="11">
        <v>0</v>
      </c>
      <c r="AX342" s="11">
        <v>0</v>
      </c>
      <c r="AY342" s="11">
        <v>0</v>
      </c>
      <c r="AZ342" s="11">
        <v>0</v>
      </c>
      <c r="BA342" s="3">
        <f t="shared" si="51"/>
        <v>91333</v>
      </c>
    </row>
    <row r="343" spans="1:53" x14ac:dyDescent="0.25">
      <c r="A343" s="1" t="s">
        <v>341</v>
      </c>
      <c r="B343" s="9" t="s">
        <v>1724</v>
      </c>
      <c r="C343" s="9" t="s">
        <v>1115</v>
      </c>
      <c r="D343" s="9" t="s">
        <v>1725</v>
      </c>
      <c r="E343" s="9" t="s">
        <v>1012</v>
      </c>
      <c r="F343" s="10">
        <v>44468</v>
      </c>
      <c r="G343" s="9" t="s">
        <v>1013</v>
      </c>
      <c r="I343" s="9" t="s">
        <v>1042</v>
      </c>
      <c r="J343" s="9" t="s">
        <v>1048</v>
      </c>
      <c r="K343" s="8" t="s">
        <v>1006</v>
      </c>
      <c r="L343" s="8" t="s">
        <v>1007</v>
      </c>
      <c r="M343" s="8" t="s">
        <v>2933</v>
      </c>
      <c r="N343" s="8" t="s">
        <v>2937</v>
      </c>
      <c r="O343" s="1" t="s">
        <v>2934</v>
      </c>
      <c r="P343">
        <v>30</v>
      </c>
      <c r="Q343">
        <v>30</v>
      </c>
      <c r="R343">
        <v>0</v>
      </c>
      <c r="S343">
        <f t="shared" si="53"/>
        <v>30</v>
      </c>
      <c r="T343" s="1" t="s">
        <v>2935</v>
      </c>
      <c r="U343" s="1" t="s">
        <v>2932</v>
      </c>
      <c r="V343" s="3">
        <f t="shared" si="54"/>
        <v>40000</v>
      </c>
      <c r="W343" s="3">
        <f t="shared" si="55"/>
        <v>16000</v>
      </c>
      <c r="X343" s="3">
        <f t="shared" si="47"/>
        <v>1250</v>
      </c>
      <c r="Y343" s="3">
        <f t="shared" si="48"/>
        <v>1600</v>
      </c>
      <c r="Z343" s="3">
        <f t="shared" si="49"/>
        <v>1800</v>
      </c>
      <c r="AA343" s="3">
        <v>0</v>
      </c>
      <c r="AB343" s="3">
        <f>ROUND(U343 - (V343+W343+X343+Y343) - (U343/Q343 * 2),0)</f>
        <v>34483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f>SUM(V343+W343+X343+Y343+AB343)</f>
        <v>93333</v>
      </c>
      <c r="AK343" s="3">
        <f>SUM(AJ343-AA343)</f>
        <v>93333</v>
      </c>
      <c r="AL343" s="3">
        <f>IF(V343&lt;=15000,V343*12%,1800)</f>
        <v>1800</v>
      </c>
      <c r="AM343" s="3">
        <v>0</v>
      </c>
      <c r="AN343" s="3">
        <f t="shared" si="50"/>
        <v>1800</v>
      </c>
      <c r="AO343" s="12">
        <v>200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3">
        <f t="shared" si="52"/>
        <v>200</v>
      </c>
      <c r="AV343" s="3">
        <f>SUM(AJ343 - AN343 - AU343)</f>
        <v>91333</v>
      </c>
      <c r="AW343" s="11">
        <v>0</v>
      </c>
      <c r="AX343" s="11">
        <v>0</v>
      </c>
      <c r="AY343" s="11">
        <v>0</v>
      </c>
      <c r="AZ343" s="11">
        <v>0</v>
      </c>
      <c r="BA343" s="3">
        <f t="shared" si="51"/>
        <v>91333</v>
      </c>
    </row>
    <row r="344" spans="1:53" x14ac:dyDescent="0.25">
      <c r="A344" s="1" t="s">
        <v>342</v>
      </c>
      <c r="B344" s="9" t="s">
        <v>1722</v>
      </c>
      <c r="C344" s="9" t="s">
        <v>1010</v>
      </c>
      <c r="D344" s="9" t="s">
        <v>1723</v>
      </c>
      <c r="E344" s="9" t="s">
        <v>1012</v>
      </c>
      <c r="F344" s="10">
        <v>44461</v>
      </c>
      <c r="G344" s="9" t="s">
        <v>1013</v>
      </c>
      <c r="I344" s="9" t="s">
        <v>1014</v>
      </c>
      <c r="J344" s="9" t="s">
        <v>1015</v>
      </c>
      <c r="K344" s="8" t="s">
        <v>1006</v>
      </c>
      <c r="L344" s="8" t="s">
        <v>1007</v>
      </c>
      <c r="M344" s="8" t="s">
        <v>2933</v>
      </c>
      <c r="N344" s="8" t="s">
        <v>2937</v>
      </c>
      <c r="O344" s="1" t="s">
        <v>2934</v>
      </c>
      <c r="P344">
        <v>30</v>
      </c>
      <c r="Q344">
        <v>30</v>
      </c>
      <c r="R344">
        <v>0</v>
      </c>
      <c r="S344">
        <f t="shared" si="53"/>
        <v>30</v>
      </c>
      <c r="T344" s="1" t="s">
        <v>2935</v>
      </c>
      <c r="U344" s="1" t="s">
        <v>2932</v>
      </c>
      <c r="V344" s="3">
        <f t="shared" si="54"/>
        <v>40000</v>
      </c>
      <c r="W344" s="3">
        <f t="shared" si="55"/>
        <v>16000</v>
      </c>
      <c r="X344" s="3">
        <f t="shared" si="47"/>
        <v>1250</v>
      </c>
      <c r="Y344" s="3">
        <f t="shared" si="48"/>
        <v>1600</v>
      </c>
      <c r="Z344" s="3">
        <f t="shared" si="49"/>
        <v>1800</v>
      </c>
      <c r="AA344" s="3">
        <v>0</v>
      </c>
      <c r="AB344" s="3">
        <f>ROUND(U344 - (V344+W344+X344+Y344) - (U344/Q344 * 2),0)</f>
        <v>34483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f>SUM(V344+W344+X344+Y344+AB344)</f>
        <v>93333</v>
      </c>
      <c r="AK344" s="3">
        <f>SUM(AJ344-AA344)</f>
        <v>93333</v>
      </c>
      <c r="AL344" s="3">
        <f>IF(V344&lt;=15000,V344*12%,1800)</f>
        <v>1800</v>
      </c>
      <c r="AM344" s="3">
        <v>0</v>
      </c>
      <c r="AN344" s="3">
        <f t="shared" si="50"/>
        <v>1800</v>
      </c>
      <c r="AO344" s="12">
        <v>200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3">
        <f t="shared" si="52"/>
        <v>200</v>
      </c>
      <c r="AV344" s="3">
        <f>SUM(AJ344 - AN344 - AU344)</f>
        <v>91333</v>
      </c>
      <c r="AW344" s="11">
        <v>0</v>
      </c>
      <c r="AX344" s="11">
        <v>0</v>
      </c>
      <c r="AY344" s="11">
        <v>0</v>
      </c>
      <c r="AZ344" s="11">
        <v>0</v>
      </c>
      <c r="BA344" s="3">
        <f t="shared" si="51"/>
        <v>91333</v>
      </c>
    </row>
    <row r="345" spans="1:53" x14ac:dyDescent="0.25">
      <c r="A345" s="1" t="s">
        <v>343</v>
      </c>
      <c r="B345" s="9" t="s">
        <v>1083</v>
      </c>
      <c r="C345" s="9" t="s">
        <v>1023</v>
      </c>
      <c r="D345" s="9" t="s">
        <v>1721</v>
      </c>
      <c r="E345" s="9" t="s">
        <v>1012</v>
      </c>
      <c r="F345" s="10">
        <v>44470</v>
      </c>
      <c r="G345" s="9" t="s">
        <v>1019</v>
      </c>
      <c r="I345" s="9" t="s">
        <v>1035</v>
      </c>
      <c r="J345" s="9" t="s">
        <v>1021</v>
      </c>
      <c r="K345" s="8" t="s">
        <v>1006</v>
      </c>
      <c r="L345" s="8" t="s">
        <v>1007</v>
      </c>
      <c r="M345" s="8" t="s">
        <v>2933</v>
      </c>
      <c r="N345" s="8" t="s">
        <v>2937</v>
      </c>
      <c r="O345" s="1" t="s">
        <v>2934</v>
      </c>
      <c r="P345">
        <v>30</v>
      </c>
      <c r="Q345">
        <v>30</v>
      </c>
      <c r="R345">
        <v>0</v>
      </c>
      <c r="S345">
        <f t="shared" si="53"/>
        <v>30</v>
      </c>
      <c r="T345" s="1" t="s">
        <v>2935</v>
      </c>
      <c r="U345" s="1" t="s">
        <v>2932</v>
      </c>
      <c r="V345" s="3">
        <f t="shared" si="54"/>
        <v>40000</v>
      </c>
      <c r="W345" s="3">
        <f t="shared" si="55"/>
        <v>16000</v>
      </c>
      <c r="X345" s="3">
        <f t="shared" si="47"/>
        <v>1250</v>
      </c>
      <c r="Y345" s="3">
        <f t="shared" si="48"/>
        <v>1600</v>
      </c>
      <c r="Z345" s="3">
        <f t="shared" si="49"/>
        <v>1800</v>
      </c>
      <c r="AA345" s="3">
        <v>0</v>
      </c>
      <c r="AB345" s="3">
        <f>ROUND(U345 - (V345+W345+X345+Y345) - (U345/Q345 * 2),0)</f>
        <v>34483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f>SUM(V345+W345+X345+Y345+AB345)</f>
        <v>93333</v>
      </c>
      <c r="AK345" s="3">
        <f>SUM(AJ345-AA345)</f>
        <v>93333</v>
      </c>
      <c r="AL345" s="3">
        <f>IF(V345&lt;=15000,V345*12%,1800)</f>
        <v>1800</v>
      </c>
      <c r="AM345" s="3">
        <v>0</v>
      </c>
      <c r="AN345" s="3">
        <f t="shared" si="50"/>
        <v>1800</v>
      </c>
      <c r="AO345" s="12">
        <v>200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3">
        <f t="shared" si="52"/>
        <v>200</v>
      </c>
      <c r="AV345" s="3">
        <f>SUM(AJ345 - AN345 - AU345)</f>
        <v>91333</v>
      </c>
      <c r="AW345" s="11">
        <v>0</v>
      </c>
      <c r="AX345" s="11">
        <v>0</v>
      </c>
      <c r="AY345" s="11">
        <v>0</v>
      </c>
      <c r="AZ345" s="11">
        <v>0</v>
      </c>
      <c r="BA345" s="3">
        <f t="shared" si="51"/>
        <v>91333</v>
      </c>
    </row>
    <row r="346" spans="1:53" x14ac:dyDescent="0.25">
      <c r="A346" s="1" t="s">
        <v>344</v>
      </c>
      <c r="B346" s="9" t="s">
        <v>1719</v>
      </c>
      <c r="C346" s="9" t="s">
        <v>1173</v>
      </c>
      <c r="D346" s="9" t="s">
        <v>1720</v>
      </c>
      <c r="E346" s="9" t="s">
        <v>1012</v>
      </c>
      <c r="F346" s="10">
        <v>44473</v>
      </c>
      <c r="G346" s="9" t="s">
        <v>1019</v>
      </c>
      <c r="I346" s="9" t="s">
        <v>1042</v>
      </c>
      <c r="J346" s="9" t="s">
        <v>1048</v>
      </c>
      <c r="K346" s="8" t="s">
        <v>1006</v>
      </c>
      <c r="L346" s="8" t="s">
        <v>1007</v>
      </c>
      <c r="M346" s="8" t="s">
        <v>2933</v>
      </c>
      <c r="N346" s="8" t="s">
        <v>2937</v>
      </c>
      <c r="O346" s="1" t="s">
        <v>2934</v>
      </c>
      <c r="P346">
        <v>30</v>
      </c>
      <c r="Q346">
        <v>30</v>
      </c>
      <c r="R346">
        <v>0</v>
      </c>
      <c r="S346">
        <f t="shared" si="53"/>
        <v>30</v>
      </c>
      <c r="T346" s="1" t="s">
        <v>2935</v>
      </c>
      <c r="U346" s="1" t="s">
        <v>2932</v>
      </c>
      <c r="V346" s="3">
        <f t="shared" si="54"/>
        <v>40000</v>
      </c>
      <c r="W346" s="3">
        <f t="shared" si="55"/>
        <v>16000</v>
      </c>
      <c r="X346" s="3">
        <f t="shared" si="47"/>
        <v>1250</v>
      </c>
      <c r="Y346" s="3">
        <f t="shared" si="48"/>
        <v>1600</v>
      </c>
      <c r="Z346" s="3">
        <f t="shared" si="49"/>
        <v>1800</v>
      </c>
      <c r="AA346" s="3">
        <v>0</v>
      </c>
      <c r="AB346" s="3">
        <f>ROUND(U346 - (V346+W346+X346+Y346) - (U346/Q346 * 2),0)</f>
        <v>34483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f>SUM(V346+W346+X346+Y346+AB346)</f>
        <v>93333</v>
      </c>
      <c r="AK346" s="3">
        <f>SUM(AJ346-AA346)</f>
        <v>93333</v>
      </c>
      <c r="AL346" s="3">
        <f>IF(V346&lt;=15000,V346*12%,1800)</f>
        <v>1800</v>
      </c>
      <c r="AM346" s="3">
        <v>0</v>
      </c>
      <c r="AN346" s="3">
        <f t="shared" si="50"/>
        <v>1800</v>
      </c>
      <c r="AO346" s="12">
        <v>200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3">
        <f t="shared" si="52"/>
        <v>200</v>
      </c>
      <c r="AV346" s="3">
        <f>SUM(AJ346 - AN346 - AU346)</f>
        <v>91333</v>
      </c>
      <c r="AW346" s="11">
        <v>0</v>
      </c>
      <c r="AX346" s="11">
        <v>0</v>
      </c>
      <c r="AY346" s="11">
        <v>0</v>
      </c>
      <c r="AZ346" s="11">
        <v>0</v>
      </c>
      <c r="BA346" s="3">
        <f t="shared" si="51"/>
        <v>91333</v>
      </c>
    </row>
    <row r="347" spans="1:53" x14ac:dyDescent="0.25">
      <c r="A347" s="1" t="s">
        <v>345</v>
      </c>
      <c r="B347" s="9" t="s">
        <v>1717</v>
      </c>
      <c r="C347" s="9" t="s">
        <v>1173</v>
      </c>
      <c r="D347" s="9" t="s">
        <v>1718</v>
      </c>
      <c r="E347" s="9" t="s">
        <v>1008</v>
      </c>
      <c r="F347" s="10">
        <v>44473</v>
      </c>
      <c r="G347" s="9" t="s">
        <v>1013</v>
      </c>
      <c r="I347" s="9" t="s">
        <v>1042</v>
      </c>
      <c r="J347" s="9" t="s">
        <v>1048</v>
      </c>
      <c r="K347" s="8" t="s">
        <v>1006</v>
      </c>
      <c r="L347" s="8" t="s">
        <v>1007</v>
      </c>
      <c r="M347" s="8" t="s">
        <v>2933</v>
      </c>
      <c r="N347" s="8" t="s">
        <v>2937</v>
      </c>
      <c r="O347" s="1" t="s">
        <v>2934</v>
      </c>
      <c r="P347">
        <v>30</v>
      </c>
      <c r="Q347">
        <v>30</v>
      </c>
      <c r="R347">
        <v>0</v>
      </c>
      <c r="S347">
        <f t="shared" si="53"/>
        <v>30</v>
      </c>
      <c r="T347" s="1" t="s">
        <v>2935</v>
      </c>
      <c r="U347" s="1" t="s">
        <v>2932</v>
      </c>
      <c r="V347" s="3">
        <f t="shared" si="54"/>
        <v>40000</v>
      </c>
      <c r="W347" s="3">
        <f t="shared" si="55"/>
        <v>16000</v>
      </c>
      <c r="X347" s="3">
        <f t="shared" si="47"/>
        <v>1250</v>
      </c>
      <c r="Y347" s="3">
        <f t="shared" si="48"/>
        <v>1600</v>
      </c>
      <c r="Z347" s="3">
        <f t="shared" si="49"/>
        <v>1800</v>
      </c>
      <c r="AA347" s="3">
        <v>0</v>
      </c>
      <c r="AB347" s="3">
        <f>ROUND(U347 - (V347+W347+X347+Y347) - (U347/Q347 * 2),0)</f>
        <v>34483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f>SUM(V347+W347+X347+Y347+AB347)</f>
        <v>93333</v>
      </c>
      <c r="AK347" s="3">
        <f>SUM(AJ347-AA347)</f>
        <v>93333</v>
      </c>
      <c r="AL347" s="3">
        <f>IF(V347&lt;=15000,V347*12%,1800)</f>
        <v>1800</v>
      </c>
      <c r="AM347" s="3">
        <v>0</v>
      </c>
      <c r="AN347" s="3">
        <f t="shared" si="50"/>
        <v>1800</v>
      </c>
      <c r="AO347" s="12">
        <v>200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3">
        <f t="shared" si="52"/>
        <v>200</v>
      </c>
      <c r="AV347" s="3">
        <f>SUM(AJ347 - AN347 - AU347)</f>
        <v>91333</v>
      </c>
      <c r="AW347" s="11">
        <v>0</v>
      </c>
      <c r="AX347" s="11">
        <v>0</v>
      </c>
      <c r="AY347" s="11">
        <v>0</v>
      </c>
      <c r="AZ347" s="11">
        <v>0</v>
      </c>
      <c r="BA347" s="3">
        <f t="shared" si="51"/>
        <v>91333</v>
      </c>
    </row>
    <row r="348" spans="1:53" x14ac:dyDescent="0.25">
      <c r="A348" s="1" t="s">
        <v>346</v>
      </c>
      <c r="B348" s="9" t="s">
        <v>1715</v>
      </c>
      <c r="C348" s="9" t="s">
        <v>1115</v>
      </c>
      <c r="D348" s="9" t="s">
        <v>1716</v>
      </c>
      <c r="E348" s="9" t="s">
        <v>1012</v>
      </c>
      <c r="F348" s="10">
        <v>44473</v>
      </c>
      <c r="G348" s="9" t="s">
        <v>1019</v>
      </c>
      <c r="I348" s="9" t="s">
        <v>1035</v>
      </c>
      <c r="J348" s="9" t="s">
        <v>1048</v>
      </c>
      <c r="K348" s="8" t="s">
        <v>1006</v>
      </c>
      <c r="L348" s="8" t="s">
        <v>1007</v>
      </c>
      <c r="M348" s="8" t="s">
        <v>2933</v>
      </c>
      <c r="N348" s="8" t="s">
        <v>2937</v>
      </c>
      <c r="O348" s="1" t="s">
        <v>2934</v>
      </c>
      <c r="P348">
        <v>30</v>
      </c>
      <c r="Q348">
        <v>30</v>
      </c>
      <c r="R348">
        <v>0</v>
      </c>
      <c r="S348">
        <f t="shared" si="53"/>
        <v>30</v>
      </c>
      <c r="T348" s="1" t="s">
        <v>2935</v>
      </c>
      <c r="U348" s="1" t="s">
        <v>2932</v>
      </c>
      <c r="V348" s="3">
        <f t="shared" si="54"/>
        <v>40000</v>
      </c>
      <c r="W348" s="3">
        <f t="shared" si="55"/>
        <v>16000</v>
      </c>
      <c r="X348" s="3">
        <f t="shared" si="47"/>
        <v>1250</v>
      </c>
      <c r="Y348" s="3">
        <f t="shared" si="48"/>
        <v>1600</v>
      </c>
      <c r="Z348" s="3">
        <f t="shared" si="49"/>
        <v>1800</v>
      </c>
      <c r="AA348" s="3">
        <v>0</v>
      </c>
      <c r="AB348" s="3">
        <f>ROUND(U348 - (V348+W348+X348+Y348) - (U348/Q348 * 2),0)</f>
        <v>34483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f>SUM(V348+W348+X348+Y348+AB348)</f>
        <v>93333</v>
      </c>
      <c r="AK348" s="3">
        <f>SUM(AJ348-AA348)</f>
        <v>93333</v>
      </c>
      <c r="AL348" s="3">
        <f>IF(V348&lt;=15000,V348*12%,1800)</f>
        <v>1800</v>
      </c>
      <c r="AM348" s="3">
        <v>0</v>
      </c>
      <c r="AN348" s="3">
        <f t="shared" si="50"/>
        <v>1800</v>
      </c>
      <c r="AO348" s="12">
        <v>200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3">
        <f t="shared" si="52"/>
        <v>200</v>
      </c>
      <c r="AV348" s="3">
        <f>SUM(AJ348 - AN348 - AU348)</f>
        <v>91333</v>
      </c>
      <c r="AW348" s="11">
        <v>0</v>
      </c>
      <c r="AX348" s="11">
        <v>0</v>
      </c>
      <c r="AY348" s="11">
        <v>0</v>
      </c>
      <c r="AZ348" s="11">
        <v>0</v>
      </c>
      <c r="BA348" s="3">
        <f t="shared" si="51"/>
        <v>91333</v>
      </c>
    </row>
    <row r="349" spans="1:53" x14ac:dyDescent="0.25">
      <c r="A349" s="1" t="s">
        <v>347</v>
      </c>
      <c r="B349" s="9" t="s">
        <v>1175</v>
      </c>
      <c r="C349" s="9" t="s">
        <v>1216</v>
      </c>
      <c r="D349" s="9" t="s">
        <v>1714</v>
      </c>
      <c r="E349" s="9" t="s">
        <v>1012</v>
      </c>
      <c r="F349" s="10">
        <v>44473</v>
      </c>
      <c r="G349" s="9" t="s">
        <v>1013</v>
      </c>
      <c r="I349" s="9" t="s">
        <v>1014</v>
      </c>
      <c r="J349" s="9" t="s">
        <v>1021</v>
      </c>
      <c r="K349" s="8" t="s">
        <v>1006</v>
      </c>
      <c r="L349" s="8" t="s">
        <v>1007</v>
      </c>
      <c r="M349" s="8" t="s">
        <v>2933</v>
      </c>
      <c r="N349" s="8" t="s">
        <v>2937</v>
      </c>
      <c r="O349" s="1" t="s">
        <v>2934</v>
      </c>
      <c r="P349">
        <v>30</v>
      </c>
      <c r="Q349">
        <v>30</v>
      </c>
      <c r="R349">
        <v>0</v>
      </c>
      <c r="S349">
        <f t="shared" si="53"/>
        <v>30</v>
      </c>
      <c r="T349" s="1" t="s">
        <v>2935</v>
      </c>
      <c r="U349" s="1" t="s">
        <v>2932</v>
      </c>
      <c r="V349" s="3">
        <f t="shared" si="54"/>
        <v>40000</v>
      </c>
      <c r="W349" s="3">
        <f t="shared" si="55"/>
        <v>16000</v>
      </c>
      <c r="X349" s="3">
        <f t="shared" si="47"/>
        <v>1250</v>
      </c>
      <c r="Y349" s="3">
        <f t="shared" si="48"/>
        <v>1600</v>
      </c>
      <c r="Z349" s="3">
        <f t="shared" si="49"/>
        <v>1800</v>
      </c>
      <c r="AA349" s="3">
        <v>0</v>
      </c>
      <c r="AB349" s="3">
        <f>ROUND(U349 - (V349+W349+X349+Y349) - (U349/Q349 * 2),0)</f>
        <v>34483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f>SUM(V349+W349+X349+Y349+AB349)</f>
        <v>93333</v>
      </c>
      <c r="AK349" s="3">
        <f>SUM(AJ349-AA349)</f>
        <v>93333</v>
      </c>
      <c r="AL349" s="3">
        <f>IF(V349&lt;=15000,V349*12%,1800)</f>
        <v>1800</v>
      </c>
      <c r="AM349" s="3">
        <v>0</v>
      </c>
      <c r="AN349" s="3">
        <f t="shared" si="50"/>
        <v>1800</v>
      </c>
      <c r="AO349" s="12">
        <v>200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3">
        <f t="shared" si="52"/>
        <v>200</v>
      </c>
      <c r="AV349" s="3">
        <f>SUM(AJ349 - AN349 - AU349)</f>
        <v>91333</v>
      </c>
      <c r="AW349" s="11">
        <v>0</v>
      </c>
      <c r="AX349" s="11">
        <v>0</v>
      </c>
      <c r="AY349" s="11">
        <v>0</v>
      </c>
      <c r="AZ349" s="11">
        <v>0</v>
      </c>
      <c r="BA349" s="3">
        <f t="shared" si="51"/>
        <v>91333</v>
      </c>
    </row>
    <row r="350" spans="1:53" x14ac:dyDescent="0.25">
      <c r="A350" s="1" t="s">
        <v>348</v>
      </c>
      <c r="B350" s="9" t="s">
        <v>1712</v>
      </c>
      <c r="C350" s="9" t="s">
        <v>1115</v>
      </c>
      <c r="D350" s="9" t="s">
        <v>1713</v>
      </c>
      <c r="E350" s="9" t="s">
        <v>1012</v>
      </c>
      <c r="F350" s="10">
        <v>44622</v>
      </c>
      <c r="G350" s="9" t="s">
        <v>1019</v>
      </c>
      <c r="I350" s="9" t="s">
        <v>1209</v>
      </c>
      <c r="J350" s="9" t="s">
        <v>1048</v>
      </c>
      <c r="K350" s="8" t="s">
        <v>1006</v>
      </c>
      <c r="L350" s="8" t="s">
        <v>1007</v>
      </c>
      <c r="M350" s="8" t="s">
        <v>2933</v>
      </c>
      <c r="N350" s="8" t="s">
        <v>2937</v>
      </c>
      <c r="O350" s="1" t="s">
        <v>2934</v>
      </c>
      <c r="P350">
        <v>30</v>
      </c>
      <c r="Q350">
        <v>30</v>
      </c>
      <c r="R350">
        <v>0</v>
      </c>
      <c r="S350">
        <f t="shared" si="53"/>
        <v>30</v>
      </c>
      <c r="T350" s="1" t="s">
        <v>2935</v>
      </c>
      <c r="U350" s="1" t="s">
        <v>2932</v>
      </c>
      <c r="V350" s="3">
        <f t="shared" si="54"/>
        <v>40000</v>
      </c>
      <c r="W350" s="3">
        <f t="shared" si="55"/>
        <v>16000</v>
      </c>
      <c r="X350" s="3">
        <f t="shared" si="47"/>
        <v>1250</v>
      </c>
      <c r="Y350" s="3">
        <f t="shared" si="48"/>
        <v>1600</v>
      </c>
      <c r="Z350" s="3">
        <f t="shared" si="49"/>
        <v>1800</v>
      </c>
      <c r="AA350" s="3">
        <v>0</v>
      </c>
      <c r="AB350" s="3">
        <f>ROUND(U350 - (V350+W350+X350+Y350) - (U350/Q350 * 2),0)</f>
        <v>34483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f>SUM(V350+W350+X350+Y350+AB350)</f>
        <v>93333</v>
      </c>
      <c r="AK350" s="3">
        <f>SUM(AJ350-AA350)</f>
        <v>93333</v>
      </c>
      <c r="AL350" s="3">
        <f>IF(V350&lt;=15000,V350*12%,1800)</f>
        <v>1800</v>
      </c>
      <c r="AM350" s="3">
        <v>0</v>
      </c>
      <c r="AN350" s="3">
        <f t="shared" si="50"/>
        <v>1800</v>
      </c>
      <c r="AO350" s="12">
        <v>200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3">
        <f t="shared" si="52"/>
        <v>200</v>
      </c>
      <c r="AV350" s="3">
        <f>SUM(AJ350 - AN350 - AU350)</f>
        <v>91333</v>
      </c>
      <c r="AW350" s="11">
        <v>0</v>
      </c>
      <c r="AX350" s="11">
        <v>0</v>
      </c>
      <c r="AY350" s="11">
        <v>0</v>
      </c>
      <c r="AZ350" s="11">
        <v>0</v>
      </c>
      <c r="BA350" s="3">
        <f t="shared" si="51"/>
        <v>91333</v>
      </c>
    </row>
    <row r="351" spans="1:53" x14ac:dyDescent="0.25">
      <c r="A351" s="1" t="s">
        <v>349</v>
      </c>
      <c r="B351" s="9" t="s">
        <v>1770</v>
      </c>
      <c r="C351" s="9" t="s">
        <v>1216</v>
      </c>
      <c r="D351" s="9" t="s">
        <v>1771</v>
      </c>
      <c r="E351" s="9" t="s">
        <v>1012</v>
      </c>
      <c r="F351" s="10">
        <v>44480</v>
      </c>
      <c r="G351" s="9" t="s">
        <v>1019</v>
      </c>
      <c r="I351" s="9" t="s">
        <v>1035</v>
      </c>
      <c r="J351" s="9" t="s">
        <v>1021</v>
      </c>
      <c r="K351" s="8" t="s">
        <v>1006</v>
      </c>
      <c r="L351" s="8" t="s">
        <v>1007</v>
      </c>
      <c r="M351" s="8" t="s">
        <v>2933</v>
      </c>
      <c r="N351" s="8" t="s">
        <v>2937</v>
      </c>
      <c r="O351" s="1" t="s">
        <v>2934</v>
      </c>
      <c r="P351">
        <v>30</v>
      </c>
      <c r="Q351">
        <v>30</v>
      </c>
      <c r="R351">
        <v>0</v>
      </c>
      <c r="S351">
        <f t="shared" si="53"/>
        <v>30</v>
      </c>
      <c r="T351" s="1" t="s">
        <v>2935</v>
      </c>
      <c r="U351" s="1" t="s">
        <v>2932</v>
      </c>
      <c r="V351" s="3">
        <f t="shared" si="54"/>
        <v>40000</v>
      </c>
      <c r="W351" s="3">
        <f t="shared" si="55"/>
        <v>16000</v>
      </c>
      <c r="X351" s="3">
        <f t="shared" si="47"/>
        <v>1250</v>
      </c>
      <c r="Y351" s="3">
        <f t="shared" si="48"/>
        <v>1600</v>
      </c>
      <c r="Z351" s="3">
        <f t="shared" si="49"/>
        <v>1800</v>
      </c>
      <c r="AA351" s="3">
        <v>0</v>
      </c>
      <c r="AB351" s="3">
        <f>ROUND(U351 - (V351+W351+X351+Y351) - (U351/Q351 * 2),0)</f>
        <v>34483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f>SUM(V351+W351+X351+Y351+AB351)</f>
        <v>93333</v>
      </c>
      <c r="AK351" s="3">
        <f>SUM(AJ351-AA351)</f>
        <v>93333</v>
      </c>
      <c r="AL351" s="3">
        <f>IF(V351&lt;=15000,V351*12%,1800)</f>
        <v>1800</v>
      </c>
      <c r="AM351" s="3">
        <v>0</v>
      </c>
      <c r="AN351" s="3">
        <f t="shared" si="50"/>
        <v>1800</v>
      </c>
      <c r="AO351" s="12">
        <v>200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3">
        <f t="shared" si="52"/>
        <v>200</v>
      </c>
      <c r="AV351" s="3">
        <f>SUM(AJ351 - AN351 - AU351)</f>
        <v>91333</v>
      </c>
      <c r="AW351" s="11">
        <v>0</v>
      </c>
      <c r="AX351" s="11">
        <v>0</v>
      </c>
      <c r="AY351" s="11">
        <v>0</v>
      </c>
      <c r="AZ351" s="11">
        <v>0</v>
      </c>
      <c r="BA351" s="3">
        <f t="shared" si="51"/>
        <v>91333</v>
      </c>
    </row>
    <row r="352" spans="1:53" x14ac:dyDescent="0.25">
      <c r="A352" s="1" t="s">
        <v>350</v>
      </c>
      <c r="B352" s="9" t="s">
        <v>1768</v>
      </c>
      <c r="C352" s="9" t="s">
        <v>1115</v>
      </c>
      <c r="D352" s="9" t="s">
        <v>1769</v>
      </c>
      <c r="E352" s="9" t="s">
        <v>1012</v>
      </c>
      <c r="F352" s="10">
        <v>44487</v>
      </c>
      <c r="G352" s="9" t="s">
        <v>1013</v>
      </c>
      <c r="I352" s="9" t="s">
        <v>1035</v>
      </c>
      <c r="J352" s="9" t="s">
        <v>1048</v>
      </c>
      <c r="K352" s="8" t="s">
        <v>1006</v>
      </c>
      <c r="L352" s="8" t="s">
        <v>1007</v>
      </c>
      <c r="M352" s="8" t="s">
        <v>2933</v>
      </c>
      <c r="N352" s="8" t="s">
        <v>2937</v>
      </c>
      <c r="O352" s="1" t="s">
        <v>2934</v>
      </c>
      <c r="P352">
        <v>30</v>
      </c>
      <c r="Q352">
        <v>30</v>
      </c>
      <c r="R352">
        <v>0</v>
      </c>
      <c r="S352">
        <f t="shared" si="53"/>
        <v>30</v>
      </c>
      <c r="T352" s="1" t="s">
        <v>2935</v>
      </c>
      <c r="U352" s="1" t="s">
        <v>2932</v>
      </c>
      <c r="V352" s="3">
        <f t="shared" si="54"/>
        <v>40000</v>
      </c>
      <c r="W352" s="3">
        <f t="shared" si="55"/>
        <v>16000</v>
      </c>
      <c r="X352" s="3">
        <f t="shared" si="47"/>
        <v>1250</v>
      </c>
      <c r="Y352" s="3">
        <f t="shared" si="48"/>
        <v>1600</v>
      </c>
      <c r="Z352" s="3">
        <f t="shared" si="49"/>
        <v>1800</v>
      </c>
      <c r="AA352" s="3">
        <v>0</v>
      </c>
      <c r="AB352" s="3">
        <f>ROUND(U352 - (V352+W352+X352+Y352) - (U352/Q352 * 2),0)</f>
        <v>34483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f>SUM(V352+W352+X352+Y352+AB352)</f>
        <v>93333</v>
      </c>
      <c r="AK352" s="3">
        <f>SUM(AJ352-AA352)</f>
        <v>93333</v>
      </c>
      <c r="AL352" s="3">
        <f>IF(V352&lt;=15000,V352*12%,1800)</f>
        <v>1800</v>
      </c>
      <c r="AM352" s="3">
        <v>0</v>
      </c>
      <c r="AN352" s="3">
        <f t="shared" si="50"/>
        <v>1800</v>
      </c>
      <c r="AO352" s="12">
        <v>200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3">
        <f t="shared" si="52"/>
        <v>200</v>
      </c>
      <c r="AV352" s="3">
        <f>SUM(AJ352 - AN352 - AU352)</f>
        <v>91333</v>
      </c>
      <c r="AW352" s="11">
        <v>0</v>
      </c>
      <c r="AX352" s="11">
        <v>0</v>
      </c>
      <c r="AY352" s="11">
        <v>0</v>
      </c>
      <c r="AZ352" s="11">
        <v>0</v>
      </c>
      <c r="BA352" s="3">
        <f t="shared" si="51"/>
        <v>91333</v>
      </c>
    </row>
    <row r="353" spans="1:53" x14ac:dyDescent="0.25">
      <c r="A353" s="1" t="s">
        <v>351</v>
      </c>
      <c r="B353" s="9" t="s">
        <v>1766</v>
      </c>
      <c r="C353" s="9" t="s">
        <v>1173</v>
      </c>
      <c r="D353" s="9" t="s">
        <v>1767</v>
      </c>
      <c r="E353" s="9" t="s">
        <v>1008</v>
      </c>
      <c r="F353" s="10">
        <v>44487</v>
      </c>
      <c r="G353" s="9" t="s">
        <v>1013</v>
      </c>
      <c r="I353" s="9" t="s">
        <v>1042</v>
      </c>
      <c r="J353" s="9" t="s">
        <v>1048</v>
      </c>
      <c r="K353" s="8" t="s">
        <v>1006</v>
      </c>
      <c r="L353" s="8" t="s">
        <v>1007</v>
      </c>
      <c r="M353" s="8" t="s">
        <v>2933</v>
      </c>
      <c r="N353" s="8" t="s">
        <v>2937</v>
      </c>
      <c r="O353" s="1" t="s">
        <v>2934</v>
      </c>
      <c r="P353">
        <v>30</v>
      </c>
      <c r="Q353">
        <v>30</v>
      </c>
      <c r="R353">
        <v>0</v>
      </c>
      <c r="S353">
        <f t="shared" si="53"/>
        <v>30</v>
      </c>
      <c r="T353" s="1" t="s">
        <v>2935</v>
      </c>
      <c r="U353" s="1" t="s">
        <v>2932</v>
      </c>
      <c r="V353" s="3">
        <f t="shared" si="54"/>
        <v>40000</v>
      </c>
      <c r="W353" s="3">
        <f t="shared" si="55"/>
        <v>16000</v>
      </c>
      <c r="X353" s="3">
        <f t="shared" si="47"/>
        <v>1250</v>
      </c>
      <c r="Y353" s="3">
        <f t="shared" si="48"/>
        <v>1600</v>
      </c>
      <c r="Z353" s="3">
        <f t="shared" si="49"/>
        <v>1800</v>
      </c>
      <c r="AA353" s="3">
        <v>0</v>
      </c>
      <c r="AB353" s="3">
        <f>ROUND(U353 - (V353+W353+X353+Y353) - (U353/Q353 * 2),0)</f>
        <v>34483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f>SUM(V353+W353+X353+Y353+AB353)</f>
        <v>93333</v>
      </c>
      <c r="AK353" s="3">
        <f>SUM(AJ353-AA353)</f>
        <v>93333</v>
      </c>
      <c r="AL353" s="3">
        <f>IF(V353&lt;=15000,V353*12%,1800)</f>
        <v>1800</v>
      </c>
      <c r="AM353" s="3">
        <v>0</v>
      </c>
      <c r="AN353" s="3">
        <f t="shared" si="50"/>
        <v>1800</v>
      </c>
      <c r="AO353" s="12">
        <v>200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3">
        <f t="shared" si="52"/>
        <v>200</v>
      </c>
      <c r="AV353" s="3">
        <f>SUM(AJ353 - AN353 - AU353)</f>
        <v>91333</v>
      </c>
      <c r="AW353" s="11">
        <v>0</v>
      </c>
      <c r="AX353" s="11">
        <v>0</v>
      </c>
      <c r="AY353" s="11">
        <v>0</v>
      </c>
      <c r="AZ353" s="11">
        <v>0</v>
      </c>
      <c r="BA353" s="3">
        <f t="shared" si="51"/>
        <v>91333</v>
      </c>
    </row>
    <row r="354" spans="1:53" x14ac:dyDescent="0.25">
      <c r="A354" s="1" t="s">
        <v>352</v>
      </c>
      <c r="B354" s="9" t="s">
        <v>1764</v>
      </c>
      <c r="C354" s="9" t="s">
        <v>1115</v>
      </c>
      <c r="D354" s="9" t="s">
        <v>1765</v>
      </c>
      <c r="E354" s="9" t="s">
        <v>1012</v>
      </c>
      <c r="F354" s="10">
        <v>44487</v>
      </c>
      <c r="G354" s="9" t="s">
        <v>1019</v>
      </c>
      <c r="I354" s="9" t="s">
        <v>1042</v>
      </c>
      <c r="J354" s="9" t="s">
        <v>1048</v>
      </c>
      <c r="K354" s="8" t="s">
        <v>1006</v>
      </c>
      <c r="L354" s="8" t="s">
        <v>1007</v>
      </c>
      <c r="M354" s="8" t="s">
        <v>2933</v>
      </c>
      <c r="N354" s="8" t="s">
        <v>2937</v>
      </c>
      <c r="O354" s="1" t="s">
        <v>2934</v>
      </c>
      <c r="P354">
        <v>30</v>
      </c>
      <c r="Q354">
        <v>30</v>
      </c>
      <c r="R354">
        <v>0</v>
      </c>
      <c r="S354">
        <f t="shared" si="53"/>
        <v>30</v>
      </c>
      <c r="T354" s="1" t="s">
        <v>2935</v>
      </c>
      <c r="U354" s="1" t="s">
        <v>2932</v>
      </c>
      <c r="V354" s="3">
        <f t="shared" si="54"/>
        <v>40000</v>
      </c>
      <c r="W354" s="3">
        <f t="shared" si="55"/>
        <v>16000</v>
      </c>
      <c r="X354" s="3">
        <f t="shared" si="47"/>
        <v>1250</v>
      </c>
      <c r="Y354" s="3">
        <f t="shared" si="48"/>
        <v>1600</v>
      </c>
      <c r="Z354" s="3">
        <f t="shared" si="49"/>
        <v>1800</v>
      </c>
      <c r="AA354" s="3">
        <v>0</v>
      </c>
      <c r="AB354" s="3">
        <f>ROUND(U354 - (V354+W354+X354+Y354) - (U354/Q354 * 2),0)</f>
        <v>34483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f>SUM(V354+W354+X354+Y354+AB354)</f>
        <v>93333</v>
      </c>
      <c r="AK354" s="3">
        <f>SUM(AJ354-AA354)</f>
        <v>93333</v>
      </c>
      <c r="AL354" s="3">
        <f>IF(V354&lt;=15000,V354*12%,1800)</f>
        <v>1800</v>
      </c>
      <c r="AM354" s="3">
        <v>0</v>
      </c>
      <c r="AN354" s="3">
        <f t="shared" si="50"/>
        <v>1800</v>
      </c>
      <c r="AO354" s="12">
        <v>200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3">
        <f t="shared" si="52"/>
        <v>200</v>
      </c>
      <c r="AV354" s="3">
        <f>SUM(AJ354 - AN354 - AU354)</f>
        <v>91333</v>
      </c>
      <c r="AW354" s="11">
        <v>0</v>
      </c>
      <c r="AX354" s="11">
        <v>0</v>
      </c>
      <c r="AY354" s="11">
        <v>0</v>
      </c>
      <c r="AZ354" s="11">
        <v>0</v>
      </c>
      <c r="BA354" s="3">
        <f t="shared" si="51"/>
        <v>91333</v>
      </c>
    </row>
    <row r="355" spans="1:53" x14ac:dyDescent="0.25">
      <c r="A355" s="1" t="s">
        <v>353</v>
      </c>
      <c r="B355" s="9" t="s">
        <v>1762</v>
      </c>
      <c r="C355" s="9" t="s">
        <v>1067</v>
      </c>
      <c r="D355" s="9" t="s">
        <v>1763</v>
      </c>
      <c r="E355" s="9" t="s">
        <v>1012</v>
      </c>
      <c r="F355" s="10">
        <v>44501</v>
      </c>
      <c r="G355" s="9" t="s">
        <v>1013</v>
      </c>
      <c r="I355" s="9" t="s">
        <v>1035</v>
      </c>
      <c r="J355" s="9" t="s">
        <v>1048</v>
      </c>
      <c r="K355" s="8" t="s">
        <v>1006</v>
      </c>
      <c r="L355" s="8" t="s">
        <v>1007</v>
      </c>
      <c r="M355" s="8" t="s">
        <v>2933</v>
      </c>
      <c r="N355" s="8" t="s">
        <v>2937</v>
      </c>
      <c r="O355" s="1" t="s">
        <v>2934</v>
      </c>
      <c r="P355">
        <v>30</v>
      </c>
      <c r="Q355">
        <v>30</v>
      </c>
      <c r="R355">
        <v>0</v>
      </c>
      <c r="S355">
        <f t="shared" si="53"/>
        <v>30</v>
      </c>
      <c r="T355" s="1" t="s">
        <v>2935</v>
      </c>
      <c r="U355" s="1" t="s">
        <v>2932</v>
      </c>
      <c r="V355" s="3">
        <f t="shared" si="54"/>
        <v>40000</v>
      </c>
      <c r="W355" s="3">
        <f t="shared" si="55"/>
        <v>16000</v>
      </c>
      <c r="X355" s="3">
        <f t="shared" si="47"/>
        <v>1250</v>
      </c>
      <c r="Y355" s="3">
        <f t="shared" si="48"/>
        <v>1600</v>
      </c>
      <c r="Z355" s="3">
        <f t="shared" si="49"/>
        <v>1800</v>
      </c>
      <c r="AA355" s="3">
        <v>0</v>
      </c>
      <c r="AB355" s="3">
        <f>ROUND(U355 - (V355+W355+X355+Y355) - (U355/Q355 * 2),0)</f>
        <v>34483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f>SUM(V355+W355+X355+Y355+AB355)</f>
        <v>93333</v>
      </c>
      <c r="AK355" s="3">
        <f>SUM(AJ355-AA355)</f>
        <v>93333</v>
      </c>
      <c r="AL355" s="3">
        <f>IF(V355&lt;=15000,V355*12%,1800)</f>
        <v>1800</v>
      </c>
      <c r="AM355" s="3">
        <v>0</v>
      </c>
      <c r="AN355" s="3">
        <f t="shared" si="50"/>
        <v>1800</v>
      </c>
      <c r="AO355" s="12">
        <v>200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3">
        <f t="shared" si="52"/>
        <v>200</v>
      </c>
      <c r="AV355" s="3">
        <f>SUM(AJ355 - AN355 - AU355)</f>
        <v>91333</v>
      </c>
      <c r="AW355" s="11">
        <v>0</v>
      </c>
      <c r="AX355" s="11">
        <v>0</v>
      </c>
      <c r="AY355" s="11">
        <v>0</v>
      </c>
      <c r="AZ355" s="11">
        <v>0</v>
      </c>
      <c r="BA355" s="3">
        <f t="shared" si="51"/>
        <v>91333</v>
      </c>
    </row>
    <row r="356" spans="1:53" x14ac:dyDescent="0.25">
      <c r="A356" s="1" t="s">
        <v>354</v>
      </c>
      <c r="B356" s="9" t="s">
        <v>1760</v>
      </c>
      <c r="C356" s="9" t="s">
        <v>1023</v>
      </c>
      <c r="D356" s="9" t="s">
        <v>1761</v>
      </c>
      <c r="E356" s="9" t="s">
        <v>1012</v>
      </c>
      <c r="F356" s="10">
        <v>44487</v>
      </c>
      <c r="G356" s="9" t="s">
        <v>1019</v>
      </c>
      <c r="I356" s="9" t="s">
        <v>1035</v>
      </c>
      <c r="J356" s="9" t="s">
        <v>1021</v>
      </c>
      <c r="K356" s="8" t="s">
        <v>1006</v>
      </c>
      <c r="L356" s="8" t="s">
        <v>1007</v>
      </c>
      <c r="M356" s="8" t="s">
        <v>2933</v>
      </c>
      <c r="N356" s="8" t="s">
        <v>2937</v>
      </c>
      <c r="O356" s="1" t="s">
        <v>2934</v>
      </c>
      <c r="P356">
        <v>30</v>
      </c>
      <c r="Q356">
        <v>30</v>
      </c>
      <c r="R356">
        <v>0</v>
      </c>
      <c r="S356">
        <f t="shared" si="53"/>
        <v>30</v>
      </c>
      <c r="T356" s="1" t="s">
        <v>2935</v>
      </c>
      <c r="U356" s="1" t="s">
        <v>2932</v>
      </c>
      <c r="V356" s="3">
        <f t="shared" si="54"/>
        <v>40000</v>
      </c>
      <c r="W356" s="3">
        <f t="shared" si="55"/>
        <v>16000</v>
      </c>
      <c r="X356" s="3">
        <f t="shared" si="47"/>
        <v>1250</v>
      </c>
      <c r="Y356" s="3">
        <f t="shared" si="48"/>
        <v>1600</v>
      </c>
      <c r="Z356" s="3">
        <f t="shared" si="49"/>
        <v>1800</v>
      </c>
      <c r="AA356" s="3">
        <v>0</v>
      </c>
      <c r="AB356" s="3">
        <f>ROUND(U356 - (V356+W356+X356+Y356) - (U356/Q356 * 2),0)</f>
        <v>34483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f>SUM(V356+W356+X356+Y356+AB356)</f>
        <v>93333</v>
      </c>
      <c r="AK356" s="3">
        <f>SUM(AJ356-AA356)</f>
        <v>93333</v>
      </c>
      <c r="AL356" s="3">
        <f>IF(V356&lt;=15000,V356*12%,1800)</f>
        <v>1800</v>
      </c>
      <c r="AM356" s="3">
        <v>0</v>
      </c>
      <c r="AN356" s="3">
        <f t="shared" si="50"/>
        <v>1800</v>
      </c>
      <c r="AO356" s="12">
        <v>200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3">
        <f t="shared" si="52"/>
        <v>200</v>
      </c>
      <c r="AV356" s="3">
        <f>SUM(AJ356 - AN356 - AU356)</f>
        <v>91333</v>
      </c>
      <c r="AW356" s="11">
        <v>0</v>
      </c>
      <c r="AX356" s="11">
        <v>0</v>
      </c>
      <c r="AY356" s="11">
        <v>0</v>
      </c>
      <c r="AZ356" s="11">
        <v>0</v>
      </c>
      <c r="BA356" s="3">
        <f t="shared" si="51"/>
        <v>91333</v>
      </c>
    </row>
    <row r="357" spans="1:53" x14ac:dyDescent="0.25">
      <c r="A357" s="1" t="s">
        <v>355</v>
      </c>
      <c r="B357" s="9" t="s">
        <v>1758</v>
      </c>
      <c r="C357" s="9" t="s">
        <v>1023</v>
      </c>
      <c r="D357" s="9" t="s">
        <v>1759</v>
      </c>
      <c r="E357" s="9" t="s">
        <v>1012</v>
      </c>
      <c r="F357" s="10">
        <v>44487</v>
      </c>
      <c r="G357" s="9" t="s">
        <v>1013</v>
      </c>
      <c r="I357" s="9" t="s">
        <v>1020</v>
      </c>
      <c r="J357" s="9" t="s">
        <v>1021</v>
      </c>
      <c r="K357" s="8" t="s">
        <v>1006</v>
      </c>
      <c r="L357" s="8" t="s">
        <v>1007</v>
      </c>
      <c r="M357" s="8" t="s">
        <v>2933</v>
      </c>
      <c r="N357" s="8" t="s">
        <v>2937</v>
      </c>
      <c r="O357" s="1" t="s">
        <v>2934</v>
      </c>
      <c r="P357">
        <v>30</v>
      </c>
      <c r="Q357">
        <v>30</v>
      </c>
      <c r="R357">
        <v>0</v>
      </c>
      <c r="S357">
        <f t="shared" si="53"/>
        <v>30</v>
      </c>
      <c r="T357" s="1" t="s">
        <v>2935</v>
      </c>
      <c r="U357" s="1" t="s">
        <v>2932</v>
      </c>
      <c r="V357" s="3">
        <f t="shared" si="54"/>
        <v>40000</v>
      </c>
      <c r="W357" s="3">
        <f t="shared" si="55"/>
        <v>16000</v>
      </c>
      <c r="X357" s="3">
        <f t="shared" si="47"/>
        <v>1250</v>
      </c>
      <c r="Y357" s="3">
        <f t="shared" si="48"/>
        <v>1600</v>
      </c>
      <c r="Z357" s="3">
        <f t="shared" si="49"/>
        <v>1800</v>
      </c>
      <c r="AA357" s="3">
        <v>0</v>
      </c>
      <c r="AB357" s="3">
        <f>ROUND(U357 - (V357+W357+X357+Y357) - (U357/Q357 * 2),0)</f>
        <v>34483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f>SUM(V357+W357+X357+Y357+AB357)</f>
        <v>93333</v>
      </c>
      <c r="AK357" s="3">
        <f>SUM(AJ357-AA357)</f>
        <v>93333</v>
      </c>
      <c r="AL357" s="3">
        <f>IF(V357&lt;=15000,V357*12%,1800)</f>
        <v>1800</v>
      </c>
      <c r="AM357" s="3">
        <v>0</v>
      </c>
      <c r="AN357" s="3">
        <f t="shared" si="50"/>
        <v>1800</v>
      </c>
      <c r="AO357" s="12">
        <v>200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3">
        <f t="shared" si="52"/>
        <v>200</v>
      </c>
      <c r="AV357" s="3">
        <f>SUM(AJ357 - AN357 - AU357)</f>
        <v>91333</v>
      </c>
      <c r="AW357" s="11">
        <v>0</v>
      </c>
      <c r="AX357" s="11">
        <v>0</v>
      </c>
      <c r="AY357" s="11">
        <v>0</v>
      </c>
      <c r="AZ357" s="11">
        <v>0</v>
      </c>
      <c r="BA357" s="3">
        <f t="shared" si="51"/>
        <v>91333</v>
      </c>
    </row>
    <row r="358" spans="1:53" x14ac:dyDescent="0.25">
      <c r="A358" s="1" t="s">
        <v>356</v>
      </c>
      <c r="B358" s="9" t="s">
        <v>1756</v>
      </c>
      <c r="C358" s="9" t="s">
        <v>1029</v>
      </c>
      <c r="D358" s="9" t="s">
        <v>1757</v>
      </c>
      <c r="E358" s="9" t="s">
        <v>1008</v>
      </c>
      <c r="F358" s="10">
        <v>45432</v>
      </c>
      <c r="G358" s="9" t="s">
        <v>1013</v>
      </c>
      <c r="I358" s="9" t="s">
        <v>1042</v>
      </c>
      <c r="J358" s="9" t="s">
        <v>1031</v>
      </c>
      <c r="K358" s="8" t="s">
        <v>1006</v>
      </c>
      <c r="L358" s="8" t="s">
        <v>1007</v>
      </c>
      <c r="M358" s="8" t="s">
        <v>2933</v>
      </c>
      <c r="N358" s="8" t="s">
        <v>2937</v>
      </c>
      <c r="O358" s="1" t="s">
        <v>2934</v>
      </c>
      <c r="P358">
        <v>30</v>
      </c>
      <c r="Q358">
        <v>30</v>
      </c>
      <c r="R358">
        <v>0</v>
      </c>
      <c r="S358">
        <f t="shared" si="53"/>
        <v>30</v>
      </c>
      <c r="T358" s="1" t="s">
        <v>2935</v>
      </c>
      <c r="U358" s="1" t="s">
        <v>2932</v>
      </c>
      <c r="V358" s="3">
        <f t="shared" si="54"/>
        <v>40000</v>
      </c>
      <c r="W358" s="3">
        <f t="shared" si="55"/>
        <v>16000</v>
      </c>
      <c r="X358" s="3">
        <f t="shared" si="47"/>
        <v>1250</v>
      </c>
      <c r="Y358" s="3">
        <f t="shared" si="48"/>
        <v>1600</v>
      </c>
      <c r="Z358" s="3">
        <f t="shared" si="49"/>
        <v>1800</v>
      </c>
      <c r="AA358" s="3">
        <v>0</v>
      </c>
      <c r="AB358" s="3">
        <f>ROUND(U358 - (V358+W358+X358+Y358) - (U358/Q358 * 2),0)</f>
        <v>34483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f>SUM(V358+W358+X358+Y358+AB358)</f>
        <v>93333</v>
      </c>
      <c r="AK358" s="3">
        <f>SUM(AJ358-AA358)</f>
        <v>93333</v>
      </c>
      <c r="AL358" s="3">
        <f>IF(V358&lt;=15000,V358*12%,1800)</f>
        <v>1800</v>
      </c>
      <c r="AM358" s="3">
        <v>0</v>
      </c>
      <c r="AN358" s="3">
        <f t="shared" si="50"/>
        <v>1800</v>
      </c>
      <c r="AO358" s="12">
        <v>200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3">
        <f t="shared" si="52"/>
        <v>200</v>
      </c>
      <c r="AV358" s="3">
        <f>SUM(AJ358 - AN358 - AU358)</f>
        <v>91333</v>
      </c>
      <c r="AW358" s="11">
        <v>0</v>
      </c>
      <c r="AX358" s="11">
        <v>0</v>
      </c>
      <c r="AY358" s="11">
        <v>0</v>
      </c>
      <c r="AZ358" s="11">
        <v>0</v>
      </c>
      <c r="BA358" s="3">
        <f t="shared" si="51"/>
        <v>91333</v>
      </c>
    </row>
    <row r="359" spans="1:53" x14ac:dyDescent="0.25">
      <c r="A359" s="1" t="s">
        <v>357</v>
      </c>
      <c r="B359" s="9" t="s">
        <v>1754</v>
      </c>
      <c r="C359" s="9" t="s">
        <v>1029</v>
      </c>
      <c r="D359" s="9" t="s">
        <v>1755</v>
      </c>
      <c r="E359" s="9" t="s">
        <v>1008</v>
      </c>
      <c r="F359" s="10">
        <v>45432</v>
      </c>
      <c r="G359" s="9" t="s">
        <v>1013</v>
      </c>
      <c r="I359" s="9" t="s">
        <v>1042</v>
      </c>
      <c r="J359" s="9" t="s">
        <v>1031</v>
      </c>
      <c r="K359" s="8" t="s">
        <v>1006</v>
      </c>
      <c r="L359" s="8" t="s">
        <v>1007</v>
      </c>
      <c r="M359" s="8" t="s">
        <v>2933</v>
      </c>
      <c r="N359" s="8" t="s">
        <v>2937</v>
      </c>
      <c r="O359" s="1" t="s">
        <v>2934</v>
      </c>
      <c r="P359">
        <v>30</v>
      </c>
      <c r="Q359">
        <v>30</v>
      </c>
      <c r="R359">
        <v>0</v>
      </c>
      <c r="S359">
        <f t="shared" si="53"/>
        <v>30</v>
      </c>
      <c r="T359" s="1" t="s">
        <v>2935</v>
      </c>
      <c r="U359" s="1" t="s">
        <v>2932</v>
      </c>
      <c r="V359" s="3">
        <f t="shared" si="54"/>
        <v>40000</v>
      </c>
      <c r="W359" s="3">
        <f t="shared" si="55"/>
        <v>16000</v>
      </c>
      <c r="X359" s="3">
        <f t="shared" si="47"/>
        <v>1250</v>
      </c>
      <c r="Y359" s="3">
        <f t="shared" si="48"/>
        <v>1600</v>
      </c>
      <c r="Z359" s="3">
        <f t="shared" si="49"/>
        <v>1800</v>
      </c>
      <c r="AA359" s="3">
        <v>0</v>
      </c>
      <c r="AB359" s="3">
        <f>ROUND(U359 - (V359+W359+X359+Y359) - (U359/Q359 * 2),0)</f>
        <v>34483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f>SUM(V359+W359+X359+Y359+AB359)</f>
        <v>93333</v>
      </c>
      <c r="AK359" s="3">
        <f>SUM(AJ359-AA359)</f>
        <v>93333</v>
      </c>
      <c r="AL359" s="3">
        <f>IF(V359&lt;=15000,V359*12%,1800)</f>
        <v>1800</v>
      </c>
      <c r="AM359" s="3">
        <v>0</v>
      </c>
      <c r="AN359" s="3">
        <f t="shared" si="50"/>
        <v>1800</v>
      </c>
      <c r="AO359" s="12">
        <v>200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3">
        <f t="shared" si="52"/>
        <v>200</v>
      </c>
      <c r="AV359" s="3">
        <f>SUM(AJ359 - AN359 - AU359)</f>
        <v>91333</v>
      </c>
      <c r="AW359" s="11">
        <v>0</v>
      </c>
      <c r="AX359" s="11">
        <v>0</v>
      </c>
      <c r="AY359" s="11">
        <v>0</v>
      </c>
      <c r="AZ359" s="11">
        <v>0</v>
      </c>
      <c r="BA359" s="3">
        <f t="shared" si="51"/>
        <v>91333</v>
      </c>
    </row>
    <row r="360" spans="1:53" x14ac:dyDescent="0.25">
      <c r="A360" s="1" t="s">
        <v>358</v>
      </c>
      <c r="B360" s="9" t="s">
        <v>1752</v>
      </c>
      <c r="C360" s="9" t="s">
        <v>1029</v>
      </c>
      <c r="D360" s="9" t="s">
        <v>1753</v>
      </c>
      <c r="E360" s="9" t="s">
        <v>1008</v>
      </c>
      <c r="F360" s="10">
        <v>45432</v>
      </c>
      <c r="G360" s="9" t="s">
        <v>1013</v>
      </c>
      <c r="I360" s="9" t="s">
        <v>1042</v>
      </c>
      <c r="J360" s="9" t="s">
        <v>1031</v>
      </c>
      <c r="K360" s="8" t="s">
        <v>1006</v>
      </c>
      <c r="L360" s="8" t="s">
        <v>1007</v>
      </c>
      <c r="M360" s="8" t="s">
        <v>2933</v>
      </c>
      <c r="N360" s="8" t="s">
        <v>2937</v>
      </c>
      <c r="O360" s="1" t="s">
        <v>2934</v>
      </c>
      <c r="P360">
        <v>30</v>
      </c>
      <c r="Q360">
        <v>30</v>
      </c>
      <c r="R360">
        <v>0</v>
      </c>
      <c r="S360">
        <f t="shared" si="53"/>
        <v>30</v>
      </c>
      <c r="T360" s="1" t="s">
        <v>2935</v>
      </c>
      <c r="U360" s="1" t="s">
        <v>2932</v>
      </c>
      <c r="V360" s="3">
        <f t="shared" si="54"/>
        <v>40000</v>
      </c>
      <c r="W360" s="3">
        <f t="shared" si="55"/>
        <v>16000</v>
      </c>
      <c r="X360" s="3">
        <f t="shared" si="47"/>
        <v>1250</v>
      </c>
      <c r="Y360" s="3">
        <f t="shared" si="48"/>
        <v>1600</v>
      </c>
      <c r="Z360" s="3">
        <f t="shared" si="49"/>
        <v>1800</v>
      </c>
      <c r="AA360" s="3">
        <v>0</v>
      </c>
      <c r="AB360" s="3">
        <f>ROUND(U360 - (V360+W360+X360+Y360) - (U360/Q360 * 2),0)</f>
        <v>34483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f>SUM(V360+W360+X360+Y360+AB360)</f>
        <v>93333</v>
      </c>
      <c r="AK360" s="3">
        <f>SUM(AJ360-AA360)</f>
        <v>93333</v>
      </c>
      <c r="AL360" s="3">
        <f>IF(V360&lt;=15000,V360*12%,1800)</f>
        <v>1800</v>
      </c>
      <c r="AM360" s="3">
        <v>0</v>
      </c>
      <c r="AN360" s="3">
        <f t="shared" si="50"/>
        <v>1800</v>
      </c>
      <c r="AO360" s="12">
        <v>200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3">
        <f t="shared" si="52"/>
        <v>200</v>
      </c>
      <c r="AV360" s="3">
        <f>SUM(AJ360 - AN360 - AU360)</f>
        <v>91333</v>
      </c>
      <c r="AW360" s="11">
        <v>0</v>
      </c>
      <c r="AX360" s="11">
        <v>0</v>
      </c>
      <c r="AY360" s="11">
        <v>0</v>
      </c>
      <c r="AZ360" s="11">
        <v>0</v>
      </c>
      <c r="BA360" s="3">
        <f t="shared" si="51"/>
        <v>91333</v>
      </c>
    </row>
    <row r="361" spans="1:53" x14ac:dyDescent="0.25">
      <c r="A361" s="1" t="s">
        <v>359</v>
      </c>
      <c r="B361" s="9" t="s">
        <v>1750</v>
      </c>
      <c r="C361" s="9" t="s">
        <v>1063</v>
      </c>
      <c r="D361" s="9" t="s">
        <v>1751</v>
      </c>
      <c r="E361" s="9" t="s">
        <v>1012</v>
      </c>
      <c r="F361" s="10">
        <v>45418</v>
      </c>
      <c r="G361" s="9" t="s">
        <v>1013</v>
      </c>
      <c r="I361" s="9" t="s">
        <v>1014</v>
      </c>
      <c r="J361" s="9" t="s">
        <v>1015</v>
      </c>
      <c r="K361" s="8" t="s">
        <v>1006</v>
      </c>
      <c r="L361" s="8" t="s">
        <v>1007</v>
      </c>
      <c r="M361" s="8" t="s">
        <v>2933</v>
      </c>
      <c r="N361" s="8" t="s">
        <v>2937</v>
      </c>
      <c r="O361" s="1" t="s">
        <v>2934</v>
      </c>
      <c r="P361">
        <v>30</v>
      </c>
      <c r="Q361">
        <v>30</v>
      </c>
      <c r="R361">
        <v>0</v>
      </c>
      <c r="S361">
        <f t="shared" si="53"/>
        <v>30</v>
      </c>
      <c r="T361" s="1" t="s">
        <v>2935</v>
      </c>
      <c r="U361" s="1" t="s">
        <v>2932</v>
      </c>
      <c r="V361" s="3">
        <f t="shared" si="54"/>
        <v>40000</v>
      </c>
      <c r="W361" s="3">
        <f t="shared" si="55"/>
        <v>16000</v>
      </c>
      <c r="X361" s="3">
        <f t="shared" si="47"/>
        <v>1250</v>
      </c>
      <c r="Y361" s="3">
        <f t="shared" si="48"/>
        <v>1600</v>
      </c>
      <c r="Z361" s="3">
        <f t="shared" si="49"/>
        <v>1800</v>
      </c>
      <c r="AA361" s="3">
        <v>0</v>
      </c>
      <c r="AB361" s="3">
        <f>ROUND(U361 - (V361+W361+X361+Y361) - (U361/Q361 * 2),0)</f>
        <v>34483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f>SUM(V361+W361+X361+Y361+AB361)</f>
        <v>93333</v>
      </c>
      <c r="AK361" s="3">
        <f>SUM(AJ361-AA361)</f>
        <v>93333</v>
      </c>
      <c r="AL361" s="3">
        <f>IF(V361&lt;=15000,V361*12%,1800)</f>
        <v>1800</v>
      </c>
      <c r="AM361" s="3">
        <v>0</v>
      </c>
      <c r="AN361" s="3">
        <f t="shared" si="50"/>
        <v>1800</v>
      </c>
      <c r="AO361" s="12">
        <v>200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3">
        <f t="shared" si="52"/>
        <v>200</v>
      </c>
      <c r="AV361" s="3">
        <f>SUM(AJ361 - AN361 - AU361)</f>
        <v>91333</v>
      </c>
      <c r="AW361" s="11">
        <v>0</v>
      </c>
      <c r="AX361" s="11">
        <v>0</v>
      </c>
      <c r="AY361" s="11">
        <v>0</v>
      </c>
      <c r="AZ361" s="11">
        <v>0</v>
      </c>
      <c r="BA361" s="3">
        <f t="shared" si="51"/>
        <v>91333</v>
      </c>
    </row>
    <row r="362" spans="1:53" x14ac:dyDescent="0.25">
      <c r="A362" s="1" t="s">
        <v>360</v>
      </c>
      <c r="B362" s="9" t="s">
        <v>1748</v>
      </c>
      <c r="C362" s="9" t="s">
        <v>1063</v>
      </c>
      <c r="D362" s="9" t="s">
        <v>1749</v>
      </c>
      <c r="E362" s="9" t="s">
        <v>1012</v>
      </c>
      <c r="F362" s="10">
        <v>45418</v>
      </c>
      <c r="G362" s="9" t="s">
        <v>1019</v>
      </c>
      <c r="I362" s="9" t="s">
        <v>1014</v>
      </c>
      <c r="J362" s="9" t="s">
        <v>1015</v>
      </c>
      <c r="K362" s="8" t="s">
        <v>1006</v>
      </c>
      <c r="L362" s="8" t="s">
        <v>1007</v>
      </c>
      <c r="M362" s="8" t="s">
        <v>2933</v>
      </c>
      <c r="N362" s="8" t="s">
        <v>2937</v>
      </c>
      <c r="O362" s="1" t="s">
        <v>2934</v>
      </c>
      <c r="P362">
        <v>30</v>
      </c>
      <c r="Q362">
        <v>30</v>
      </c>
      <c r="R362">
        <v>0</v>
      </c>
      <c r="S362">
        <f t="shared" si="53"/>
        <v>30</v>
      </c>
      <c r="T362" s="1" t="s">
        <v>2935</v>
      </c>
      <c r="U362" s="1" t="s">
        <v>2932</v>
      </c>
      <c r="V362" s="3">
        <f t="shared" si="54"/>
        <v>40000</v>
      </c>
      <c r="W362" s="3">
        <f t="shared" si="55"/>
        <v>16000</v>
      </c>
      <c r="X362" s="3">
        <f t="shared" si="47"/>
        <v>1250</v>
      </c>
      <c r="Y362" s="3">
        <f t="shared" si="48"/>
        <v>1600</v>
      </c>
      <c r="Z362" s="3">
        <f t="shared" si="49"/>
        <v>1800</v>
      </c>
      <c r="AA362" s="3">
        <v>0</v>
      </c>
      <c r="AB362" s="3">
        <f>ROUND(U362 - (V362+W362+X362+Y362) - (U362/Q362 * 2),0)</f>
        <v>34483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f>SUM(V362+W362+X362+Y362+AB362)</f>
        <v>93333</v>
      </c>
      <c r="AK362" s="3">
        <f>SUM(AJ362-AA362)</f>
        <v>93333</v>
      </c>
      <c r="AL362" s="3">
        <f>IF(V362&lt;=15000,V362*12%,1800)</f>
        <v>1800</v>
      </c>
      <c r="AM362" s="3">
        <v>0</v>
      </c>
      <c r="AN362" s="3">
        <f t="shared" si="50"/>
        <v>1800</v>
      </c>
      <c r="AO362" s="12">
        <v>200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3">
        <f t="shared" si="52"/>
        <v>200</v>
      </c>
      <c r="AV362" s="3">
        <f>SUM(AJ362 - AN362 - AU362)</f>
        <v>91333</v>
      </c>
      <c r="AW362" s="11">
        <v>0</v>
      </c>
      <c r="AX362" s="11">
        <v>0</v>
      </c>
      <c r="AY362" s="11">
        <v>0</v>
      </c>
      <c r="AZ362" s="11">
        <v>0</v>
      </c>
      <c r="BA362" s="3">
        <f t="shared" si="51"/>
        <v>91333</v>
      </c>
    </row>
    <row r="363" spans="1:53" x14ac:dyDescent="0.25">
      <c r="A363" s="1" t="s">
        <v>361</v>
      </c>
      <c r="B363" s="9" t="s">
        <v>1746</v>
      </c>
      <c r="C363" s="9" t="s">
        <v>1063</v>
      </c>
      <c r="D363" s="9" t="s">
        <v>1747</v>
      </c>
      <c r="E363" s="9" t="s">
        <v>1012</v>
      </c>
      <c r="F363" s="10">
        <v>45421</v>
      </c>
      <c r="G363" s="9" t="s">
        <v>1013</v>
      </c>
      <c r="I363" s="9" t="s">
        <v>1014</v>
      </c>
      <c r="J363" s="9" t="s">
        <v>1015</v>
      </c>
      <c r="K363" s="8" t="s">
        <v>1006</v>
      </c>
      <c r="L363" s="8" t="s">
        <v>1007</v>
      </c>
      <c r="M363" s="8" t="s">
        <v>2933</v>
      </c>
      <c r="N363" s="8" t="s">
        <v>2937</v>
      </c>
      <c r="O363" s="1" t="s">
        <v>2934</v>
      </c>
      <c r="P363">
        <v>30</v>
      </c>
      <c r="Q363">
        <v>30</v>
      </c>
      <c r="R363">
        <v>0</v>
      </c>
      <c r="S363">
        <f t="shared" si="53"/>
        <v>30</v>
      </c>
      <c r="T363" s="1" t="s">
        <v>2935</v>
      </c>
      <c r="U363" s="1" t="s">
        <v>2932</v>
      </c>
      <c r="V363" s="3">
        <f t="shared" si="54"/>
        <v>40000</v>
      </c>
      <c r="W363" s="3">
        <f t="shared" si="55"/>
        <v>16000</v>
      </c>
      <c r="X363" s="3">
        <f t="shared" si="47"/>
        <v>1250</v>
      </c>
      <c r="Y363" s="3">
        <f t="shared" si="48"/>
        <v>1600</v>
      </c>
      <c r="Z363" s="3">
        <f t="shared" si="49"/>
        <v>1800</v>
      </c>
      <c r="AA363" s="3">
        <v>0</v>
      </c>
      <c r="AB363" s="3">
        <f>ROUND(U363 - (V363+W363+X363+Y363) - (U363/Q363 * 2),0)</f>
        <v>34483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f>SUM(V363+W363+X363+Y363+AB363)</f>
        <v>93333</v>
      </c>
      <c r="AK363" s="3">
        <f>SUM(AJ363-AA363)</f>
        <v>93333</v>
      </c>
      <c r="AL363" s="3">
        <f>IF(V363&lt;=15000,V363*12%,1800)</f>
        <v>1800</v>
      </c>
      <c r="AM363" s="3">
        <v>0</v>
      </c>
      <c r="AN363" s="3">
        <f t="shared" si="50"/>
        <v>1800</v>
      </c>
      <c r="AO363" s="12">
        <v>200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3">
        <f t="shared" si="52"/>
        <v>200</v>
      </c>
      <c r="AV363" s="3">
        <f>SUM(AJ363 - AN363 - AU363)</f>
        <v>91333</v>
      </c>
      <c r="AW363" s="11">
        <v>0</v>
      </c>
      <c r="AX363" s="11">
        <v>0</v>
      </c>
      <c r="AY363" s="11">
        <v>0</v>
      </c>
      <c r="AZ363" s="11">
        <v>0</v>
      </c>
      <c r="BA363" s="3">
        <f t="shared" si="51"/>
        <v>91333</v>
      </c>
    </row>
    <row r="364" spans="1:53" x14ac:dyDescent="0.25">
      <c r="A364" s="1" t="s">
        <v>362</v>
      </c>
      <c r="B364" s="9" t="s">
        <v>1744</v>
      </c>
      <c r="C364" s="9" t="s">
        <v>1010</v>
      </c>
      <c r="D364" s="9" t="s">
        <v>1745</v>
      </c>
      <c r="E364" s="9" t="s">
        <v>1008</v>
      </c>
      <c r="F364" s="10">
        <v>45422</v>
      </c>
      <c r="G364" s="9" t="s">
        <v>1019</v>
      </c>
      <c r="I364" s="9" t="s">
        <v>1014</v>
      </c>
      <c r="J364" s="9" t="s">
        <v>1015</v>
      </c>
      <c r="K364" s="8" t="s">
        <v>1006</v>
      </c>
      <c r="L364" s="8" t="s">
        <v>1007</v>
      </c>
      <c r="M364" s="8" t="s">
        <v>2933</v>
      </c>
      <c r="N364" s="8" t="s">
        <v>2937</v>
      </c>
      <c r="O364" s="1" t="s">
        <v>2934</v>
      </c>
      <c r="P364">
        <v>30</v>
      </c>
      <c r="Q364">
        <v>30</v>
      </c>
      <c r="R364">
        <v>0</v>
      </c>
      <c r="S364">
        <f t="shared" si="53"/>
        <v>30</v>
      </c>
      <c r="T364" s="1" t="s">
        <v>2935</v>
      </c>
      <c r="U364" s="1" t="s">
        <v>2932</v>
      </c>
      <c r="V364" s="3">
        <f t="shared" si="54"/>
        <v>40000</v>
      </c>
      <c r="W364" s="3">
        <f t="shared" si="55"/>
        <v>16000</v>
      </c>
      <c r="X364" s="3">
        <f t="shared" si="47"/>
        <v>1250</v>
      </c>
      <c r="Y364" s="3">
        <f t="shared" si="48"/>
        <v>1600</v>
      </c>
      <c r="Z364" s="3">
        <f t="shared" si="49"/>
        <v>1800</v>
      </c>
      <c r="AA364" s="3">
        <v>0</v>
      </c>
      <c r="AB364" s="3">
        <f>ROUND(U364 - (V364+W364+X364+Y364) - (U364/Q364 * 2),0)</f>
        <v>34483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f>SUM(V364+W364+X364+Y364+AB364)</f>
        <v>93333</v>
      </c>
      <c r="AK364" s="3">
        <f>SUM(AJ364-AA364)</f>
        <v>93333</v>
      </c>
      <c r="AL364" s="3">
        <f>IF(V364&lt;=15000,V364*12%,1800)</f>
        <v>1800</v>
      </c>
      <c r="AM364" s="3">
        <v>0</v>
      </c>
      <c r="AN364" s="3">
        <f t="shared" si="50"/>
        <v>1800</v>
      </c>
      <c r="AO364" s="12">
        <v>200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3">
        <f t="shared" si="52"/>
        <v>200</v>
      </c>
      <c r="AV364" s="3">
        <f>SUM(AJ364 - AN364 - AU364)</f>
        <v>91333</v>
      </c>
      <c r="AW364" s="11">
        <v>0</v>
      </c>
      <c r="AX364" s="11">
        <v>0</v>
      </c>
      <c r="AY364" s="11">
        <v>0</v>
      </c>
      <c r="AZ364" s="11">
        <v>0</v>
      </c>
      <c r="BA364" s="3">
        <f t="shared" si="51"/>
        <v>91333</v>
      </c>
    </row>
    <row r="365" spans="1:53" x14ac:dyDescent="0.25">
      <c r="A365" s="1" t="s">
        <v>363</v>
      </c>
      <c r="B365" s="9" t="s">
        <v>1742</v>
      </c>
      <c r="C365" s="9" t="s">
        <v>1467</v>
      </c>
      <c r="D365" s="9" t="s">
        <v>1743</v>
      </c>
      <c r="E365" s="9" t="s">
        <v>1012</v>
      </c>
      <c r="F365" s="10">
        <v>45425</v>
      </c>
      <c r="G365" s="9" t="s">
        <v>1013</v>
      </c>
      <c r="I365" s="9" t="s">
        <v>1014</v>
      </c>
      <c r="J365" s="9" t="s">
        <v>1021</v>
      </c>
      <c r="K365" s="8" t="s">
        <v>1006</v>
      </c>
      <c r="L365" s="8" t="s">
        <v>1007</v>
      </c>
      <c r="M365" s="8" t="s">
        <v>2933</v>
      </c>
      <c r="N365" s="8" t="s">
        <v>2937</v>
      </c>
      <c r="O365" s="1" t="s">
        <v>2934</v>
      </c>
      <c r="P365">
        <v>30</v>
      </c>
      <c r="Q365">
        <v>30</v>
      </c>
      <c r="R365">
        <v>0</v>
      </c>
      <c r="S365">
        <f t="shared" si="53"/>
        <v>30</v>
      </c>
      <c r="T365" s="1" t="s">
        <v>2935</v>
      </c>
      <c r="U365" s="1" t="s">
        <v>2932</v>
      </c>
      <c r="V365" s="3">
        <f t="shared" si="54"/>
        <v>40000</v>
      </c>
      <c r="W365" s="3">
        <f t="shared" si="55"/>
        <v>16000</v>
      </c>
      <c r="X365" s="3">
        <f t="shared" si="47"/>
        <v>1250</v>
      </c>
      <c r="Y365" s="3">
        <f t="shared" si="48"/>
        <v>1600</v>
      </c>
      <c r="Z365" s="3">
        <f t="shared" si="49"/>
        <v>1800</v>
      </c>
      <c r="AA365" s="3">
        <v>0</v>
      </c>
      <c r="AB365" s="3">
        <f>ROUND(U365 - (V365+W365+X365+Y365) - (U365/Q365 * 2),0)</f>
        <v>34483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f>SUM(V365+W365+X365+Y365+AB365)</f>
        <v>93333</v>
      </c>
      <c r="AK365" s="3">
        <f>SUM(AJ365-AA365)</f>
        <v>93333</v>
      </c>
      <c r="AL365" s="3">
        <f>IF(V365&lt;=15000,V365*12%,1800)</f>
        <v>1800</v>
      </c>
      <c r="AM365" s="3">
        <v>0</v>
      </c>
      <c r="AN365" s="3">
        <f t="shared" si="50"/>
        <v>1800</v>
      </c>
      <c r="AO365" s="12">
        <v>200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3">
        <f t="shared" si="52"/>
        <v>200</v>
      </c>
      <c r="AV365" s="3">
        <f>SUM(AJ365 - AN365 - AU365)</f>
        <v>91333</v>
      </c>
      <c r="AW365" s="11">
        <v>0</v>
      </c>
      <c r="AX365" s="11">
        <v>0</v>
      </c>
      <c r="AY365" s="11">
        <v>0</v>
      </c>
      <c r="AZ365" s="11">
        <v>0</v>
      </c>
      <c r="BA365" s="3">
        <f t="shared" si="51"/>
        <v>91333</v>
      </c>
    </row>
    <row r="366" spans="1:53" x14ac:dyDescent="0.25">
      <c r="A366" s="1" t="s">
        <v>364</v>
      </c>
      <c r="B366" s="9" t="s">
        <v>1740</v>
      </c>
      <c r="C366" s="9" t="s">
        <v>1169</v>
      </c>
      <c r="D366" s="9" t="s">
        <v>1741</v>
      </c>
      <c r="E366" s="9" t="s">
        <v>1008</v>
      </c>
      <c r="F366" s="10">
        <v>45446</v>
      </c>
      <c r="G366" s="9" t="s">
        <v>1019</v>
      </c>
      <c r="I366" s="9" t="s">
        <v>1042</v>
      </c>
      <c r="J366" s="9" t="s">
        <v>1171</v>
      </c>
      <c r="K366" s="8" t="s">
        <v>1006</v>
      </c>
      <c r="L366" s="8" t="s">
        <v>1007</v>
      </c>
      <c r="M366" s="8" t="s">
        <v>2933</v>
      </c>
      <c r="N366" s="8" t="s">
        <v>2937</v>
      </c>
      <c r="O366" s="1" t="s">
        <v>2934</v>
      </c>
      <c r="P366">
        <v>30</v>
      </c>
      <c r="Q366">
        <v>30</v>
      </c>
      <c r="R366">
        <v>0</v>
      </c>
      <c r="S366">
        <f t="shared" si="53"/>
        <v>30</v>
      </c>
      <c r="T366" s="1" t="s">
        <v>2935</v>
      </c>
      <c r="U366" s="1" t="s">
        <v>2932</v>
      </c>
      <c r="V366" s="3">
        <f t="shared" si="54"/>
        <v>40000</v>
      </c>
      <c r="W366" s="3">
        <f t="shared" si="55"/>
        <v>16000</v>
      </c>
      <c r="X366" s="3">
        <f t="shared" si="47"/>
        <v>1250</v>
      </c>
      <c r="Y366" s="3">
        <f t="shared" si="48"/>
        <v>1600</v>
      </c>
      <c r="Z366" s="3">
        <f t="shared" si="49"/>
        <v>1800</v>
      </c>
      <c r="AA366" s="3">
        <v>0</v>
      </c>
      <c r="AB366" s="3">
        <f>ROUND(U366 - (V366+W366+X366+Y366) - (U366/Q366 * 2),0)</f>
        <v>34483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f>SUM(V366+W366+X366+Y366+AB366)</f>
        <v>93333</v>
      </c>
      <c r="AK366" s="3">
        <f>SUM(AJ366-AA366)</f>
        <v>93333</v>
      </c>
      <c r="AL366" s="3">
        <f>IF(V366&lt;=15000,V366*12%,1800)</f>
        <v>1800</v>
      </c>
      <c r="AM366" s="3">
        <v>0</v>
      </c>
      <c r="AN366" s="3">
        <f t="shared" si="50"/>
        <v>1800</v>
      </c>
      <c r="AO366" s="12">
        <v>200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3">
        <f t="shared" si="52"/>
        <v>200</v>
      </c>
      <c r="AV366" s="3">
        <f>SUM(AJ366 - AN366 - AU366)</f>
        <v>91333</v>
      </c>
      <c r="AW366" s="11">
        <v>0</v>
      </c>
      <c r="AX366" s="11">
        <v>0</v>
      </c>
      <c r="AY366" s="11">
        <v>0</v>
      </c>
      <c r="AZ366" s="11">
        <v>0</v>
      </c>
      <c r="BA366" s="3">
        <f t="shared" si="51"/>
        <v>91333</v>
      </c>
    </row>
    <row r="367" spans="1:53" x14ac:dyDescent="0.25">
      <c r="A367" s="1" t="s">
        <v>365</v>
      </c>
      <c r="B367" s="9" t="s">
        <v>1397</v>
      </c>
      <c r="C367" s="9" t="s">
        <v>1115</v>
      </c>
      <c r="D367" s="9" t="s">
        <v>1799</v>
      </c>
      <c r="E367" s="9" t="s">
        <v>1012</v>
      </c>
      <c r="F367" s="10">
        <v>45462</v>
      </c>
      <c r="G367" s="9" t="s">
        <v>1019</v>
      </c>
      <c r="I367" s="9" t="s">
        <v>1035</v>
      </c>
      <c r="J367" s="9" t="s">
        <v>1048</v>
      </c>
      <c r="K367" s="8" t="s">
        <v>1006</v>
      </c>
      <c r="L367" s="8" t="s">
        <v>1007</v>
      </c>
      <c r="M367" s="8" t="s">
        <v>2933</v>
      </c>
      <c r="N367" s="8" t="s">
        <v>2937</v>
      </c>
      <c r="O367" s="1" t="s">
        <v>2934</v>
      </c>
      <c r="P367">
        <v>30</v>
      </c>
      <c r="Q367">
        <v>30</v>
      </c>
      <c r="R367">
        <v>0</v>
      </c>
      <c r="S367">
        <f t="shared" si="53"/>
        <v>30</v>
      </c>
      <c r="T367" s="1" t="s">
        <v>2935</v>
      </c>
      <c r="U367" s="1" t="s">
        <v>2932</v>
      </c>
      <c r="V367" s="3">
        <f t="shared" si="54"/>
        <v>40000</v>
      </c>
      <c r="W367" s="3">
        <f t="shared" si="55"/>
        <v>16000</v>
      </c>
      <c r="X367" s="3">
        <f t="shared" si="47"/>
        <v>1250</v>
      </c>
      <c r="Y367" s="3">
        <f t="shared" si="48"/>
        <v>1600</v>
      </c>
      <c r="Z367" s="3">
        <f t="shared" si="49"/>
        <v>1800</v>
      </c>
      <c r="AA367" s="3">
        <v>0</v>
      </c>
      <c r="AB367" s="3">
        <f>ROUND(U367 - (V367+W367+X367+Y367) - (U367/Q367 * 2),0)</f>
        <v>34483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f>SUM(V367+W367+X367+Y367+AB367)</f>
        <v>93333</v>
      </c>
      <c r="AK367" s="3">
        <f>SUM(AJ367-AA367)</f>
        <v>93333</v>
      </c>
      <c r="AL367" s="3">
        <f>IF(V367&lt;=15000,V367*12%,1800)</f>
        <v>1800</v>
      </c>
      <c r="AM367" s="3">
        <v>0</v>
      </c>
      <c r="AN367" s="3">
        <f t="shared" si="50"/>
        <v>1800</v>
      </c>
      <c r="AO367" s="12">
        <v>200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3">
        <f t="shared" si="52"/>
        <v>200</v>
      </c>
      <c r="AV367" s="3">
        <f>SUM(AJ367 - AN367 - AU367)</f>
        <v>91333</v>
      </c>
      <c r="AW367" s="11">
        <v>0</v>
      </c>
      <c r="AX367" s="11">
        <v>0</v>
      </c>
      <c r="AY367" s="11">
        <v>0</v>
      </c>
      <c r="AZ367" s="11">
        <v>0</v>
      </c>
      <c r="BA367" s="3">
        <f t="shared" si="51"/>
        <v>91333</v>
      </c>
    </row>
    <row r="368" spans="1:53" x14ac:dyDescent="0.25">
      <c r="A368" s="1" t="s">
        <v>366</v>
      </c>
      <c r="B368" s="9" t="s">
        <v>1797</v>
      </c>
      <c r="C368" s="9" t="s">
        <v>1010</v>
      </c>
      <c r="D368" s="9" t="s">
        <v>1798</v>
      </c>
      <c r="E368" s="9" t="s">
        <v>1012</v>
      </c>
      <c r="F368" s="10">
        <v>45446</v>
      </c>
      <c r="G368" s="9" t="s">
        <v>1019</v>
      </c>
      <c r="I368" s="9" t="s">
        <v>1014</v>
      </c>
      <c r="J368" s="9" t="s">
        <v>1015</v>
      </c>
      <c r="K368" s="8" t="s">
        <v>1006</v>
      </c>
      <c r="L368" s="8" t="s">
        <v>1007</v>
      </c>
      <c r="M368" s="8" t="s">
        <v>2933</v>
      </c>
      <c r="N368" s="8" t="s">
        <v>2937</v>
      </c>
      <c r="O368" s="1" t="s">
        <v>2934</v>
      </c>
      <c r="P368">
        <v>30</v>
      </c>
      <c r="Q368">
        <v>30</v>
      </c>
      <c r="R368">
        <v>0</v>
      </c>
      <c r="S368">
        <f t="shared" si="53"/>
        <v>30</v>
      </c>
      <c r="T368" s="1" t="s">
        <v>2935</v>
      </c>
      <c r="U368" s="1" t="s">
        <v>2932</v>
      </c>
      <c r="V368" s="3">
        <f t="shared" si="54"/>
        <v>40000</v>
      </c>
      <c r="W368" s="3">
        <f t="shared" si="55"/>
        <v>16000</v>
      </c>
      <c r="X368" s="3">
        <f t="shared" si="47"/>
        <v>1250</v>
      </c>
      <c r="Y368" s="3">
        <f t="shared" si="48"/>
        <v>1600</v>
      </c>
      <c r="Z368" s="3">
        <f t="shared" si="49"/>
        <v>1800</v>
      </c>
      <c r="AA368" s="3">
        <v>0</v>
      </c>
      <c r="AB368" s="3">
        <f>ROUND(U368 - (V368+W368+X368+Y368) - (U368/Q368 * 2),0)</f>
        <v>34483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f>SUM(V368+W368+X368+Y368+AB368)</f>
        <v>93333</v>
      </c>
      <c r="AK368" s="3">
        <f>SUM(AJ368-AA368)</f>
        <v>93333</v>
      </c>
      <c r="AL368" s="3">
        <f>IF(V368&lt;=15000,V368*12%,1800)</f>
        <v>1800</v>
      </c>
      <c r="AM368" s="3">
        <v>0</v>
      </c>
      <c r="AN368" s="3">
        <f t="shared" si="50"/>
        <v>1800</v>
      </c>
      <c r="AO368" s="12">
        <v>200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3">
        <f t="shared" si="52"/>
        <v>200</v>
      </c>
      <c r="AV368" s="3">
        <f>SUM(AJ368 - AN368 - AU368)</f>
        <v>91333</v>
      </c>
      <c r="AW368" s="11">
        <v>0</v>
      </c>
      <c r="AX368" s="11">
        <v>0</v>
      </c>
      <c r="AY368" s="11">
        <v>0</v>
      </c>
      <c r="AZ368" s="11">
        <v>0</v>
      </c>
      <c r="BA368" s="3">
        <f t="shared" si="51"/>
        <v>91333</v>
      </c>
    </row>
    <row r="369" spans="1:53" x14ac:dyDescent="0.25">
      <c r="A369" s="1" t="s">
        <v>367</v>
      </c>
      <c r="B369" s="9" t="s">
        <v>1795</v>
      </c>
      <c r="C369" s="9" t="s">
        <v>1063</v>
      </c>
      <c r="D369" s="9" t="s">
        <v>1796</v>
      </c>
      <c r="E369" s="9" t="s">
        <v>1012</v>
      </c>
      <c r="F369" s="10">
        <v>45446</v>
      </c>
      <c r="G369" s="9" t="s">
        <v>1019</v>
      </c>
      <c r="I369" s="9" t="s">
        <v>1014</v>
      </c>
      <c r="J369" s="9" t="s">
        <v>1015</v>
      </c>
      <c r="K369" s="8" t="s">
        <v>1006</v>
      </c>
      <c r="L369" s="8" t="s">
        <v>1007</v>
      </c>
      <c r="M369" s="8" t="s">
        <v>2933</v>
      </c>
      <c r="N369" s="8" t="s">
        <v>2937</v>
      </c>
      <c r="O369" s="1" t="s">
        <v>2934</v>
      </c>
      <c r="P369">
        <v>30</v>
      </c>
      <c r="Q369">
        <v>30</v>
      </c>
      <c r="R369">
        <v>0</v>
      </c>
      <c r="S369">
        <f t="shared" si="53"/>
        <v>30</v>
      </c>
      <c r="T369" s="1" t="s">
        <v>2935</v>
      </c>
      <c r="U369" s="1" t="s">
        <v>2932</v>
      </c>
      <c r="V369" s="3">
        <f t="shared" si="54"/>
        <v>40000</v>
      </c>
      <c r="W369" s="3">
        <f t="shared" si="55"/>
        <v>16000</v>
      </c>
      <c r="X369" s="3">
        <f t="shared" si="47"/>
        <v>1250</v>
      </c>
      <c r="Y369" s="3">
        <f t="shared" si="48"/>
        <v>1600</v>
      </c>
      <c r="Z369" s="3">
        <f t="shared" si="49"/>
        <v>1800</v>
      </c>
      <c r="AA369" s="3">
        <v>0</v>
      </c>
      <c r="AB369" s="3">
        <f>ROUND(U369 - (V369+W369+X369+Y369) - (U369/Q369 * 2),0)</f>
        <v>34483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f>SUM(V369+W369+X369+Y369+AB369)</f>
        <v>93333</v>
      </c>
      <c r="AK369" s="3">
        <f>SUM(AJ369-AA369)</f>
        <v>93333</v>
      </c>
      <c r="AL369" s="3">
        <f>IF(V369&lt;=15000,V369*12%,1800)</f>
        <v>1800</v>
      </c>
      <c r="AM369" s="3">
        <v>0</v>
      </c>
      <c r="AN369" s="3">
        <f t="shared" si="50"/>
        <v>1800</v>
      </c>
      <c r="AO369" s="12">
        <v>200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3">
        <f t="shared" si="52"/>
        <v>200</v>
      </c>
      <c r="AV369" s="3">
        <f>SUM(AJ369 - AN369 - AU369)</f>
        <v>91333</v>
      </c>
      <c r="AW369" s="11">
        <v>0</v>
      </c>
      <c r="AX369" s="11">
        <v>0</v>
      </c>
      <c r="AY369" s="11">
        <v>0</v>
      </c>
      <c r="AZ369" s="11">
        <v>0</v>
      </c>
      <c r="BA369" s="3">
        <f t="shared" si="51"/>
        <v>91333</v>
      </c>
    </row>
    <row r="370" spans="1:53" x14ac:dyDescent="0.25">
      <c r="A370" s="1" t="s">
        <v>368</v>
      </c>
      <c r="B370" s="9" t="s">
        <v>1793</v>
      </c>
      <c r="C370" s="9" t="s">
        <v>1063</v>
      </c>
      <c r="D370" s="9" t="s">
        <v>1794</v>
      </c>
      <c r="E370" s="9" t="s">
        <v>1012</v>
      </c>
      <c r="F370" s="10">
        <v>45446</v>
      </c>
      <c r="G370" s="9" t="s">
        <v>1013</v>
      </c>
      <c r="I370" s="9" t="s">
        <v>1014</v>
      </c>
      <c r="J370" s="9" t="s">
        <v>1015</v>
      </c>
      <c r="K370" s="8" t="s">
        <v>1006</v>
      </c>
      <c r="L370" s="8" t="s">
        <v>1007</v>
      </c>
      <c r="M370" s="8" t="s">
        <v>2933</v>
      </c>
      <c r="N370" s="8" t="s">
        <v>2937</v>
      </c>
      <c r="O370" s="1" t="s">
        <v>2934</v>
      </c>
      <c r="P370">
        <v>30</v>
      </c>
      <c r="Q370">
        <v>30</v>
      </c>
      <c r="R370">
        <v>0</v>
      </c>
      <c r="S370">
        <f t="shared" si="53"/>
        <v>30</v>
      </c>
      <c r="T370" s="1" t="s">
        <v>2935</v>
      </c>
      <c r="U370" s="1" t="s">
        <v>2932</v>
      </c>
      <c r="V370" s="3">
        <f t="shared" si="54"/>
        <v>40000</v>
      </c>
      <c r="W370" s="3">
        <f t="shared" si="55"/>
        <v>16000</v>
      </c>
      <c r="X370" s="3">
        <f t="shared" si="47"/>
        <v>1250</v>
      </c>
      <c r="Y370" s="3">
        <f t="shared" si="48"/>
        <v>1600</v>
      </c>
      <c r="Z370" s="3">
        <f t="shared" si="49"/>
        <v>1800</v>
      </c>
      <c r="AA370" s="3">
        <v>0</v>
      </c>
      <c r="AB370" s="3">
        <f>ROUND(U370 - (V370+W370+X370+Y370) - (U370/Q370 * 2),0)</f>
        <v>34483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f>SUM(V370+W370+X370+Y370+AB370)</f>
        <v>93333</v>
      </c>
      <c r="AK370" s="3">
        <f>SUM(AJ370-AA370)</f>
        <v>93333</v>
      </c>
      <c r="AL370" s="3">
        <f>IF(V370&lt;=15000,V370*12%,1800)</f>
        <v>1800</v>
      </c>
      <c r="AM370" s="3">
        <v>0</v>
      </c>
      <c r="AN370" s="3">
        <f t="shared" si="50"/>
        <v>1800</v>
      </c>
      <c r="AO370" s="12">
        <v>200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3">
        <f t="shared" si="52"/>
        <v>200</v>
      </c>
      <c r="AV370" s="3">
        <f>SUM(AJ370 - AN370 - AU370)</f>
        <v>91333</v>
      </c>
      <c r="AW370" s="11">
        <v>0</v>
      </c>
      <c r="AX370" s="11">
        <v>0</v>
      </c>
      <c r="AY370" s="11">
        <v>0</v>
      </c>
      <c r="AZ370" s="11">
        <v>0</v>
      </c>
      <c r="BA370" s="3">
        <f t="shared" si="51"/>
        <v>91333</v>
      </c>
    </row>
    <row r="371" spans="1:53" x14ac:dyDescent="0.25">
      <c r="A371" s="1" t="s">
        <v>369</v>
      </c>
      <c r="B371" s="9" t="s">
        <v>1791</v>
      </c>
      <c r="C371" s="9" t="s">
        <v>1063</v>
      </c>
      <c r="D371" s="9" t="s">
        <v>1792</v>
      </c>
      <c r="E371" s="9" t="s">
        <v>1008</v>
      </c>
      <c r="F371" s="10">
        <v>45446</v>
      </c>
      <c r="G371" s="9" t="s">
        <v>1013</v>
      </c>
      <c r="I371" s="9" t="s">
        <v>1014</v>
      </c>
      <c r="J371" s="9" t="s">
        <v>1015</v>
      </c>
      <c r="K371" s="8" t="s">
        <v>1006</v>
      </c>
      <c r="L371" s="8" t="s">
        <v>1007</v>
      </c>
      <c r="M371" s="8" t="s">
        <v>2933</v>
      </c>
      <c r="N371" s="8" t="s">
        <v>2937</v>
      </c>
      <c r="O371" s="1" t="s">
        <v>2934</v>
      </c>
      <c r="P371">
        <v>30</v>
      </c>
      <c r="Q371">
        <v>30</v>
      </c>
      <c r="R371">
        <v>0</v>
      </c>
      <c r="S371">
        <f t="shared" si="53"/>
        <v>30</v>
      </c>
      <c r="T371" s="1" t="s">
        <v>2935</v>
      </c>
      <c r="U371" s="1" t="s">
        <v>2932</v>
      </c>
      <c r="V371" s="3">
        <f t="shared" si="54"/>
        <v>40000</v>
      </c>
      <c r="W371" s="3">
        <f t="shared" si="55"/>
        <v>16000</v>
      </c>
      <c r="X371" s="3">
        <f t="shared" si="47"/>
        <v>1250</v>
      </c>
      <c r="Y371" s="3">
        <f t="shared" si="48"/>
        <v>1600</v>
      </c>
      <c r="Z371" s="3">
        <f t="shared" si="49"/>
        <v>1800</v>
      </c>
      <c r="AA371" s="3">
        <v>0</v>
      </c>
      <c r="AB371" s="3">
        <f>ROUND(U371 - (V371+W371+X371+Y371) - (U371/Q371 * 2),0)</f>
        <v>34483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f>SUM(V371+W371+X371+Y371+AB371)</f>
        <v>93333</v>
      </c>
      <c r="AK371" s="3">
        <f>SUM(AJ371-AA371)</f>
        <v>93333</v>
      </c>
      <c r="AL371" s="3">
        <f>IF(V371&lt;=15000,V371*12%,1800)</f>
        <v>1800</v>
      </c>
      <c r="AM371" s="3">
        <v>0</v>
      </c>
      <c r="AN371" s="3">
        <f t="shared" si="50"/>
        <v>1800</v>
      </c>
      <c r="AO371" s="12">
        <v>200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3">
        <f t="shared" si="52"/>
        <v>200</v>
      </c>
      <c r="AV371" s="3">
        <f>SUM(AJ371 - AN371 - AU371)</f>
        <v>91333</v>
      </c>
      <c r="AW371" s="11">
        <v>0</v>
      </c>
      <c r="AX371" s="11">
        <v>0</v>
      </c>
      <c r="AY371" s="11">
        <v>0</v>
      </c>
      <c r="AZ371" s="11">
        <v>0</v>
      </c>
      <c r="BA371" s="3">
        <f t="shared" si="51"/>
        <v>91333</v>
      </c>
    </row>
    <row r="372" spans="1:53" x14ac:dyDescent="0.25">
      <c r="A372" s="1" t="s">
        <v>370</v>
      </c>
      <c r="B372" s="9" t="s">
        <v>1789</v>
      </c>
      <c r="C372" s="9" t="s">
        <v>1010</v>
      </c>
      <c r="D372" s="9" t="s">
        <v>1790</v>
      </c>
      <c r="E372" s="9" t="s">
        <v>1012</v>
      </c>
      <c r="F372" s="10">
        <v>45448</v>
      </c>
      <c r="G372" s="9" t="s">
        <v>1013</v>
      </c>
      <c r="I372" s="9" t="s">
        <v>1014</v>
      </c>
      <c r="J372" s="9" t="s">
        <v>1015</v>
      </c>
      <c r="K372" s="8" t="s">
        <v>1006</v>
      </c>
      <c r="L372" s="8" t="s">
        <v>1007</v>
      </c>
      <c r="M372" s="8" t="s">
        <v>2933</v>
      </c>
      <c r="N372" s="8" t="s">
        <v>2937</v>
      </c>
      <c r="O372" s="1" t="s">
        <v>2934</v>
      </c>
      <c r="P372">
        <v>30</v>
      </c>
      <c r="Q372">
        <v>30</v>
      </c>
      <c r="R372">
        <v>0</v>
      </c>
      <c r="S372">
        <f t="shared" si="53"/>
        <v>30</v>
      </c>
      <c r="T372" s="1" t="s">
        <v>2935</v>
      </c>
      <c r="U372" s="1" t="s">
        <v>2932</v>
      </c>
      <c r="V372" s="3">
        <f t="shared" si="54"/>
        <v>40000</v>
      </c>
      <c r="W372" s="3">
        <f t="shared" si="55"/>
        <v>16000</v>
      </c>
      <c r="X372" s="3">
        <f t="shared" si="47"/>
        <v>1250</v>
      </c>
      <c r="Y372" s="3">
        <f t="shared" si="48"/>
        <v>1600</v>
      </c>
      <c r="Z372" s="3">
        <f t="shared" si="49"/>
        <v>1800</v>
      </c>
      <c r="AA372" s="3">
        <v>0</v>
      </c>
      <c r="AB372" s="3">
        <f>ROUND(U372 - (V372+W372+X372+Y372) - (U372/Q372 * 2),0)</f>
        <v>34483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f>SUM(V372+W372+X372+Y372+AB372)</f>
        <v>93333</v>
      </c>
      <c r="AK372" s="3">
        <f>SUM(AJ372-AA372)</f>
        <v>93333</v>
      </c>
      <c r="AL372" s="3">
        <f>IF(V372&lt;=15000,V372*12%,1800)</f>
        <v>1800</v>
      </c>
      <c r="AM372" s="3">
        <v>0</v>
      </c>
      <c r="AN372" s="3">
        <f t="shared" si="50"/>
        <v>1800</v>
      </c>
      <c r="AO372" s="12">
        <v>200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3">
        <f t="shared" si="52"/>
        <v>200</v>
      </c>
      <c r="AV372" s="3">
        <f>SUM(AJ372 - AN372 - AU372)</f>
        <v>91333</v>
      </c>
      <c r="AW372" s="11">
        <v>0</v>
      </c>
      <c r="AX372" s="11">
        <v>0</v>
      </c>
      <c r="AY372" s="11">
        <v>0</v>
      </c>
      <c r="AZ372" s="11">
        <v>0</v>
      </c>
      <c r="BA372" s="3">
        <f t="shared" si="51"/>
        <v>91333</v>
      </c>
    </row>
    <row r="373" spans="1:53" x14ac:dyDescent="0.25">
      <c r="A373" s="1" t="s">
        <v>371</v>
      </c>
      <c r="B373" s="9" t="s">
        <v>1099</v>
      </c>
      <c r="C373" s="9" t="s">
        <v>1029</v>
      </c>
      <c r="D373" s="9" t="s">
        <v>1788</v>
      </c>
      <c r="E373" s="9" t="s">
        <v>1012</v>
      </c>
      <c r="F373" s="10">
        <v>45448</v>
      </c>
      <c r="G373" s="9" t="s">
        <v>1013</v>
      </c>
      <c r="I373" s="9" t="s">
        <v>1020</v>
      </c>
      <c r="J373" s="9" t="s">
        <v>1031</v>
      </c>
      <c r="K373" s="8" t="s">
        <v>1006</v>
      </c>
      <c r="L373" s="8" t="s">
        <v>1007</v>
      </c>
      <c r="M373" s="8" t="s">
        <v>2933</v>
      </c>
      <c r="N373" s="8" t="s">
        <v>2937</v>
      </c>
      <c r="O373" s="1" t="s">
        <v>2934</v>
      </c>
      <c r="P373">
        <v>30</v>
      </c>
      <c r="Q373">
        <v>30</v>
      </c>
      <c r="R373">
        <v>0</v>
      </c>
      <c r="S373">
        <f t="shared" si="53"/>
        <v>30</v>
      </c>
      <c r="T373" s="1" t="s">
        <v>2935</v>
      </c>
      <c r="U373" s="1" t="s">
        <v>2932</v>
      </c>
      <c r="V373" s="3">
        <f t="shared" si="54"/>
        <v>40000</v>
      </c>
      <c r="W373" s="3">
        <f t="shared" si="55"/>
        <v>16000</v>
      </c>
      <c r="X373" s="3">
        <f t="shared" si="47"/>
        <v>1250</v>
      </c>
      <c r="Y373" s="3">
        <f t="shared" si="48"/>
        <v>1600</v>
      </c>
      <c r="Z373" s="3">
        <f t="shared" si="49"/>
        <v>1800</v>
      </c>
      <c r="AA373" s="3">
        <v>0</v>
      </c>
      <c r="AB373" s="3">
        <f>ROUND(U373 - (V373+W373+X373+Y373) - (U373/Q373 * 2),0)</f>
        <v>34483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f>SUM(V373+W373+X373+Y373+AB373)</f>
        <v>93333</v>
      </c>
      <c r="AK373" s="3">
        <f>SUM(AJ373-AA373)</f>
        <v>93333</v>
      </c>
      <c r="AL373" s="3">
        <f>IF(V373&lt;=15000,V373*12%,1800)</f>
        <v>1800</v>
      </c>
      <c r="AM373" s="3">
        <v>0</v>
      </c>
      <c r="AN373" s="3">
        <f t="shared" si="50"/>
        <v>1800</v>
      </c>
      <c r="AO373" s="12">
        <v>200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3">
        <f t="shared" si="52"/>
        <v>200</v>
      </c>
      <c r="AV373" s="3">
        <f>SUM(AJ373 - AN373 - AU373)</f>
        <v>91333</v>
      </c>
      <c r="AW373" s="11">
        <v>0</v>
      </c>
      <c r="AX373" s="11">
        <v>0</v>
      </c>
      <c r="AY373" s="11">
        <v>0</v>
      </c>
      <c r="AZ373" s="11">
        <v>0</v>
      </c>
      <c r="BA373" s="3">
        <f t="shared" si="51"/>
        <v>91333</v>
      </c>
    </row>
    <row r="374" spans="1:53" x14ac:dyDescent="0.25">
      <c r="A374" s="1" t="s">
        <v>372</v>
      </c>
      <c r="B374" s="9" t="s">
        <v>1786</v>
      </c>
      <c r="C374" s="9" t="s">
        <v>1010</v>
      </c>
      <c r="D374" s="9" t="s">
        <v>1787</v>
      </c>
      <c r="E374" s="9" t="s">
        <v>1012</v>
      </c>
      <c r="F374" s="10">
        <v>45453</v>
      </c>
      <c r="G374" s="9" t="s">
        <v>1013</v>
      </c>
      <c r="I374" s="9" t="s">
        <v>1014</v>
      </c>
      <c r="J374" s="9" t="s">
        <v>1015</v>
      </c>
      <c r="K374" s="8" t="s">
        <v>1006</v>
      </c>
      <c r="L374" s="8" t="s">
        <v>1007</v>
      </c>
      <c r="M374" s="8" t="s">
        <v>2933</v>
      </c>
      <c r="N374" s="8" t="s">
        <v>2937</v>
      </c>
      <c r="O374" s="1" t="s">
        <v>2934</v>
      </c>
      <c r="P374">
        <v>30</v>
      </c>
      <c r="Q374">
        <v>30</v>
      </c>
      <c r="R374">
        <v>0</v>
      </c>
      <c r="S374">
        <f t="shared" si="53"/>
        <v>30</v>
      </c>
      <c r="T374" s="1" t="s">
        <v>2935</v>
      </c>
      <c r="U374" s="1" t="s">
        <v>2932</v>
      </c>
      <c r="V374" s="3">
        <f t="shared" si="54"/>
        <v>40000</v>
      </c>
      <c r="W374" s="3">
        <f t="shared" si="55"/>
        <v>16000</v>
      </c>
      <c r="X374" s="3">
        <f t="shared" si="47"/>
        <v>1250</v>
      </c>
      <c r="Y374" s="3">
        <f t="shared" si="48"/>
        <v>1600</v>
      </c>
      <c r="Z374" s="3">
        <f t="shared" si="49"/>
        <v>1800</v>
      </c>
      <c r="AA374" s="3">
        <v>0</v>
      </c>
      <c r="AB374" s="3">
        <f>ROUND(U374 - (V374+W374+X374+Y374) - (U374/Q374 * 2),0)</f>
        <v>34483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f>SUM(V374+W374+X374+Y374+AB374)</f>
        <v>93333</v>
      </c>
      <c r="AK374" s="3">
        <f>SUM(AJ374-AA374)</f>
        <v>93333</v>
      </c>
      <c r="AL374" s="3">
        <f>IF(V374&lt;=15000,V374*12%,1800)</f>
        <v>1800</v>
      </c>
      <c r="AM374" s="3">
        <v>0</v>
      </c>
      <c r="AN374" s="3">
        <f t="shared" si="50"/>
        <v>1800</v>
      </c>
      <c r="AO374" s="12">
        <v>200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3">
        <f t="shared" si="52"/>
        <v>200</v>
      </c>
      <c r="AV374" s="3">
        <f>SUM(AJ374 - AN374 - AU374)</f>
        <v>91333</v>
      </c>
      <c r="AW374" s="11">
        <v>0</v>
      </c>
      <c r="AX374" s="11">
        <v>0</v>
      </c>
      <c r="AY374" s="11">
        <v>0</v>
      </c>
      <c r="AZ374" s="11">
        <v>0</v>
      </c>
      <c r="BA374" s="3">
        <f t="shared" si="51"/>
        <v>91333</v>
      </c>
    </row>
    <row r="375" spans="1:53" x14ac:dyDescent="0.25">
      <c r="A375" s="1" t="s">
        <v>373</v>
      </c>
      <c r="B375" s="9" t="s">
        <v>1785</v>
      </c>
      <c r="C375" s="9" t="s">
        <v>1063</v>
      </c>
      <c r="D375" s="9">
        <v>0</v>
      </c>
      <c r="E375" s="9" t="s">
        <v>1012</v>
      </c>
      <c r="F375" s="10">
        <v>45455</v>
      </c>
      <c r="G375" s="9" t="s">
        <v>1019</v>
      </c>
      <c r="I375" s="9" t="s">
        <v>1014</v>
      </c>
      <c r="J375" s="9" t="s">
        <v>1015</v>
      </c>
      <c r="K375" s="8" t="s">
        <v>1006</v>
      </c>
      <c r="L375" s="8" t="s">
        <v>1007</v>
      </c>
      <c r="M375" s="8" t="s">
        <v>2933</v>
      </c>
      <c r="N375" s="8" t="s">
        <v>2937</v>
      </c>
      <c r="O375" s="1" t="s">
        <v>2934</v>
      </c>
      <c r="P375">
        <v>30</v>
      </c>
      <c r="Q375">
        <v>30</v>
      </c>
      <c r="R375">
        <v>0</v>
      </c>
      <c r="S375">
        <f t="shared" si="53"/>
        <v>30</v>
      </c>
      <c r="T375" s="1" t="s">
        <v>2935</v>
      </c>
      <c r="U375" s="1" t="s">
        <v>2932</v>
      </c>
      <c r="V375" s="3">
        <f t="shared" si="54"/>
        <v>40000</v>
      </c>
      <c r="W375" s="3">
        <f t="shared" si="55"/>
        <v>16000</v>
      </c>
      <c r="X375" s="3">
        <f t="shared" si="47"/>
        <v>1250</v>
      </c>
      <c r="Y375" s="3">
        <f t="shared" si="48"/>
        <v>1600</v>
      </c>
      <c r="Z375" s="3">
        <f t="shared" si="49"/>
        <v>1800</v>
      </c>
      <c r="AA375" s="3">
        <v>0</v>
      </c>
      <c r="AB375" s="3">
        <f>ROUND(U375 - (V375+W375+X375+Y375) - (U375/Q375 * 2),0)</f>
        <v>34483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f>SUM(V375+W375+X375+Y375+AB375)</f>
        <v>93333</v>
      </c>
      <c r="AK375" s="3">
        <f>SUM(AJ375-AA375)</f>
        <v>93333</v>
      </c>
      <c r="AL375" s="3">
        <f>IF(V375&lt;=15000,V375*12%,1800)</f>
        <v>1800</v>
      </c>
      <c r="AM375" s="3">
        <v>0</v>
      </c>
      <c r="AN375" s="3">
        <f t="shared" si="50"/>
        <v>1800</v>
      </c>
      <c r="AO375" s="12">
        <v>200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3">
        <f t="shared" si="52"/>
        <v>200</v>
      </c>
      <c r="AV375" s="3">
        <f>SUM(AJ375 - AN375 - AU375)</f>
        <v>91333</v>
      </c>
      <c r="AW375" s="11">
        <v>0</v>
      </c>
      <c r="AX375" s="11">
        <v>0</v>
      </c>
      <c r="AY375" s="11">
        <v>0</v>
      </c>
      <c r="AZ375" s="11">
        <v>0</v>
      </c>
      <c r="BA375" s="3">
        <f t="shared" si="51"/>
        <v>91333</v>
      </c>
    </row>
    <row r="376" spans="1:53" x14ac:dyDescent="0.25">
      <c r="A376" s="1" t="s">
        <v>374</v>
      </c>
      <c r="B376" s="9" t="s">
        <v>1783</v>
      </c>
      <c r="C376" s="9" t="s">
        <v>1063</v>
      </c>
      <c r="D376" s="9" t="s">
        <v>1784</v>
      </c>
      <c r="E376" s="9" t="s">
        <v>1012</v>
      </c>
      <c r="F376" s="10">
        <v>45460</v>
      </c>
      <c r="G376" s="9" t="s">
        <v>1019</v>
      </c>
      <c r="I376" s="9" t="s">
        <v>1020</v>
      </c>
      <c r="J376" s="9" t="s">
        <v>1015</v>
      </c>
      <c r="K376" s="8" t="s">
        <v>1006</v>
      </c>
      <c r="L376" s="8" t="s">
        <v>1007</v>
      </c>
      <c r="M376" s="8" t="s">
        <v>2933</v>
      </c>
      <c r="N376" s="8" t="s">
        <v>2937</v>
      </c>
      <c r="O376" s="1" t="s">
        <v>2934</v>
      </c>
      <c r="P376">
        <v>30</v>
      </c>
      <c r="Q376">
        <v>30</v>
      </c>
      <c r="R376">
        <v>0</v>
      </c>
      <c r="S376">
        <f t="shared" si="53"/>
        <v>30</v>
      </c>
      <c r="T376" s="1" t="s">
        <v>2935</v>
      </c>
      <c r="U376" s="1" t="s">
        <v>2932</v>
      </c>
      <c r="V376" s="3">
        <f t="shared" si="54"/>
        <v>40000</v>
      </c>
      <c r="W376" s="3">
        <f t="shared" si="55"/>
        <v>16000</v>
      </c>
      <c r="X376" s="3">
        <f t="shared" si="47"/>
        <v>1250</v>
      </c>
      <c r="Y376" s="3">
        <f t="shared" si="48"/>
        <v>1600</v>
      </c>
      <c r="Z376" s="3">
        <f t="shared" si="49"/>
        <v>1800</v>
      </c>
      <c r="AA376" s="3">
        <v>0</v>
      </c>
      <c r="AB376" s="3">
        <f>ROUND(U376 - (V376+W376+X376+Y376) - (U376/Q376 * 2),0)</f>
        <v>34483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f>SUM(V376+W376+X376+Y376+AB376)</f>
        <v>93333</v>
      </c>
      <c r="AK376" s="3">
        <f>SUM(AJ376-AA376)</f>
        <v>93333</v>
      </c>
      <c r="AL376" s="3">
        <f>IF(V376&lt;=15000,V376*12%,1800)</f>
        <v>1800</v>
      </c>
      <c r="AM376" s="3">
        <v>0</v>
      </c>
      <c r="AN376" s="3">
        <f t="shared" si="50"/>
        <v>1800</v>
      </c>
      <c r="AO376" s="12">
        <v>200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3">
        <f t="shared" si="52"/>
        <v>200</v>
      </c>
      <c r="AV376" s="3">
        <f>SUM(AJ376 - AN376 - AU376)</f>
        <v>91333</v>
      </c>
      <c r="AW376" s="11">
        <v>0</v>
      </c>
      <c r="AX376" s="11">
        <v>0</v>
      </c>
      <c r="AY376" s="11">
        <v>0</v>
      </c>
      <c r="AZ376" s="11">
        <v>0</v>
      </c>
      <c r="BA376" s="3">
        <f t="shared" si="51"/>
        <v>91333</v>
      </c>
    </row>
    <row r="377" spans="1:53" x14ac:dyDescent="0.25">
      <c r="A377" s="1" t="s">
        <v>375</v>
      </c>
      <c r="B377" s="9" t="s">
        <v>1781</v>
      </c>
      <c r="C377" s="9" t="s">
        <v>1029</v>
      </c>
      <c r="D377" s="9" t="s">
        <v>1782</v>
      </c>
      <c r="E377" s="9" t="s">
        <v>1012</v>
      </c>
      <c r="F377" s="10">
        <v>45462</v>
      </c>
      <c r="G377" s="9" t="s">
        <v>1013</v>
      </c>
      <c r="I377" s="9" t="s">
        <v>1020</v>
      </c>
      <c r="J377" s="9" t="s">
        <v>1031</v>
      </c>
      <c r="K377" s="8" t="s">
        <v>1006</v>
      </c>
      <c r="L377" s="8" t="s">
        <v>1007</v>
      </c>
      <c r="M377" s="8" t="s">
        <v>2933</v>
      </c>
      <c r="N377" s="8" t="s">
        <v>2937</v>
      </c>
      <c r="O377" s="1" t="s">
        <v>2934</v>
      </c>
      <c r="P377">
        <v>30</v>
      </c>
      <c r="Q377">
        <v>30</v>
      </c>
      <c r="R377">
        <v>0</v>
      </c>
      <c r="S377">
        <f t="shared" si="53"/>
        <v>30</v>
      </c>
      <c r="T377" s="1" t="s">
        <v>2935</v>
      </c>
      <c r="U377" s="1" t="s">
        <v>2932</v>
      </c>
      <c r="V377" s="3">
        <f t="shared" si="54"/>
        <v>40000</v>
      </c>
      <c r="W377" s="3">
        <f t="shared" si="55"/>
        <v>16000</v>
      </c>
      <c r="X377" s="3">
        <f t="shared" si="47"/>
        <v>1250</v>
      </c>
      <c r="Y377" s="3">
        <f t="shared" si="48"/>
        <v>1600</v>
      </c>
      <c r="Z377" s="3">
        <f t="shared" si="49"/>
        <v>1800</v>
      </c>
      <c r="AA377" s="3">
        <v>0</v>
      </c>
      <c r="AB377" s="3">
        <f>ROUND(U377 - (V377+W377+X377+Y377) - (U377/Q377 * 2),0)</f>
        <v>34483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f>SUM(V377+W377+X377+Y377+AB377)</f>
        <v>93333</v>
      </c>
      <c r="AK377" s="3">
        <f>SUM(AJ377-AA377)</f>
        <v>93333</v>
      </c>
      <c r="AL377" s="3">
        <f>IF(V377&lt;=15000,V377*12%,1800)</f>
        <v>1800</v>
      </c>
      <c r="AM377" s="3">
        <v>0</v>
      </c>
      <c r="AN377" s="3">
        <f t="shared" si="50"/>
        <v>1800</v>
      </c>
      <c r="AO377" s="12">
        <v>200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3">
        <f t="shared" si="52"/>
        <v>200</v>
      </c>
      <c r="AV377" s="3">
        <f>SUM(AJ377 - AN377 - AU377)</f>
        <v>91333</v>
      </c>
      <c r="AW377" s="11">
        <v>0</v>
      </c>
      <c r="AX377" s="11">
        <v>0</v>
      </c>
      <c r="AY377" s="11">
        <v>0</v>
      </c>
      <c r="AZ377" s="11">
        <v>0</v>
      </c>
      <c r="BA377" s="3">
        <f t="shared" si="51"/>
        <v>91333</v>
      </c>
    </row>
    <row r="378" spans="1:53" x14ac:dyDescent="0.25">
      <c r="A378" s="1" t="s">
        <v>376</v>
      </c>
      <c r="B378" s="9" t="s">
        <v>1779</v>
      </c>
      <c r="C378" s="9" t="s">
        <v>1063</v>
      </c>
      <c r="D378" s="9" t="s">
        <v>1780</v>
      </c>
      <c r="E378" s="9" t="s">
        <v>1008</v>
      </c>
      <c r="F378" s="10">
        <v>45467</v>
      </c>
      <c r="G378" s="9" t="s">
        <v>1013</v>
      </c>
      <c r="I378" s="9" t="s">
        <v>1014</v>
      </c>
      <c r="J378" s="9" t="s">
        <v>1015</v>
      </c>
      <c r="K378" s="8" t="s">
        <v>1006</v>
      </c>
      <c r="L378" s="8" t="s">
        <v>1007</v>
      </c>
      <c r="M378" s="8" t="s">
        <v>2933</v>
      </c>
      <c r="N378" s="8" t="s">
        <v>2937</v>
      </c>
      <c r="O378" s="1" t="s">
        <v>2934</v>
      </c>
      <c r="P378">
        <v>30</v>
      </c>
      <c r="Q378">
        <v>30</v>
      </c>
      <c r="R378">
        <v>0</v>
      </c>
      <c r="S378">
        <f t="shared" si="53"/>
        <v>30</v>
      </c>
      <c r="T378" s="1" t="s">
        <v>2935</v>
      </c>
      <c r="U378" s="1" t="s">
        <v>2932</v>
      </c>
      <c r="V378" s="3">
        <f t="shared" si="54"/>
        <v>40000</v>
      </c>
      <c r="W378" s="3">
        <f t="shared" si="55"/>
        <v>16000</v>
      </c>
      <c r="X378" s="3">
        <f t="shared" si="47"/>
        <v>1250</v>
      </c>
      <c r="Y378" s="3">
        <f t="shared" si="48"/>
        <v>1600</v>
      </c>
      <c r="Z378" s="3">
        <f t="shared" si="49"/>
        <v>1800</v>
      </c>
      <c r="AA378" s="3">
        <v>0</v>
      </c>
      <c r="AB378" s="3">
        <f>ROUND(U378 - (V378+W378+X378+Y378) - (U378/Q378 * 2),0)</f>
        <v>34483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f>SUM(V378+W378+X378+Y378+AB378)</f>
        <v>93333</v>
      </c>
      <c r="AK378" s="3">
        <f>SUM(AJ378-AA378)</f>
        <v>93333</v>
      </c>
      <c r="AL378" s="3">
        <f>IF(V378&lt;=15000,V378*12%,1800)</f>
        <v>1800</v>
      </c>
      <c r="AM378" s="3">
        <v>0</v>
      </c>
      <c r="AN378" s="3">
        <f t="shared" si="50"/>
        <v>1800</v>
      </c>
      <c r="AO378" s="12">
        <v>200</v>
      </c>
      <c r="AP378" s="12">
        <v>0</v>
      </c>
      <c r="AQ378" s="12">
        <v>0</v>
      </c>
      <c r="AR378" s="12">
        <v>0</v>
      </c>
      <c r="AS378" s="12">
        <v>0</v>
      </c>
      <c r="AT378" s="12">
        <v>0</v>
      </c>
      <c r="AU378" s="3">
        <f t="shared" si="52"/>
        <v>200</v>
      </c>
      <c r="AV378" s="3">
        <f>SUM(AJ378 - AN378 - AU378)</f>
        <v>91333</v>
      </c>
      <c r="AW378" s="11">
        <v>0</v>
      </c>
      <c r="AX378" s="11">
        <v>0</v>
      </c>
      <c r="AY378" s="11">
        <v>0</v>
      </c>
      <c r="AZ378" s="11">
        <v>0</v>
      </c>
      <c r="BA378" s="3">
        <f t="shared" si="51"/>
        <v>91333</v>
      </c>
    </row>
    <row r="379" spans="1:53" x14ac:dyDescent="0.25">
      <c r="A379" s="1" t="s">
        <v>377</v>
      </c>
      <c r="B379" s="9" t="s">
        <v>1777</v>
      </c>
      <c r="C379" s="9" t="s">
        <v>1010</v>
      </c>
      <c r="D379" s="9" t="s">
        <v>1778</v>
      </c>
      <c r="E379" s="9" t="s">
        <v>1012</v>
      </c>
      <c r="F379" s="10">
        <v>45469</v>
      </c>
      <c r="G379" s="9" t="s">
        <v>1019</v>
      </c>
      <c r="I379" s="9" t="s">
        <v>1014</v>
      </c>
      <c r="J379" s="9" t="s">
        <v>1015</v>
      </c>
      <c r="K379" s="8" t="s">
        <v>1006</v>
      </c>
      <c r="L379" s="8" t="s">
        <v>1007</v>
      </c>
      <c r="M379" s="8" t="s">
        <v>2933</v>
      </c>
      <c r="N379" s="8" t="s">
        <v>2937</v>
      </c>
      <c r="O379" s="1" t="s">
        <v>2934</v>
      </c>
      <c r="P379">
        <v>30</v>
      </c>
      <c r="Q379">
        <v>30</v>
      </c>
      <c r="R379">
        <v>0</v>
      </c>
      <c r="S379">
        <f t="shared" si="53"/>
        <v>30</v>
      </c>
      <c r="T379" s="1" t="s">
        <v>2935</v>
      </c>
      <c r="U379" s="1" t="s">
        <v>2932</v>
      </c>
      <c r="V379" s="3">
        <f t="shared" si="54"/>
        <v>40000</v>
      </c>
      <c r="W379" s="3">
        <f t="shared" si="55"/>
        <v>16000</v>
      </c>
      <c r="X379" s="3">
        <f t="shared" si="47"/>
        <v>1250</v>
      </c>
      <c r="Y379" s="3">
        <f t="shared" si="48"/>
        <v>1600</v>
      </c>
      <c r="Z379" s="3">
        <f t="shared" si="49"/>
        <v>1800</v>
      </c>
      <c r="AA379" s="3">
        <v>0</v>
      </c>
      <c r="AB379" s="3">
        <f>ROUND(U379 - (V379+W379+X379+Y379) - (U379/Q379 * 2),0)</f>
        <v>34483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f>SUM(V379+W379+X379+Y379+AB379)</f>
        <v>93333</v>
      </c>
      <c r="AK379" s="3">
        <f>SUM(AJ379-AA379)</f>
        <v>93333</v>
      </c>
      <c r="AL379" s="3">
        <f>IF(V379&lt;=15000,V379*12%,1800)</f>
        <v>1800</v>
      </c>
      <c r="AM379" s="3">
        <v>0</v>
      </c>
      <c r="AN379" s="3">
        <f t="shared" si="50"/>
        <v>1800</v>
      </c>
      <c r="AO379" s="12">
        <v>200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3">
        <f t="shared" si="52"/>
        <v>200</v>
      </c>
      <c r="AV379" s="3">
        <f>SUM(AJ379 - AN379 - AU379)</f>
        <v>91333</v>
      </c>
      <c r="AW379" s="11">
        <v>0</v>
      </c>
      <c r="AX379" s="11">
        <v>0</v>
      </c>
      <c r="AY379" s="11">
        <v>0</v>
      </c>
      <c r="AZ379" s="11">
        <v>0</v>
      </c>
      <c r="BA379" s="3">
        <f t="shared" si="51"/>
        <v>91333</v>
      </c>
    </row>
    <row r="380" spans="1:53" x14ac:dyDescent="0.25">
      <c r="A380" s="1" t="s">
        <v>378</v>
      </c>
      <c r="B380" s="9" t="s">
        <v>1638</v>
      </c>
      <c r="C380" s="9" t="s">
        <v>1063</v>
      </c>
      <c r="D380" s="9" t="s">
        <v>1776</v>
      </c>
      <c r="E380" s="9" t="s">
        <v>1008</v>
      </c>
      <c r="F380" s="10">
        <v>45469</v>
      </c>
      <c r="G380" s="9" t="s">
        <v>1019</v>
      </c>
      <c r="I380" s="9" t="s">
        <v>1014</v>
      </c>
      <c r="J380" s="9" t="s">
        <v>1015</v>
      </c>
      <c r="K380" s="8" t="s">
        <v>1006</v>
      </c>
      <c r="L380" s="8" t="s">
        <v>1007</v>
      </c>
      <c r="M380" s="8" t="s">
        <v>2933</v>
      </c>
      <c r="N380" s="8" t="s">
        <v>2937</v>
      </c>
      <c r="O380" s="1" t="s">
        <v>2934</v>
      </c>
      <c r="P380">
        <v>30</v>
      </c>
      <c r="Q380">
        <v>30</v>
      </c>
      <c r="R380">
        <v>0</v>
      </c>
      <c r="S380">
        <f t="shared" si="53"/>
        <v>30</v>
      </c>
      <c r="T380" s="1" t="s">
        <v>2935</v>
      </c>
      <c r="U380" s="1" t="s">
        <v>2932</v>
      </c>
      <c r="V380" s="3">
        <f t="shared" si="54"/>
        <v>40000</v>
      </c>
      <c r="W380" s="3">
        <f t="shared" si="55"/>
        <v>16000</v>
      </c>
      <c r="X380" s="3">
        <f t="shared" si="47"/>
        <v>1250</v>
      </c>
      <c r="Y380" s="3">
        <f t="shared" si="48"/>
        <v>1600</v>
      </c>
      <c r="Z380" s="3">
        <f t="shared" si="49"/>
        <v>1800</v>
      </c>
      <c r="AA380" s="3">
        <v>0</v>
      </c>
      <c r="AB380" s="3">
        <f>ROUND(U380 - (V380+W380+X380+Y380) - (U380/Q380 * 2),0)</f>
        <v>34483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f>SUM(V380+W380+X380+Y380+AB380)</f>
        <v>93333</v>
      </c>
      <c r="AK380" s="3">
        <f>SUM(AJ380-AA380)</f>
        <v>93333</v>
      </c>
      <c r="AL380" s="3">
        <f>IF(V380&lt;=15000,V380*12%,1800)</f>
        <v>1800</v>
      </c>
      <c r="AM380" s="3">
        <v>0</v>
      </c>
      <c r="AN380" s="3">
        <f t="shared" si="50"/>
        <v>1800</v>
      </c>
      <c r="AO380" s="12">
        <v>200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3">
        <f t="shared" si="52"/>
        <v>200</v>
      </c>
      <c r="AV380" s="3">
        <f>SUM(AJ380 - AN380 - AU380)</f>
        <v>91333</v>
      </c>
      <c r="AW380" s="11">
        <v>0</v>
      </c>
      <c r="AX380" s="11">
        <v>0</v>
      </c>
      <c r="AY380" s="11">
        <v>0</v>
      </c>
      <c r="AZ380" s="11">
        <v>0</v>
      </c>
      <c r="BA380" s="3">
        <f t="shared" si="51"/>
        <v>91333</v>
      </c>
    </row>
    <row r="381" spans="1:53" x14ac:dyDescent="0.25">
      <c r="A381" s="1" t="s">
        <v>379</v>
      </c>
      <c r="B381" s="9" t="s">
        <v>1774</v>
      </c>
      <c r="C381" s="9" t="s">
        <v>1010</v>
      </c>
      <c r="D381" s="9" t="s">
        <v>1775</v>
      </c>
      <c r="E381" s="9" t="s">
        <v>1008</v>
      </c>
      <c r="F381" s="10">
        <v>45474</v>
      </c>
      <c r="G381" s="9" t="s">
        <v>1019</v>
      </c>
      <c r="I381" s="9" t="s">
        <v>1020</v>
      </c>
      <c r="J381" s="9" t="s">
        <v>1015</v>
      </c>
      <c r="K381" s="8" t="s">
        <v>1006</v>
      </c>
      <c r="L381" s="8" t="s">
        <v>1007</v>
      </c>
      <c r="M381" s="8" t="s">
        <v>2933</v>
      </c>
      <c r="N381" s="8" t="s">
        <v>2937</v>
      </c>
      <c r="O381" s="1" t="s">
        <v>2934</v>
      </c>
      <c r="P381">
        <v>30</v>
      </c>
      <c r="Q381">
        <v>30</v>
      </c>
      <c r="R381">
        <v>0</v>
      </c>
      <c r="S381">
        <f t="shared" si="53"/>
        <v>30</v>
      </c>
      <c r="T381" s="1" t="s">
        <v>2935</v>
      </c>
      <c r="U381" s="1" t="s">
        <v>2932</v>
      </c>
      <c r="V381" s="3">
        <f t="shared" si="54"/>
        <v>40000</v>
      </c>
      <c r="W381" s="3">
        <f t="shared" si="55"/>
        <v>16000</v>
      </c>
      <c r="X381" s="3">
        <f t="shared" si="47"/>
        <v>1250</v>
      </c>
      <c r="Y381" s="3">
        <f t="shared" si="48"/>
        <v>1600</v>
      </c>
      <c r="Z381" s="3">
        <f t="shared" si="49"/>
        <v>1800</v>
      </c>
      <c r="AA381" s="3">
        <v>0</v>
      </c>
      <c r="AB381" s="3">
        <f>ROUND(U381 - (V381+W381+X381+Y381) - (U381/Q381 * 2),0)</f>
        <v>34483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f>SUM(V381+W381+X381+Y381+AB381)</f>
        <v>93333</v>
      </c>
      <c r="AK381" s="3">
        <f>SUM(AJ381-AA381)</f>
        <v>93333</v>
      </c>
      <c r="AL381" s="3">
        <f>IF(V381&lt;=15000,V381*12%,1800)</f>
        <v>1800</v>
      </c>
      <c r="AM381" s="3">
        <v>0</v>
      </c>
      <c r="AN381" s="3">
        <f t="shared" si="50"/>
        <v>1800</v>
      </c>
      <c r="AO381" s="12">
        <v>200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3">
        <f t="shared" si="52"/>
        <v>200</v>
      </c>
      <c r="AV381" s="3">
        <f>SUM(AJ381 - AN381 - AU381)</f>
        <v>91333</v>
      </c>
      <c r="AW381" s="11">
        <v>0</v>
      </c>
      <c r="AX381" s="11">
        <v>0</v>
      </c>
      <c r="AY381" s="11">
        <v>0</v>
      </c>
      <c r="AZ381" s="11">
        <v>0</v>
      </c>
      <c r="BA381" s="3">
        <f t="shared" si="51"/>
        <v>91333</v>
      </c>
    </row>
    <row r="382" spans="1:53" x14ac:dyDescent="0.25">
      <c r="A382" s="1" t="s">
        <v>380</v>
      </c>
      <c r="B382" s="9" t="s">
        <v>1772</v>
      </c>
      <c r="C382" s="9" t="s">
        <v>1063</v>
      </c>
      <c r="D382" s="9" t="s">
        <v>1773</v>
      </c>
      <c r="E382" s="9" t="s">
        <v>1008</v>
      </c>
      <c r="F382" s="10">
        <v>45474</v>
      </c>
      <c r="G382" s="9" t="s">
        <v>1019</v>
      </c>
      <c r="I382" s="9" t="s">
        <v>1014</v>
      </c>
      <c r="J382" s="9" t="s">
        <v>1015</v>
      </c>
      <c r="K382" s="8" t="s">
        <v>1006</v>
      </c>
      <c r="L382" s="8" t="s">
        <v>1007</v>
      </c>
      <c r="M382" s="8" t="s">
        <v>2933</v>
      </c>
      <c r="N382" s="8" t="s">
        <v>2937</v>
      </c>
      <c r="O382" s="1" t="s">
        <v>2934</v>
      </c>
      <c r="P382">
        <v>30</v>
      </c>
      <c r="Q382">
        <v>30</v>
      </c>
      <c r="R382">
        <v>0</v>
      </c>
      <c r="S382">
        <f t="shared" si="53"/>
        <v>30</v>
      </c>
      <c r="T382" s="1" t="s">
        <v>2935</v>
      </c>
      <c r="U382" s="1" t="s">
        <v>2932</v>
      </c>
      <c r="V382" s="3">
        <f t="shared" si="54"/>
        <v>40000</v>
      </c>
      <c r="W382" s="3">
        <f t="shared" si="55"/>
        <v>16000</v>
      </c>
      <c r="X382" s="3">
        <f t="shared" si="47"/>
        <v>1250</v>
      </c>
      <c r="Y382" s="3">
        <f t="shared" si="48"/>
        <v>1600</v>
      </c>
      <c r="Z382" s="3">
        <f t="shared" si="49"/>
        <v>1800</v>
      </c>
      <c r="AA382" s="3">
        <v>0</v>
      </c>
      <c r="AB382" s="3">
        <f>ROUND(U382 - (V382+W382+X382+Y382) - (U382/Q382 * 2),0)</f>
        <v>34483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f>SUM(V382+W382+X382+Y382+AB382)</f>
        <v>93333</v>
      </c>
      <c r="AK382" s="3">
        <f>SUM(AJ382-AA382)</f>
        <v>93333</v>
      </c>
      <c r="AL382" s="3">
        <f>IF(V382&lt;=15000,V382*12%,1800)</f>
        <v>1800</v>
      </c>
      <c r="AM382" s="3">
        <v>0</v>
      </c>
      <c r="AN382" s="3">
        <f t="shared" si="50"/>
        <v>1800</v>
      </c>
      <c r="AO382" s="12">
        <v>200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3">
        <f t="shared" si="52"/>
        <v>200</v>
      </c>
      <c r="AV382" s="3">
        <f>SUM(AJ382 - AN382 - AU382)</f>
        <v>91333</v>
      </c>
      <c r="AW382" s="11">
        <v>0</v>
      </c>
      <c r="AX382" s="11">
        <v>0</v>
      </c>
      <c r="AY382" s="11">
        <v>0</v>
      </c>
      <c r="AZ382" s="11">
        <v>0</v>
      </c>
      <c r="BA382" s="3">
        <f t="shared" si="51"/>
        <v>91333</v>
      </c>
    </row>
    <row r="383" spans="1:53" x14ac:dyDescent="0.25">
      <c r="A383" s="1" t="s">
        <v>381</v>
      </c>
      <c r="B383" s="9" t="s">
        <v>1831</v>
      </c>
      <c r="C383" s="9" t="s">
        <v>1832</v>
      </c>
      <c r="D383" s="9" t="s">
        <v>1833</v>
      </c>
      <c r="E383" s="9" t="s">
        <v>1008</v>
      </c>
      <c r="F383" s="10">
        <v>41309</v>
      </c>
      <c r="G383" s="9" t="s">
        <v>1013</v>
      </c>
      <c r="I383" s="9" t="s">
        <v>1042</v>
      </c>
      <c r="J383" s="9" t="s">
        <v>1056</v>
      </c>
      <c r="K383" s="8" t="s">
        <v>1006</v>
      </c>
      <c r="L383" s="8" t="s">
        <v>1007</v>
      </c>
      <c r="M383" s="8" t="s">
        <v>2933</v>
      </c>
      <c r="N383" s="8" t="s">
        <v>2937</v>
      </c>
      <c r="O383" s="1" t="s">
        <v>2934</v>
      </c>
      <c r="P383">
        <v>30</v>
      </c>
      <c r="Q383">
        <v>30</v>
      </c>
      <c r="R383">
        <v>0</v>
      </c>
      <c r="S383">
        <f t="shared" si="53"/>
        <v>30</v>
      </c>
      <c r="T383" s="1" t="s">
        <v>2935</v>
      </c>
      <c r="U383" s="1" t="s">
        <v>2932</v>
      </c>
      <c r="V383" s="3">
        <f t="shared" si="54"/>
        <v>40000</v>
      </c>
      <c r="W383" s="3">
        <f t="shared" si="55"/>
        <v>16000</v>
      </c>
      <c r="X383" s="3">
        <f t="shared" si="47"/>
        <v>1250</v>
      </c>
      <c r="Y383" s="3">
        <f t="shared" si="48"/>
        <v>1600</v>
      </c>
      <c r="Z383" s="3">
        <f t="shared" si="49"/>
        <v>1800</v>
      </c>
      <c r="AA383" s="3">
        <v>0</v>
      </c>
      <c r="AB383" s="3">
        <f>ROUND(U383 - (V383+W383+X383+Y383) - (U383/Q383 * 2),0)</f>
        <v>34483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f>SUM(V383+W383+X383+Y383+AB383)</f>
        <v>93333</v>
      </c>
      <c r="AK383" s="3">
        <f>SUM(AJ383-AA383)</f>
        <v>93333</v>
      </c>
      <c r="AL383" s="3">
        <f>IF(V383&lt;=15000,V383*12%,1800)</f>
        <v>1800</v>
      </c>
      <c r="AM383" s="3">
        <v>0</v>
      </c>
      <c r="AN383" s="3">
        <f t="shared" si="50"/>
        <v>1800</v>
      </c>
      <c r="AO383" s="12">
        <v>200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3">
        <f t="shared" si="52"/>
        <v>200</v>
      </c>
      <c r="AV383" s="3">
        <f>SUM(AJ383 - AN383 - AU383)</f>
        <v>91333</v>
      </c>
      <c r="AW383" s="11">
        <v>0</v>
      </c>
      <c r="AX383" s="11">
        <v>0</v>
      </c>
      <c r="AY383" s="11">
        <v>0</v>
      </c>
      <c r="AZ383" s="11">
        <v>0</v>
      </c>
      <c r="BA383" s="3">
        <f t="shared" si="51"/>
        <v>91333</v>
      </c>
    </row>
    <row r="384" spans="1:53" x14ac:dyDescent="0.25">
      <c r="A384" s="1" t="s">
        <v>382</v>
      </c>
      <c r="B384" s="9" t="s">
        <v>1829</v>
      </c>
      <c r="C384" s="9" t="s">
        <v>1063</v>
      </c>
      <c r="D384" s="9" t="s">
        <v>1830</v>
      </c>
      <c r="E384" s="9" t="s">
        <v>1012</v>
      </c>
      <c r="F384" s="10">
        <v>45474</v>
      </c>
      <c r="G384" s="9" t="s">
        <v>1019</v>
      </c>
      <c r="I384" s="9" t="s">
        <v>1014</v>
      </c>
      <c r="J384" s="9" t="s">
        <v>1015</v>
      </c>
      <c r="K384" s="8" t="s">
        <v>1006</v>
      </c>
      <c r="L384" s="8" t="s">
        <v>1007</v>
      </c>
      <c r="M384" s="8" t="s">
        <v>2933</v>
      </c>
      <c r="N384" s="8" t="s">
        <v>2937</v>
      </c>
      <c r="O384" s="1" t="s">
        <v>2934</v>
      </c>
      <c r="P384">
        <v>30</v>
      </c>
      <c r="Q384">
        <v>30</v>
      </c>
      <c r="R384">
        <v>0</v>
      </c>
      <c r="S384">
        <f t="shared" si="53"/>
        <v>30</v>
      </c>
      <c r="T384" s="1" t="s">
        <v>2935</v>
      </c>
      <c r="U384" s="1" t="s">
        <v>2932</v>
      </c>
      <c r="V384" s="3">
        <f t="shared" si="54"/>
        <v>40000</v>
      </c>
      <c r="W384" s="3">
        <f t="shared" si="55"/>
        <v>16000</v>
      </c>
      <c r="X384" s="3">
        <f t="shared" si="47"/>
        <v>1250</v>
      </c>
      <c r="Y384" s="3">
        <f t="shared" si="48"/>
        <v>1600</v>
      </c>
      <c r="Z384" s="3">
        <f t="shared" si="49"/>
        <v>1800</v>
      </c>
      <c r="AA384" s="3">
        <v>0</v>
      </c>
      <c r="AB384" s="3">
        <f>ROUND(U384 - (V384+W384+X384+Y384) - (U384/Q384 * 2),0)</f>
        <v>34483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f>SUM(V384+W384+X384+Y384+AB384)</f>
        <v>93333</v>
      </c>
      <c r="AK384" s="3">
        <f>SUM(AJ384-AA384)</f>
        <v>93333</v>
      </c>
      <c r="AL384" s="3">
        <f>IF(V384&lt;=15000,V384*12%,1800)</f>
        <v>1800</v>
      </c>
      <c r="AM384" s="3">
        <v>0</v>
      </c>
      <c r="AN384" s="3">
        <f t="shared" si="50"/>
        <v>1800</v>
      </c>
      <c r="AO384" s="12">
        <v>200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3">
        <f t="shared" si="52"/>
        <v>200</v>
      </c>
      <c r="AV384" s="3">
        <f>SUM(AJ384 - AN384 - AU384)</f>
        <v>91333</v>
      </c>
      <c r="AW384" s="11">
        <v>0</v>
      </c>
      <c r="AX384" s="11">
        <v>0</v>
      </c>
      <c r="AY384" s="11">
        <v>0</v>
      </c>
      <c r="AZ384" s="11">
        <v>0</v>
      </c>
      <c r="BA384" s="3">
        <f t="shared" si="51"/>
        <v>91333</v>
      </c>
    </row>
    <row r="385" spans="1:53" x14ac:dyDescent="0.25">
      <c r="A385" s="1" t="s">
        <v>383</v>
      </c>
      <c r="B385" s="9" t="s">
        <v>1827</v>
      </c>
      <c r="C385" s="9" t="s">
        <v>1063</v>
      </c>
      <c r="D385" s="9" t="s">
        <v>1828</v>
      </c>
      <c r="E385" s="9" t="s">
        <v>1008</v>
      </c>
      <c r="F385" s="10">
        <v>45474</v>
      </c>
      <c r="G385" s="9" t="s">
        <v>1019</v>
      </c>
      <c r="I385" s="9" t="s">
        <v>1020</v>
      </c>
      <c r="J385" s="9" t="s">
        <v>1015</v>
      </c>
      <c r="K385" s="8" t="s">
        <v>1006</v>
      </c>
      <c r="L385" s="8" t="s">
        <v>1007</v>
      </c>
      <c r="M385" s="8" t="s">
        <v>2933</v>
      </c>
      <c r="N385" s="8" t="s">
        <v>2937</v>
      </c>
      <c r="O385" s="1" t="s">
        <v>2934</v>
      </c>
      <c r="P385">
        <v>30</v>
      </c>
      <c r="Q385">
        <v>30</v>
      </c>
      <c r="R385">
        <v>0</v>
      </c>
      <c r="S385">
        <f t="shared" si="53"/>
        <v>30</v>
      </c>
      <c r="T385" s="1" t="s">
        <v>2935</v>
      </c>
      <c r="U385" s="1" t="s">
        <v>2932</v>
      </c>
      <c r="V385" s="3">
        <f t="shared" si="54"/>
        <v>40000</v>
      </c>
      <c r="W385" s="3">
        <f t="shared" si="55"/>
        <v>16000</v>
      </c>
      <c r="X385" s="3">
        <f t="shared" si="47"/>
        <v>1250</v>
      </c>
      <c r="Y385" s="3">
        <f t="shared" si="48"/>
        <v>1600</v>
      </c>
      <c r="Z385" s="3">
        <f t="shared" si="49"/>
        <v>1800</v>
      </c>
      <c r="AA385" s="3">
        <v>0</v>
      </c>
      <c r="AB385" s="3">
        <f>ROUND(U385 - (V385+W385+X385+Y385) - (U385/Q385 * 2),0)</f>
        <v>34483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f>SUM(V385+W385+X385+Y385+AB385)</f>
        <v>93333</v>
      </c>
      <c r="AK385" s="3">
        <f>SUM(AJ385-AA385)</f>
        <v>93333</v>
      </c>
      <c r="AL385" s="3">
        <f>IF(V385&lt;=15000,V385*12%,1800)</f>
        <v>1800</v>
      </c>
      <c r="AM385" s="3">
        <v>0</v>
      </c>
      <c r="AN385" s="3">
        <f t="shared" si="50"/>
        <v>1800</v>
      </c>
      <c r="AO385" s="12">
        <v>200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3">
        <f t="shared" si="52"/>
        <v>200</v>
      </c>
      <c r="AV385" s="3">
        <f>SUM(AJ385 - AN385 - AU385)</f>
        <v>91333</v>
      </c>
      <c r="AW385" s="11">
        <v>0</v>
      </c>
      <c r="AX385" s="11">
        <v>0</v>
      </c>
      <c r="AY385" s="11">
        <v>0</v>
      </c>
      <c r="AZ385" s="11">
        <v>0</v>
      </c>
      <c r="BA385" s="3">
        <f t="shared" si="51"/>
        <v>91333</v>
      </c>
    </row>
    <row r="386" spans="1:53" x14ac:dyDescent="0.25">
      <c r="A386" s="1" t="s">
        <v>384</v>
      </c>
      <c r="B386" s="9" t="s">
        <v>1825</v>
      </c>
      <c r="C386" s="9" t="s">
        <v>1063</v>
      </c>
      <c r="D386" s="9" t="s">
        <v>1826</v>
      </c>
      <c r="E386" s="9" t="s">
        <v>1008</v>
      </c>
      <c r="F386" s="10">
        <v>45481</v>
      </c>
      <c r="G386" s="9" t="s">
        <v>1019</v>
      </c>
      <c r="I386" s="9" t="s">
        <v>1014</v>
      </c>
      <c r="J386" s="9" t="s">
        <v>1015</v>
      </c>
      <c r="K386" s="8" t="s">
        <v>1006</v>
      </c>
      <c r="L386" s="8" t="s">
        <v>1007</v>
      </c>
      <c r="M386" s="8" t="s">
        <v>2933</v>
      </c>
      <c r="N386" s="8" t="s">
        <v>2937</v>
      </c>
      <c r="O386" s="1" t="s">
        <v>2934</v>
      </c>
      <c r="P386">
        <v>30</v>
      </c>
      <c r="Q386">
        <v>30</v>
      </c>
      <c r="R386">
        <v>0</v>
      </c>
      <c r="S386">
        <f t="shared" si="53"/>
        <v>30</v>
      </c>
      <c r="T386" s="1" t="s">
        <v>2935</v>
      </c>
      <c r="U386" s="1" t="s">
        <v>2932</v>
      </c>
      <c r="V386" s="3">
        <f t="shared" si="54"/>
        <v>40000</v>
      </c>
      <c r="W386" s="3">
        <f t="shared" si="55"/>
        <v>16000</v>
      </c>
      <c r="X386" s="3">
        <f t="shared" si="47"/>
        <v>1250</v>
      </c>
      <c r="Y386" s="3">
        <f t="shared" si="48"/>
        <v>1600</v>
      </c>
      <c r="Z386" s="3">
        <f t="shared" si="49"/>
        <v>1800</v>
      </c>
      <c r="AA386" s="3">
        <v>0</v>
      </c>
      <c r="AB386" s="3">
        <f>ROUND(U386 - (V386+W386+X386+Y386) - (U386/Q386 * 2),0)</f>
        <v>34483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f>SUM(V386+W386+X386+Y386+AB386)</f>
        <v>93333</v>
      </c>
      <c r="AK386" s="3">
        <f>SUM(AJ386-AA386)</f>
        <v>93333</v>
      </c>
      <c r="AL386" s="3">
        <f>IF(V386&lt;=15000,V386*12%,1800)</f>
        <v>1800</v>
      </c>
      <c r="AM386" s="3">
        <v>0</v>
      </c>
      <c r="AN386" s="3">
        <f t="shared" si="50"/>
        <v>1800</v>
      </c>
      <c r="AO386" s="12">
        <v>200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3">
        <f t="shared" si="52"/>
        <v>200</v>
      </c>
      <c r="AV386" s="3">
        <f>SUM(AJ386 - AN386 - AU386)</f>
        <v>91333</v>
      </c>
      <c r="AW386" s="11">
        <v>0</v>
      </c>
      <c r="AX386" s="11">
        <v>0</v>
      </c>
      <c r="AY386" s="11">
        <v>0</v>
      </c>
      <c r="AZ386" s="11">
        <v>0</v>
      </c>
      <c r="BA386" s="3">
        <f t="shared" si="51"/>
        <v>91333</v>
      </c>
    </row>
    <row r="387" spans="1:53" x14ac:dyDescent="0.25">
      <c r="A387" s="1" t="s">
        <v>385</v>
      </c>
      <c r="B387" s="9" t="s">
        <v>1823</v>
      </c>
      <c r="C387" s="9" t="s">
        <v>1063</v>
      </c>
      <c r="D387" s="9" t="s">
        <v>1824</v>
      </c>
      <c r="E387" s="9" t="s">
        <v>1008</v>
      </c>
      <c r="F387" s="10">
        <v>45481</v>
      </c>
      <c r="G387" s="9" t="s">
        <v>1019</v>
      </c>
      <c r="I387" s="9" t="s">
        <v>1014</v>
      </c>
      <c r="J387" s="9" t="s">
        <v>1015</v>
      </c>
      <c r="K387" s="8" t="s">
        <v>1006</v>
      </c>
      <c r="L387" s="8" t="s">
        <v>1007</v>
      </c>
      <c r="M387" s="8" t="s">
        <v>2933</v>
      </c>
      <c r="N387" s="8" t="s">
        <v>2937</v>
      </c>
      <c r="O387" s="1" t="s">
        <v>2934</v>
      </c>
      <c r="P387">
        <v>30</v>
      </c>
      <c r="Q387">
        <v>30</v>
      </c>
      <c r="R387">
        <v>0</v>
      </c>
      <c r="S387">
        <f t="shared" si="53"/>
        <v>30</v>
      </c>
      <c r="T387" s="1" t="s">
        <v>2935</v>
      </c>
      <c r="U387" s="1" t="s">
        <v>2932</v>
      </c>
      <c r="V387" s="3">
        <f t="shared" si="54"/>
        <v>40000</v>
      </c>
      <c r="W387" s="3">
        <f t="shared" si="55"/>
        <v>16000</v>
      </c>
      <c r="X387" s="3">
        <f t="shared" ref="X387:X450" si="56">ROUND(1250 - ((1250/Q387)*R387),0)</f>
        <v>1250</v>
      </c>
      <c r="Y387" s="3">
        <f t="shared" ref="Y387:Y450" si="57">ROUND(1600 - (1600/Q387) *R387,0)</f>
        <v>1600</v>
      </c>
      <c r="Z387" s="3">
        <f t="shared" ref="Z387:Z450" si="58">IF(V387&lt;=15000,V387*12%,1800)</f>
        <v>1800</v>
      </c>
      <c r="AA387" s="3">
        <v>0</v>
      </c>
      <c r="AB387" s="3">
        <f>ROUND(U387 - (V387+W387+X387+Y387) - (U387/Q387 * 2),0)</f>
        <v>34483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f>SUM(V387+W387+X387+Y387+AB387)</f>
        <v>93333</v>
      </c>
      <c r="AK387" s="3">
        <f>SUM(AJ387-AA387)</f>
        <v>93333</v>
      </c>
      <c r="AL387" s="3">
        <f>IF(V387&lt;=15000,V387*12%,1800)</f>
        <v>1800</v>
      </c>
      <c r="AM387" s="3">
        <v>0</v>
      </c>
      <c r="AN387" s="3">
        <f t="shared" ref="AN387:AN450" si="59">SUM(AL387+AM387)</f>
        <v>1800</v>
      </c>
      <c r="AO387" s="12">
        <v>200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3">
        <f t="shared" si="52"/>
        <v>200</v>
      </c>
      <c r="AV387" s="3">
        <f>SUM(AJ387 - AN387 - AU387)</f>
        <v>91333</v>
      </c>
      <c r="AW387" s="11">
        <v>0</v>
      </c>
      <c r="AX387" s="11">
        <v>0</v>
      </c>
      <c r="AY387" s="11">
        <v>0</v>
      </c>
      <c r="AZ387" s="11">
        <v>0</v>
      </c>
      <c r="BA387" s="3">
        <f t="shared" ref="BA387:BA450" si="60">AV387+AW387+AX387+AZ387</f>
        <v>91333</v>
      </c>
    </row>
    <row r="388" spans="1:53" x14ac:dyDescent="0.25">
      <c r="A388" s="1" t="s">
        <v>386</v>
      </c>
      <c r="B388" s="9" t="s">
        <v>1821</v>
      </c>
      <c r="C388" s="9" t="s">
        <v>1063</v>
      </c>
      <c r="D388" s="9" t="s">
        <v>1822</v>
      </c>
      <c r="E388" s="9" t="s">
        <v>1008</v>
      </c>
      <c r="F388" s="10">
        <v>45481</v>
      </c>
      <c r="G388" s="9" t="s">
        <v>1019</v>
      </c>
      <c r="I388" s="9" t="s">
        <v>1014</v>
      </c>
      <c r="J388" s="9" t="s">
        <v>1015</v>
      </c>
      <c r="K388" s="8" t="s">
        <v>1006</v>
      </c>
      <c r="L388" s="8" t="s">
        <v>1007</v>
      </c>
      <c r="M388" s="8" t="s">
        <v>2933</v>
      </c>
      <c r="N388" s="8" t="s">
        <v>2937</v>
      </c>
      <c r="O388" s="1" t="s">
        <v>2934</v>
      </c>
      <c r="P388">
        <v>30</v>
      </c>
      <c r="Q388">
        <v>30</v>
      </c>
      <c r="R388">
        <v>0</v>
      </c>
      <c r="S388">
        <f t="shared" si="53"/>
        <v>30</v>
      </c>
      <c r="T388" s="1" t="s">
        <v>2935</v>
      </c>
      <c r="U388" s="1" t="s">
        <v>2932</v>
      </c>
      <c r="V388" s="3">
        <f t="shared" si="54"/>
        <v>40000</v>
      </c>
      <c r="W388" s="3">
        <f t="shared" si="55"/>
        <v>16000</v>
      </c>
      <c r="X388" s="3">
        <f t="shared" si="56"/>
        <v>1250</v>
      </c>
      <c r="Y388" s="3">
        <f t="shared" si="57"/>
        <v>1600</v>
      </c>
      <c r="Z388" s="3">
        <f t="shared" si="58"/>
        <v>1800</v>
      </c>
      <c r="AA388" s="3">
        <v>0</v>
      </c>
      <c r="AB388" s="3">
        <f>ROUND(U388 - (V388+W388+X388+Y388) - (U388/Q388 * 2),0)</f>
        <v>34483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f>SUM(V388+W388+X388+Y388+AB388)</f>
        <v>93333</v>
      </c>
      <c r="AK388" s="3">
        <f>SUM(AJ388-AA388)</f>
        <v>93333</v>
      </c>
      <c r="AL388" s="3">
        <f>IF(V388&lt;=15000,V388*12%,1800)</f>
        <v>1800</v>
      </c>
      <c r="AM388" s="3">
        <v>0</v>
      </c>
      <c r="AN388" s="3">
        <f t="shared" si="59"/>
        <v>1800</v>
      </c>
      <c r="AO388" s="12">
        <v>200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3">
        <f t="shared" ref="AU388:AU451" si="61">SUM(AO388:AT388)</f>
        <v>200</v>
      </c>
      <c r="AV388" s="3">
        <f>SUM(AJ388 - AN388 - AU388)</f>
        <v>91333</v>
      </c>
      <c r="AW388" s="11">
        <v>0</v>
      </c>
      <c r="AX388" s="11">
        <v>0</v>
      </c>
      <c r="AY388" s="11">
        <v>0</v>
      </c>
      <c r="AZ388" s="11">
        <v>0</v>
      </c>
      <c r="BA388" s="3">
        <f t="shared" si="60"/>
        <v>91333</v>
      </c>
    </row>
    <row r="389" spans="1:53" x14ac:dyDescent="0.25">
      <c r="A389" s="1" t="s">
        <v>387</v>
      </c>
      <c r="B389" s="9" t="s">
        <v>1819</v>
      </c>
      <c r="C389" s="9" t="s">
        <v>1063</v>
      </c>
      <c r="D389" s="9" t="s">
        <v>1820</v>
      </c>
      <c r="E389" s="9" t="s">
        <v>1012</v>
      </c>
      <c r="F389" s="10">
        <v>45483</v>
      </c>
      <c r="G389" s="9" t="s">
        <v>1019</v>
      </c>
      <c r="I389" s="9" t="s">
        <v>1014</v>
      </c>
      <c r="J389" s="9" t="s">
        <v>1015</v>
      </c>
      <c r="K389" s="8" t="s">
        <v>1006</v>
      </c>
      <c r="L389" s="8" t="s">
        <v>1007</v>
      </c>
      <c r="M389" s="8" t="s">
        <v>2933</v>
      </c>
      <c r="N389" s="8" t="s">
        <v>2937</v>
      </c>
      <c r="O389" s="1" t="s">
        <v>2934</v>
      </c>
      <c r="P389">
        <v>30</v>
      </c>
      <c r="Q389">
        <v>30</v>
      </c>
      <c r="R389">
        <v>0</v>
      </c>
      <c r="S389">
        <f t="shared" ref="S389:S452" si="62">SUM(Q389-R389)</f>
        <v>30</v>
      </c>
      <c r="T389" s="1" t="s">
        <v>2935</v>
      </c>
      <c r="U389" s="1" t="s">
        <v>2932</v>
      </c>
      <c r="V389" s="3">
        <f t="shared" ref="V389:V452" si="63">ROUND((U389*40%) / Q389  * S389,0)</f>
        <v>40000</v>
      </c>
      <c r="W389" s="3">
        <f t="shared" ref="W389:W452" si="64">ROUND((U389*16%) / Q389  * S389,0)</f>
        <v>16000</v>
      </c>
      <c r="X389" s="3">
        <f t="shared" si="56"/>
        <v>1250</v>
      </c>
      <c r="Y389" s="3">
        <f t="shared" si="57"/>
        <v>1600</v>
      </c>
      <c r="Z389" s="3">
        <f t="shared" si="58"/>
        <v>1800</v>
      </c>
      <c r="AA389" s="3">
        <v>0</v>
      </c>
      <c r="AB389" s="3">
        <f>ROUND(U389 - (V389+W389+X389+Y389) - (U389/Q389 * 2),0)</f>
        <v>34483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f>SUM(V389+W389+X389+Y389+AB389)</f>
        <v>93333</v>
      </c>
      <c r="AK389" s="3">
        <f>SUM(AJ389-AA389)</f>
        <v>93333</v>
      </c>
      <c r="AL389" s="3">
        <f>IF(V389&lt;=15000,V389*12%,1800)</f>
        <v>1800</v>
      </c>
      <c r="AM389" s="3">
        <v>0</v>
      </c>
      <c r="AN389" s="3">
        <f t="shared" si="59"/>
        <v>1800</v>
      </c>
      <c r="AO389" s="12">
        <v>200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3">
        <f t="shared" si="61"/>
        <v>200</v>
      </c>
      <c r="AV389" s="3">
        <f>SUM(AJ389 - AN389 - AU389)</f>
        <v>91333</v>
      </c>
      <c r="AW389" s="11">
        <v>0</v>
      </c>
      <c r="AX389" s="11">
        <v>0</v>
      </c>
      <c r="AY389" s="11">
        <v>0</v>
      </c>
      <c r="AZ389" s="11">
        <v>0</v>
      </c>
      <c r="BA389" s="3">
        <f t="shared" si="60"/>
        <v>91333</v>
      </c>
    </row>
    <row r="390" spans="1:53" x14ac:dyDescent="0.25">
      <c r="A390" s="1" t="s">
        <v>388</v>
      </c>
      <c r="B390" s="9" t="s">
        <v>1817</v>
      </c>
      <c r="C390" s="9" t="s">
        <v>1063</v>
      </c>
      <c r="D390" s="9" t="s">
        <v>1818</v>
      </c>
      <c r="E390" s="9" t="s">
        <v>1008</v>
      </c>
      <c r="F390" s="10">
        <v>45488</v>
      </c>
      <c r="G390" s="9" t="s">
        <v>1013</v>
      </c>
      <c r="I390" s="9" t="s">
        <v>1014</v>
      </c>
      <c r="J390" s="9" t="s">
        <v>1015</v>
      </c>
      <c r="K390" s="8" t="s">
        <v>1006</v>
      </c>
      <c r="L390" s="8" t="s">
        <v>1007</v>
      </c>
      <c r="M390" s="8" t="s">
        <v>2933</v>
      </c>
      <c r="N390" s="8" t="s">
        <v>2937</v>
      </c>
      <c r="O390" s="1" t="s">
        <v>2934</v>
      </c>
      <c r="P390">
        <v>30</v>
      </c>
      <c r="Q390">
        <v>30</v>
      </c>
      <c r="R390">
        <v>0</v>
      </c>
      <c r="S390">
        <f t="shared" si="62"/>
        <v>30</v>
      </c>
      <c r="T390" s="1" t="s">
        <v>2935</v>
      </c>
      <c r="U390" s="1" t="s">
        <v>2932</v>
      </c>
      <c r="V390" s="3">
        <f t="shared" si="63"/>
        <v>40000</v>
      </c>
      <c r="W390" s="3">
        <f t="shared" si="64"/>
        <v>16000</v>
      </c>
      <c r="X390" s="3">
        <f t="shared" si="56"/>
        <v>1250</v>
      </c>
      <c r="Y390" s="3">
        <f t="shared" si="57"/>
        <v>1600</v>
      </c>
      <c r="Z390" s="3">
        <f t="shared" si="58"/>
        <v>1800</v>
      </c>
      <c r="AA390" s="3">
        <v>0</v>
      </c>
      <c r="AB390" s="3">
        <f>ROUND(U390 - (V390+W390+X390+Y390) - (U390/Q390 * 2),0)</f>
        <v>34483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f>SUM(V390+W390+X390+Y390+AB390)</f>
        <v>93333</v>
      </c>
      <c r="AK390" s="3">
        <f>SUM(AJ390-AA390)</f>
        <v>93333</v>
      </c>
      <c r="AL390" s="3">
        <f>IF(V390&lt;=15000,V390*12%,1800)</f>
        <v>1800</v>
      </c>
      <c r="AM390" s="3">
        <v>0</v>
      </c>
      <c r="AN390" s="3">
        <f t="shared" si="59"/>
        <v>1800</v>
      </c>
      <c r="AO390" s="12">
        <v>200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3">
        <f t="shared" si="61"/>
        <v>200</v>
      </c>
      <c r="AV390" s="3">
        <f>SUM(AJ390 - AN390 - AU390)</f>
        <v>91333</v>
      </c>
      <c r="AW390" s="11">
        <v>0</v>
      </c>
      <c r="AX390" s="11">
        <v>0</v>
      </c>
      <c r="AY390" s="11">
        <v>0</v>
      </c>
      <c r="AZ390" s="11">
        <v>0</v>
      </c>
      <c r="BA390" s="3">
        <f t="shared" si="60"/>
        <v>91333</v>
      </c>
    </row>
    <row r="391" spans="1:53" x14ac:dyDescent="0.25">
      <c r="A391" s="1" t="s">
        <v>389</v>
      </c>
      <c r="B391" s="9" t="s">
        <v>1815</v>
      </c>
      <c r="C391" s="9" t="s">
        <v>1063</v>
      </c>
      <c r="D391" s="9" t="s">
        <v>1816</v>
      </c>
      <c r="E391" s="9" t="s">
        <v>1008</v>
      </c>
      <c r="F391" s="10">
        <v>45488</v>
      </c>
      <c r="G391" s="9" t="s">
        <v>1013</v>
      </c>
      <c r="I391" s="9" t="s">
        <v>1020</v>
      </c>
      <c r="J391" s="9" t="s">
        <v>1015</v>
      </c>
      <c r="K391" s="8" t="s">
        <v>1006</v>
      </c>
      <c r="L391" s="8" t="s">
        <v>1007</v>
      </c>
      <c r="M391" s="8" t="s">
        <v>2933</v>
      </c>
      <c r="N391" s="8" t="s">
        <v>2937</v>
      </c>
      <c r="O391" s="1" t="s">
        <v>2934</v>
      </c>
      <c r="P391">
        <v>30</v>
      </c>
      <c r="Q391">
        <v>30</v>
      </c>
      <c r="R391">
        <v>0</v>
      </c>
      <c r="S391">
        <f t="shared" si="62"/>
        <v>30</v>
      </c>
      <c r="T391" s="1" t="s">
        <v>2935</v>
      </c>
      <c r="U391" s="1" t="s">
        <v>2932</v>
      </c>
      <c r="V391" s="3">
        <f t="shared" si="63"/>
        <v>40000</v>
      </c>
      <c r="W391" s="3">
        <f t="shared" si="64"/>
        <v>16000</v>
      </c>
      <c r="X391" s="3">
        <f t="shared" si="56"/>
        <v>1250</v>
      </c>
      <c r="Y391" s="3">
        <f t="shared" si="57"/>
        <v>1600</v>
      </c>
      <c r="Z391" s="3">
        <f t="shared" si="58"/>
        <v>1800</v>
      </c>
      <c r="AA391" s="3">
        <v>0</v>
      </c>
      <c r="AB391" s="3">
        <f>ROUND(U391 - (V391+W391+X391+Y391) - (U391/Q391 * 2),0)</f>
        <v>34483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f>SUM(V391+W391+X391+Y391+AB391)</f>
        <v>93333</v>
      </c>
      <c r="AK391" s="3">
        <f>SUM(AJ391-AA391)</f>
        <v>93333</v>
      </c>
      <c r="AL391" s="3">
        <f>IF(V391&lt;=15000,V391*12%,1800)</f>
        <v>1800</v>
      </c>
      <c r="AM391" s="3">
        <v>0</v>
      </c>
      <c r="AN391" s="3">
        <f t="shared" si="59"/>
        <v>1800</v>
      </c>
      <c r="AO391" s="12">
        <v>200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3">
        <f t="shared" si="61"/>
        <v>200</v>
      </c>
      <c r="AV391" s="3">
        <f>SUM(AJ391 - AN391 - AU391)</f>
        <v>91333</v>
      </c>
      <c r="AW391" s="11">
        <v>0</v>
      </c>
      <c r="AX391" s="11">
        <v>0</v>
      </c>
      <c r="AY391" s="11">
        <v>0</v>
      </c>
      <c r="AZ391" s="11">
        <v>0</v>
      </c>
      <c r="BA391" s="3">
        <f t="shared" si="60"/>
        <v>91333</v>
      </c>
    </row>
    <row r="392" spans="1:53" x14ac:dyDescent="0.25">
      <c r="A392" s="1" t="s">
        <v>390</v>
      </c>
      <c r="B392" s="9" t="s">
        <v>1813</v>
      </c>
      <c r="C392" s="9" t="s">
        <v>1063</v>
      </c>
      <c r="D392" s="9" t="s">
        <v>1814</v>
      </c>
      <c r="E392" s="9" t="s">
        <v>1012</v>
      </c>
      <c r="F392" s="10">
        <v>45490</v>
      </c>
      <c r="G392" s="9" t="s">
        <v>1019</v>
      </c>
      <c r="I392" s="9" t="s">
        <v>1014</v>
      </c>
      <c r="J392" s="9" t="s">
        <v>1015</v>
      </c>
      <c r="K392" s="8" t="s">
        <v>1006</v>
      </c>
      <c r="L392" s="8" t="s">
        <v>1007</v>
      </c>
      <c r="M392" s="8" t="s">
        <v>2933</v>
      </c>
      <c r="N392" s="8" t="s">
        <v>2937</v>
      </c>
      <c r="O392" s="1" t="s">
        <v>2934</v>
      </c>
      <c r="P392">
        <v>30</v>
      </c>
      <c r="Q392">
        <v>30</v>
      </c>
      <c r="R392">
        <v>0</v>
      </c>
      <c r="S392">
        <f t="shared" si="62"/>
        <v>30</v>
      </c>
      <c r="T392" s="1" t="s">
        <v>2935</v>
      </c>
      <c r="U392" s="1" t="s">
        <v>2932</v>
      </c>
      <c r="V392" s="3">
        <f t="shared" si="63"/>
        <v>40000</v>
      </c>
      <c r="W392" s="3">
        <f t="shared" si="64"/>
        <v>16000</v>
      </c>
      <c r="X392" s="3">
        <f t="shared" si="56"/>
        <v>1250</v>
      </c>
      <c r="Y392" s="3">
        <f t="shared" si="57"/>
        <v>1600</v>
      </c>
      <c r="Z392" s="3">
        <f t="shared" si="58"/>
        <v>1800</v>
      </c>
      <c r="AA392" s="3">
        <v>0</v>
      </c>
      <c r="AB392" s="3">
        <f>ROUND(U392 - (V392+W392+X392+Y392) - (U392/Q392 * 2),0)</f>
        <v>34483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f>SUM(V392+W392+X392+Y392+AB392)</f>
        <v>93333</v>
      </c>
      <c r="AK392" s="3">
        <f>SUM(AJ392-AA392)</f>
        <v>93333</v>
      </c>
      <c r="AL392" s="3">
        <f>IF(V392&lt;=15000,V392*12%,1800)</f>
        <v>1800</v>
      </c>
      <c r="AM392" s="3">
        <v>0</v>
      </c>
      <c r="AN392" s="3">
        <f t="shared" si="59"/>
        <v>1800</v>
      </c>
      <c r="AO392" s="12">
        <v>200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3">
        <f t="shared" si="61"/>
        <v>200</v>
      </c>
      <c r="AV392" s="3">
        <f>SUM(AJ392 - AN392 - AU392)</f>
        <v>91333</v>
      </c>
      <c r="AW392" s="11">
        <v>0</v>
      </c>
      <c r="AX392" s="11">
        <v>0</v>
      </c>
      <c r="AY392" s="11">
        <v>0</v>
      </c>
      <c r="AZ392" s="11">
        <v>0</v>
      </c>
      <c r="BA392" s="3">
        <f t="shared" si="60"/>
        <v>91333</v>
      </c>
    </row>
    <row r="393" spans="1:53" x14ac:dyDescent="0.25">
      <c r="A393" s="1" t="s">
        <v>391</v>
      </c>
      <c r="B393" s="9" t="s">
        <v>1811</v>
      </c>
      <c r="C393" s="9" t="s">
        <v>1063</v>
      </c>
      <c r="D393" s="9" t="s">
        <v>1812</v>
      </c>
      <c r="E393" s="9" t="s">
        <v>1008</v>
      </c>
      <c r="F393" s="10">
        <v>45490</v>
      </c>
      <c r="G393" s="9" t="s">
        <v>1019</v>
      </c>
      <c r="I393" s="9" t="s">
        <v>1014</v>
      </c>
      <c r="J393" s="9" t="s">
        <v>1015</v>
      </c>
      <c r="K393" s="8" t="s">
        <v>1006</v>
      </c>
      <c r="L393" s="8" t="s">
        <v>1007</v>
      </c>
      <c r="M393" s="8" t="s">
        <v>2933</v>
      </c>
      <c r="N393" s="8" t="s">
        <v>2937</v>
      </c>
      <c r="O393" s="1" t="s">
        <v>2934</v>
      </c>
      <c r="P393">
        <v>30</v>
      </c>
      <c r="Q393">
        <v>30</v>
      </c>
      <c r="R393">
        <v>0</v>
      </c>
      <c r="S393">
        <f t="shared" si="62"/>
        <v>30</v>
      </c>
      <c r="T393" s="1" t="s">
        <v>2935</v>
      </c>
      <c r="U393" s="1" t="s">
        <v>2932</v>
      </c>
      <c r="V393" s="3">
        <f t="shared" si="63"/>
        <v>40000</v>
      </c>
      <c r="W393" s="3">
        <f t="shared" si="64"/>
        <v>16000</v>
      </c>
      <c r="X393" s="3">
        <f t="shared" si="56"/>
        <v>1250</v>
      </c>
      <c r="Y393" s="3">
        <f t="shared" si="57"/>
        <v>1600</v>
      </c>
      <c r="Z393" s="3">
        <f t="shared" si="58"/>
        <v>1800</v>
      </c>
      <c r="AA393" s="3">
        <v>0</v>
      </c>
      <c r="AB393" s="3">
        <f>ROUND(U393 - (V393+W393+X393+Y393) - (U393/Q393 * 2),0)</f>
        <v>34483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f>SUM(V393+W393+X393+Y393+AB393)</f>
        <v>93333</v>
      </c>
      <c r="AK393" s="3">
        <f>SUM(AJ393-AA393)</f>
        <v>93333</v>
      </c>
      <c r="AL393" s="3">
        <f>IF(V393&lt;=15000,V393*12%,1800)</f>
        <v>1800</v>
      </c>
      <c r="AM393" s="3">
        <v>0</v>
      </c>
      <c r="AN393" s="3">
        <f t="shared" si="59"/>
        <v>1800</v>
      </c>
      <c r="AO393" s="12">
        <v>200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3">
        <f t="shared" si="61"/>
        <v>200</v>
      </c>
      <c r="AV393" s="3">
        <f>SUM(AJ393 - AN393 - AU393)</f>
        <v>91333</v>
      </c>
      <c r="AW393" s="11">
        <v>0</v>
      </c>
      <c r="AX393" s="11">
        <v>0</v>
      </c>
      <c r="AY393" s="11">
        <v>0</v>
      </c>
      <c r="AZ393" s="11">
        <v>0</v>
      </c>
      <c r="BA393" s="3">
        <f t="shared" si="60"/>
        <v>91333</v>
      </c>
    </row>
    <row r="394" spans="1:53" x14ac:dyDescent="0.25">
      <c r="A394" s="1" t="s">
        <v>392</v>
      </c>
      <c r="B394" s="9" t="s">
        <v>1808</v>
      </c>
      <c r="C394" s="9" t="s">
        <v>1809</v>
      </c>
      <c r="D394" s="9" t="s">
        <v>1810</v>
      </c>
      <c r="E394" s="9" t="s">
        <v>1008</v>
      </c>
      <c r="F394" s="10">
        <v>41334</v>
      </c>
      <c r="G394" s="9" t="s">
        <v>1019</v>
      </c>
      <c r="I394" s="9" t="s">
        <v>1042</v>
      </c>
      <c r="J394" s="9" t="s">
        <v>1056</v>
      </c>
      <c r="K394" s="8" t="s">
        <v>1006</v>
      </c>
      <c r="L394" s="8" t="s">
        <v>1007</v>
      </c>
      <c r="M394" s="8" t="s">
        <v>2933</v>
      </c>
      <c r="N394" s="8" t="s">
        <v>2937</v>
      </c>
      <c r="O394" s="1" t="s">
        <v>2934</v>
      </c>
      <c r="P394">
        <v>30</v>
      </c>
      <c r="Q394">
        <v>30</v>
      </c>
      <c r="R394">
        <v>0</v>
      </c>
      <c r="S394">
        <f t="shared" si="62"/>
        <v>30</v>
      </c>
      <c r="T394" s="1" t="s">
        <v>2935</v>
      </c>
      <c r="U394" s="1" t="s">
        <v>2932</v>
      </c>
      <c r="V394" s="3">
        <f t="shared" si="63"/>
        <v>40000</v>
      </c>
      <c r="W394" s="3">
        <f t="shared" si="64"/>
        <v>16000</v>
      </c>
      <c r="X394" s="3">
        <f t="shared" si="56"/>
        <v>1250</v>
      </c>
      <c r="Y394" s="3">
        <f t="shared" si="57"/>
        <v>1600</v>
      </c>
      <c r="Z394" s="3">
        <f t="shared" si="58"/>
        <v>1800</v>
      </c>
      <c r="AA394" s="3">
        <v>0</v>
      </c>
      <c r="AB394" s="3">
        <f>ROUND(U394 - (V394+W394+X394+Y394) - (U394/Q394 * 2),0)</f>
        <v>34483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f>SUM(V394+W394+X394+Y394+AB394)</f>
        <v>93333</v>
      </c>
      <c r="AK394" s="3">
        <f>SUM(AJ394-AA394)</f>
        <v>93333</v>
      </c>
      <c r="AL394" s="3">
        <f>IF(V394&lt;=15000,V394*12%,1800)</f>
        <v>1800</v>
      </c>
      <c r="AM394" s="3">
        <v>0</v>
      </c>
      <c r="AN394" s="3">
        <f t="shared" si="59"/>
        <v>1800</v>
      </c>
      <c r="AO394" s="12">
        <v>200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3">
        <f t="shared" si="61"/>
        <v>200</v>
      </c>
      <c r="AV394" s="3">
        <f>SUM(AJ394 - AN394 - AU394)</f>
        <v>91333</v>
      </c>
      <c r="AW394" s="11">
        <v>0</v>
      </c>
      <c r="AX394" s="11">
        <v>0</v>
      </c>
      <c r="AY394" s="11">
        <v>0</v>
      </c>
      <c r="AZ394" s="11">
        <v>0</v>
      </c>
      <c r="BA394" s="3">
        <f t="shared" si="60"/>
        <v>91333</v>
      </c>
    </row>
    <row r="395" spans="1:53" x14ac:dyDescent="0.25">
      <c r="A395" s="1" t="s">
        <v>393</v>
      </c>
      <c r="B395" s="9" t="s">
        <v>1806</v>
      </c>
      <c r="C395" s="9" t="s">
        <v>1063</v>
      </c>
      <c r="D395" s="9" t="s">
        <v>1807</v>
      </c>
      <c r="E395" s="9" t="s">
        <v>1008</v>
      </c>
      <c r="F395" s="10">
        <v>45495</v>
      </c>
      <c r="G395" s="9" t="s">
        <v>1019</v>
      </c>
      <c r="I395" s="9" t="s">
        <v>1014</v>
      </c>
      <c r="J395" s="9" t="s">
        <v>1015</v>
      </c>
      <c r="K395" s="8" t="s">
        <v>1006</v>
      </c>
      <c r="L395" s="8" t="s">
        <v>1007</v>
      </c>
      <c r="M395" s="8" t="s">
        <v>2933</v>
      </c>
      <c r="N395" s="8" t="s">
        <v>2937</v>
      </c>
      <c r="O395" s="1" t="s">
        <v>2934</v>
      </c>
      <c r="P395">
        <v>30</v>
      </c>
      <c r="Q395">
        <v>30</v>
      </c>
      <c r="R395">
        <v>0</v>
      </c>
      <c r="S395">
        <f t="shared" si="62"/>
        <v>30</v>
      </c>
      <c r="T395" s="1" t="s">
        <v>2935</v>
      </c>
      <c r="U395" s="1" t="s">
        <v>2932</v>
      </c>
      <c r="V395" s="3">
        <f t="shared" si="63"/>
        <v>40000</v>
      </c>
      <c r="W395" s="3">
        <f t="shared" si="64"/>
        <v>16000</v>
      </c>
      <c r="X395" s="3">
        <f t="shared" si="56"/>
        <v>1250</v>
      </c>
      <c r="Y395" s="3">
        <f t="shared" si="57"/>
        <v>1600</v>
      </c>
      <c r="Z395" s="3">
        <f t="shared" si="58"/>
        <v>1800</v>
      </c>
      <c r="AA395" s="3">
        <v>0</v>
      </c>
      <c r="AB395" s="3">
        <f>ROUND(U395 - (V395+W395+X395+Y395) - (U395/Q395 * 2),0)</f>
        <v>34483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f>SUM(V395+W395+X395+Y395+AB395)</f>
        <v>93333</v>
      </c>
      <c r="AK395" s="3">
        <f>SUM(AJ395-AA395)</f>
        <v>93333</v>
      </c>
      <c r="AL395" s="3">
        <f>IF(V395&lt;=15000,V395*12%,1800)</f>
        <v>1800</v>
      </c>
      <c r="AM395" s="3">
        <v>0</v>
      </c>
      <c r="AN395" s="3">
        <f t="shared" si="59"/>
        <v>1800</v>
      </c>
      <c r="AO395" s="12">
        <v>200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3">
        <f t="shared" si="61"/>
        <v>200</v>
      </c>
      <c r="AV395" s="3">
        <f>SUM(AJ395 - AN395 - AU395)</f>
        <v>91333</v>
      </c>
      <c r="AW395" s="11">
        <v>0</v>
      </c>
      <c r="AX395" s="11">
        <v>0</v>
      </c>
      <c r="AY395" s="11">
        <v>0</v>
      </c>
      <c r="AZ395" s="11">
        <v>0</v>
      </c>
      <c r="BA395" s="3">
        <f t="shared" si="60"/>
        <v>91333</v>
      </c>
    </row>
    <row r="396" spans="1:53" x14ac:dyDescent="0.25">
      <c r="A396" s="1" t="s">
        <v>394</v>
      </c>
      <c r="B396" s="9" t="s">
        <v>1804</v>
      </c>
      <c r="C396" s="9" t="s">
        <v>1029</v>
      </c>
      <c r="D396" s="9" t="s">
        <v>1805</v>
      </c>
      <c r="E396" s="9" t="s">
        <v>1012</v>
      </c>
      <c r="F396" s="10">
        <v>45497</v>
      </c>
      <c r="G396" s="9" t="s">
        <v>1013</v>
      </c>
      <c r="I396" s="9" t="s">
        <v>1020</v>
      </c>
      <c r="J396" s="9" t="s">
        <v>1015</v>
      </c>
      <c r="K396" s="8" t="s">
        <v>1006</v>
      </c>
      <c r="L396" s="8" t="s">
        <v>1007</v>
      </c>
      <c r="M396" s="8" t="s">
        <v>2933</v>
      </c>
      <c r="N396" s="8" t="s">
        <v>2937</v>
      </c>
      <c r="O396" s="1" t="s">
        <v>2934</v>
      </c>
      <c r="P396">
        <v>30</v>
      </c>
      <c r="Q396">
        <v>30</v>
      </c>
      <c r="R396">
        <v>0</v>
      </c>
      <c r="S396">
        <f t="shared" si="62"/>
        <v>30</v>
      </c>
      <c r="T396" s="1" t="s">
        <v>2935</v>
      </c>
      <c r="U396" s="1" t="s">
        <v>2932</v>
      </c>
      <c r="V396" s="3">
        <f t="shared" si="63"/>
        <v>40000</v>
      </c>
      <c r="W396" s="3">
        <f t="shared" si="64"/>
        <v>16000</v>
      </c>
      <c r="X396" s="3">
        <f t="shared" si="56"/>
        <v>1250</v>
      </c>
      <c r="Y396" s="3">
        <f t="shared" si="57"/>
        <v>1600</v>
      </c>
      <c r="Z396" s="3">
        <f t="shared" si="58"/>
        <v>1800</v>
      </c>
      <c r="AA396" s="3">
        <v>0</v>
      </c>
      <c r="AB396" s="3">
        <f>ROUND(U396 - (V396+W396+X396+Y396) - (U396/Q396 * 2),0)</f>
        <v>34483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f>SUM(V396+W396+X396+Y396+AB396)</f>
        <v>93333</v>
      </c>
      <c r="AK396" s="3">
        <f>SUM(AJ396-AA396)</f>
        <v>93333</v>
      </c>
      <c r="AL396" s="3">
        <f>IF(V396&lt;=15000,V396*12%,1800)</f>
        <v>1800</v>
      </c>
      <c r="AM396" s="3">
        <v>0</v>
      </c>
      <c r="AN396" s="3">
        <f t="shared" si="59"/>
        <v>1800</v>
      </c>
      <c r="AO396" s="12">
        <v>200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3">
        <f t="shared" si="61"/>
        <v>200</v>
      </c>
      <c r="AV396" s="3">
        <f>SUM(AJ396 - AN396 - AU396)</f>
        <v>91333</v>
      </c>
      <c r="AW396" s="11">
        <v>0</v>
      </c>
      <c r="AX396" s="11">
        <v>0</v>
      </c>
      <c r="AY396" s="11">
        <v>0</v>
      </c>
      <c r="AZ396" s="11">
        <v>0</v>
      </c>
      <c r="BA396" s="3">
        <f t="shared" si="60"/>
        <v>91333</v>
      </c>
    </row>
    <row r="397" spans="1:53" x14ac:dyDescent="0.25">
      <c r="A397" s="1" t="s">
        <v>395</v>
      </c>
      <c r="B397" s="9" t="s">
        <v>1802</v>
      </c>
      <c r="C397" s="9" t="s">
        <v>1026</v>
      </c>
      <c r="D397" s="9" t="s">
        <v>1803</v>
      </c>
      <c r="E397" s="9" t="s">
        <v>1008</v>
      </c>
      <c r="F397" s="10">
        <v>45497</v>
      </c>
      <c r="G397" s="9" t="s">
        <v>1019</v>
      </c>
      <c r="I397" s="9" t="s">
        <v>1014</v>
      </c>
      <c r="J397" s="9" t="s">
        <v>1015</v>
      </c>
      <c r="K397" s="8" t="s">
        <v>1006</v>
      </c>
      <c r="L397" s="8" t="s">
        <v>1007</v>
      </c>
      <c r="M397" s="8" t="s">
        <v>2933</v>
      </c>
      <c r="N397" s="8" t="s">
        <v>2937</v>
      </c>
      <c r="O397" s="1" t="s">
        <v>2934</v>
      </c>
      <c r="P397">
        <v>30</v>
      </c>
      <c r="Q397">
        <v>30</v>
      </c>
      <c r="R397">
        <v>0</v>
      </c>
      <c r="S397">
        <f t="shared" si="62"/>
        <v>30</v>
      </c>
      <c r="T397" s="1" t="s">
        <v>2935</v>
      </c>
      <c r="U397" s="1" t="s">
        <v>2932</v>
      </c>
      <c r="V397" s="3">
        <f t="shared" si="63"/>
        <v>40000</v>
      </c>
      <c r="W397" s="3">
        <f t="shared" si="64"/>
        <v>16000</v>
      </c>
      <c r="X397" s="3">
        <f t="shared" si="56"/>
        <v>1250</v>
      </c>
      <c r="Y397" s="3">
        <f t="shared" si="57"/>
        <v>1600</v>
      </c>
      <c r="Z397" s="3">
        <f t="shared" si="58"/>
        <v>1800</v>
      </c>
      <c r="AA397" s="3">
        <v>0</v>
      </c>
      <c r="AB397" s="3">
        <f>ROUND(U397 - (V397+W397+X397+Y397) - (U397/Q397 * 2),0)</f>
        <v>34483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f>SUM(V397+W397+X397+Y397+AB397)</f>
        <v>93333</v>
      </c>
      <c r="AK397" s="3">
        <f>SUM(AJ397-AA397)</f>
        <v>93333</v>
      </c>
      <c r="AL397" s="3">
        <f>IF(V397&lt;=15000,V397*12%,1800)</f>
        <v>1800</v>
      </c>
      <c r="AM397" s="3">
        <v>0</v>
      </c>
      <c r="AN397" s="3">
        <f t="shared" si="59"/>
        <v>1800</v>
      </c>
      <c r="AO397" s="12">
        <v>200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3">
        <f t="shared" si="61"/>
        <v>200</v>
      </c>
      <c r="AV397" s="3">
        <f>SUM(AJ397 - AN397 - AU397)</f>
        <v>91333</v>
      </c>
      <c r="AW397" s="11">
        <v>0</v>
      </c>
      <c r="AX397" s="11">
        <v>0</v>
      </c>
      <c r="AY397" s="11">
        <v>0</v>
      </c>
      <c r="AZ397" s="11">
        <v>0</v>
      </c>
      <c r="BA397" s="3">
        <f t="shared" si="60"/>
        <v>91333</v>
      </c>
    </row>
    <row r="398" spans="1:53" x14ac:dyDescent="0.25">
      <c r="A398" s="1" t="s">
        <v>396</v>
      </c>
      <c r="B398" s="9" t="s">
        <v>1800</v>
      </c>
      <c r="C398" s="9" t="s">
        <v>1063</v>
      </c>
      <c r="D398" s="9" t="s">
        <v>1801</v>
      </c>
      <c r="E398" s="9" t="s">
        <v>1008</v>
      </c>
      <c r="F398" s="10">
        <v>45498</v>
      </c>
      <c r="G398" s="9" t="s">
        <v>1019</v>
      </c>
      <c r="I398" s="9" t="s">
        <v>1014</v>
      </c>
      <c r="J398" s="9" t="s">
        <v>1015</v>
      </c>
      <c r="K398" s="8" t="s">
        <v>1006</v>
      </c>
      <c r="L398" s="8" t="s">
        <v>1007</v>
      </c>
      <c r="M398" s="8" t="s">
        <v>2933</v>
      </c>
      <c r="N398" s="8" t="s">
        <v>2937</v>
      </c>
      <c r="O398" s="1" t="s">
        <v>2934</v>
      </c>
      <c r="P398">
        <v>30</v>
      </c>
      <c r="Q398">
        <v>30</v>
      </c>
      <c r="R398">
        <v>0</v>
      </c>
      <c r="S398">
        <f t="shared" si="62"/>
        <v>30</v>
      </c>
      <c r="T398" s="1" t="s">
        <v>2935</v>
      </c>
      <c r="U398" s="1" t="s">
        <v>2932</v>
      </c>
      <c r="V398" s="3">
        <f t="shared" si="63"/>
        <v>40000</v>
      </c>
      <c r="W398" s="3">
        <f t="shared" si="64"/>
        <v>16000</v>
      </c>
      <c r="X398" s="3">
        <f t="shared" si="56"/>
        <v>1250</v>
      </c>
      <c r="Y398" s="3">
        <f t="shared" si="57"/>
        <v>1600</v>
      </c>
      <c r="Z398" s="3">
        <f t="shared" si="58"/>
        <v>1800</v>
      </c>
      <c r="AA398" s="3">
        <v>0</v>
      </c>
      <c r="AB398" s="3">
        <f>ROUND(U398 - (V398+W398+X398+Y398) - (U398/Q398 * 2),0)</f>
        <v>34483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f>SUM(V398+W398+X398+Y398+AB398)</f>
        <v>93333</v>
      </c>
      <c r="AK398" s="3">
        <f>SUM(AJ398-AA398)</f>
        <v>93333</v>
      </c>
      <c r="AL398" s="3">
        <f>IF(V398&lt;=15000,V398*12%,1800)</f>
        <v>1800</v>
      </c>
      <c r="AM398" s="3">
        <v>0</v>
      </c>
      <c r="AN398" s="3">
        <f t="shared" si="59"/>
        <v>1800</v>
      </c>
      <c r="AO398" s="12">
        <v>200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3">
        <f t="shared" si="61"/>
        <v>200</v>
      </c>
      <c r="AV398" s="3">
        <f>SUM(AJ398 - AN398 - AU398)</f>
        <v>91333</v>
      </c>
      <c r="AW398" s="11">
        <v>0</v>
      </c>
      <c r="AX398" s="11">
        <v>0</v>
      </c>
      <c r="AY398" s="11">
        <v>0</v>
      </c>
      <c r="AZ398" s="11">
        <v>0</v>
      </c>
      <c r="BA398" s="3">
        <f t="shared" si="60"/>
        <v>91333</v>
      </c>
    </row>
    <row r="399" spans="1:53" x14ac:dyDescent="0.25">
      <c r="A399" s="1" t="s">
        <v>397</v>
      </c>
      <c r="B399" s="9" t="s">
        <v>1863</v>
      </c>
      <c r="C399" s="9" t="s">
        <v>1026</v>
      </c>
      <c r="D399" s="9" t="s">
        <v>1864</v>
      </c>
      <c r="E399" s="9" t="s">
        <v>1008</v>
      </c>
      <c r="F399" s="10">
        <v>45509</v>
      </c>
      <c r="G399" s="9" t="s">
        <v>1019</v>
      </c>
      <c r="I399" s="9" t="s">
        <v>1014</v>
      </c>
      <c r="J399" s="9" t="s">
        <v>1015</v>
      </c>
      <c r="K399" s="8" t="s">
        <v>1006</v>
      </c>
      <c r="L399" s="8" t="s">
        <v>1007</v>
      </c>
      <c r="M399" s="8" t="s">
        <v>2933</v>
      </c>
      <c r="N399" s="8" t="s">
        <v>2937</v>
      </c>
      <c r="O399" s="1" t="s">
        <v>2934</v>
      </c>
      <c r="P399">
        <v>30</v>
      </c>
      <c r="Q399">
        <v>30</v>
      </c>
      <c r="R399">
        <v>0</v>
      </c>
      <c r="S399">
        <f t="shared" si="62"/>
        <v>30</v>
      </c>
      <c r="T399" s="1" t="s">
        <v>2935</v>
      </c>
      <c r="U399" s="1" t="s">
        <v>2932</v>
      </c>
      <c r="V399" s="3">
        <f t="shared" si="63"/>
        <v>40000</v>
      </c>
      <c r="W399" s="3">
        <f t="shared" si="64"/>
        <v>16000</v>
      </c>
      <c r="X399" s="3">
        <f t="shared" si="56"/>
        <v>1250</v>
      </c>
      <c r="Y399" s="3">
        <f t="shared" si="57"/>
        <v>1600</v>
      </c>
      <c r="Z399" s="3">
        <f t="shared" si="58"/>
        <v>1800</v>
      </c>
      <c r="AA399" s="3">
        <v>0</v>
      </c>
      <c r="AB399" s="3">
        <f>ROUND(U399 - (V399+W399+X399+Y399) - (U399/Q399 * 2),0)</f>
        <v>34483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f>SUM(V399+W399+X399+Y399+AB399)</f>
        <v>93333</v>
      </c>
      <c r="AK399" s="3">
        <f>SUM(AJ399-AA399)</f>
        <v>93333</v>
      </c>
      <c r="AL399" s="3">
        <f>IF(V399&lt;=15000,V399*12%,1800)</f>
        <v>1800</v>
      </c>
      <c r="AM399" s="3">
        <v>0</v>
      </c>
      <c r="AN399" s="3">
        <f t="shared" si="59"/>
        <v>1800</v>
      </c>
      <c r="AO399" s="12">
        <v>200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3">
        <f t="shared" si="61"/>
        <v>200</v>
      </c>
      <c r="AV399" s="3">
        <f>SUM(AJ399 - AN399 - AU399)</f>
        <v>91333</v>
      </c>
      <c r="AW399" s="11">
        <v>0</v>
      </c>
      <c r="AX399" s="11">
        <v>0</v>
      </c>
      <c r="AY399" s="11">
        <v>0</v>
      </c>
      <c r="AZ399" s="11">
        <v>0</v>
      </c>
      <c r="BA399" s="3">
        <f t="shared" si="60"/>
        <v>91333</v>
      </c>
    </row>
    <row r="400" spans="1:53" x14ac:dyDescent="0.25">
      <c r="A400" s="1" t="s">
        <v>398</v>
      </c>
      <c r="B400" s="9" t="s">
        <v>1383</v>
      </c>
      <c r="C400" s="9" t="s">
        <v>1063</v>
      </c>
      <c r="D400" s="9" t="s">
        <v>1862</v>
      </c>
      <c r="E400" s="9" t="s">
        <v>1008</v>
      </c>
      <c r="F400" s="10">
        <v>45509</v>
      </c>
      <c r="G400" s="9" t="s">
        <v>1013</v>
      </c>
      <c r="I400" s="9" t="s">
        <v>1014</v>
      </c>
      <c r="J400" s="9" t="s">
        <v>1015</v>
      </c>
      <c r="K400" s="8" t="s">
        <v>1006</v>
      </c>
      <c r="L400" s="8" t="s">
        <v>1007</v>
      </c>
      <c r="M400" s="8" t="s">
        <v>2933</v>
      </c>
      <c r="N400" s="8" t="s">
        <v>2937</v>
      </c>
      <c r="O400" s="1" t="s">
        <v>2934</v>
      </c>
      <c r="P400">
        <v>30</v>
      </c>
      <c r="Q400">
        <v>30</v>
      </c>
      <c r="R400">
        <v>0</v>
      </c>
      <c r="S400">
        <f t="shared" si="62"/>
        <v>30</v>
      </c>
      <c r="T400" s="1" t="s">
        <v>2935</v>
      </c>
      <c r="U400" s="1" t="s">
        <v>2932</v>
      </c>
      <c r="V400" s="3">
        <f t="shared" si="63"/>
        <v>40000</v>
      </c>
      <c r="W400" s="3">
        <f t="shared" si="64"/>
        <v>16000</v>
      </c>
      <c r="X400" s="3">
        <f t="shared" si="56"/>
        <v>1250</v>
      </c>
      <c r="Y400" s="3">
        <f t="shared" si="57"/>
        <v>1600</v>
      </c>
      <c r="Z400" s="3">
        <f t="shared" si="58"/>
        <v>1800</v>
      </c>
      <c r="AA400" s="3">
        <v>0</v>
      </c>
      <c r="AB400" s="3">
        <f>ROUND(U400 - (V400+W400+X400+Y400) - (U400/Q400 * 2),0)</f>
        <v>34483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f>SUM(V400+W400+X400+Y400+AB400)</f>
        <v>93333</v>
      </c>
      <c r="AK400" s="3">
        <f>SUM(AJ400-AA400)</f>
        <v>93333</v>
      </c>
      <c r="AL400" s="3">
        <f>IF(V400&lt;=15000,V400*12%,1800)</f>
        <v>1800</v>
      </c>
      <c r="AM400" s="3">
        <v>0</v>
      </c>
      <c r="AN400" s="3">
        <f t="shared" si="59"/>
        <v>1800</v>
      </c>
      <c r="AO400" s="12">
        <v>200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3">
        <f t="shared" si="61"/>
        <v>200</v>
      </c>
      <c r="AV400" s="3">
        <f>SUM(AJ400 - AN400 - AU400)</f>
        <v>91333</v>
      </c>
      <c r="AW400" s="11">
        <v>0</v>
      </c>
      <c r="AX400" s="11">
        <v>0</v>
      </c>
      <c r="AY400" s="11">
        <v>0</v>
      </c>
      <c r="AZ400" s="11">
        <v>0</v>
      </c>
      <c r="BA400" s="3">
        <f t="shared" si="60"/>
        <v>91333</v>
      </c>
    </row>
    <row r="401" spans="1:53" x14ac:dyDescent="0.25">
      <c r="A401" s="1" t="s">
        <v>399</v>
      </c>
      <c r="B401" s="9" t="s">
        <v>1860</v>
      </c>
      <c r="C401" s="9" t="s">
        <v>1063</v>
      </c>
      <c r="D401" s="9" t="s">
        <v>1861</v>
      </c>
      <c r="E401" s="9" t="s">
        <v>1008</v>
      </c>
      <c r="F401" s="10">
        <v>45509</v>
      </c>
      <c r="G401" s="9" t="s">
        <v>1013</v>
      </c>
      <c r="I401" s="9" t="s">
        <v>1014</v>
      </c>
      <c r="J401" s="9" t="s">
        <v>1015</v>
      </c>
      <c r="K401" s="8" t="s">
        <v>1006</v>
      </c>
      <c r="L401" s="8" t="s">
        <v>1007</v>
      </c>
      <c r="M401" s="8" t="s">
        <v>2933</v>
      </c>
      <c r="N401" s="8" t="s">
        <v>2937</v>
      </c>
      <c r="O401" s="1" t="s">
        <v>2934</v>
      </c>
      <c r="P401">
        <v>30</v>
      </c>
      <c r="Q401">
        <v>30</v>
      </c>
      <c r="R401">
        <v>0</v>
      </c>
      <c r="S401">
        <f t="shared" si="62"/>
        <v>30</v>
      </c>
      <c r="T401" s="1" t="s">
        <v>2935</v>
      </c>
      <c r="U401" s="1" t="s">
        <v>2932</v>
      </c>
      <c r="V401" s="3">
        <f t="shared" si="63"/>
        <v>40000</v>
      </c>
      <c r="W401" s="3">
        <f t="shared" si="64"/>
        <v>16000</v>
      </c>
      <c r="X401" s="3">
        <f t="shared" si="56"/>
        <v>1250</v>
      </c>
      <c r="Y401" s="3">
        <f t="shared" si="57"/>
        <v>1600</v>
      </c>
      <c r="Z401" s="3">
        <f t="shared" si="58"/>
        <v>1800</v>
      </c>
      <c r="AA401" s="3">
        <v>0</v>
      </c>
      <c r="AB401" s="3">
        <f>ROUND(U401 - (V401+W401+X401+Y401) - (U401/Q401 * 2),0)</f>
        <v>34483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f>SUM(V401+W401+X401+Y401+AB401)</f>
        <v>93333</v>
      </c>
      <c r="AK401" s="3">
        <f>SUM(AJ401-AA401)</f>
        <v>93333</v>
      </c>
      <c r="AL401" s="3">
        <f>IF(V401&lt;=15000,V401*12%,1800)</f>
        <v>1800</v>
      </c>
      <c r="AM401" s="3">
        <v>0</v>
      </c>
      <c r="AN401" s="3">
        <f t="shared" si="59"/>
        <v>1800</v>
      </c>
      <c r="AO401" s="12">
        <v>200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3">
        <f t="shared" si="61"/>
        <v>200</v>
      </c>
      <c r="AV401" s="3">
        <f>SUM(AJ401 - AN401 - AU401)</f>
        <v>91333</v>
      </c>
      <c r="AW401" s="11">
        <v>0</v>
      </c>
      <c r="AX401" s="11">
        <v>0</v>
      </c>
      <c r="AY401" s="11">
        <v>0</v>
      </c>
      <c r="AZ401" s="11">
        <v>0</v>
      </c>
      <c r="BA401" s="3">
        <f t="shared" si="60"/>
        <v>91333</v>
      </c>
    </row>
    <row r="402" spans="1:53" x14ac:dyDescent="0.25">
      <c r="A402" s="1" t="s">
        <v>400</v>
      </c>
      <c r="B402" s="9" t="s">
        <v>1858</v>
      </c>
      <c r="C402" s="9" t="s">
        <v>1029</v>
      </c>
      <c r="D402" s="9" t="s">
        <v>1859</v>
      </c>
      <c r="E402" s="9" t="s">
        <v>1012</v>
      </c>
      <c r="F402" s="10">
        <v>44501</v>
      </c>
      <c r="G402" s="9" t="s">
        <v>1019</v>
      </c>
      <c r="I402" s="9" t="s">
        <v>1014</v>
      </c>
      <c r="J402" s="9" t="s">
        <v>1031</v>
      </c>
      <c r="K402" s="8" t="s">
        <v>1006</v>
      </c>
      <c r="L402" s="8" t="s">
        <v>1007</v>
      </c>
      <c r="M402" s="8" t="s">
        <v>2933</v>
      </c>
      <c r="N402" s="8" t="s">
        <v>2937</v>
      </c>
      <c r="O402" s="1" t="s">
        <v>2934</v>
      </c>
      <c r="P402">
        <v>30</v>
      </c>
      <c r="Q402">
        <v>30</v>
      </c>
      <c r="R402">
        <v>0</v>
      </c>
      <c r="S402">
        <f t="shared" si="62"/>
        <v>30</v>
      </c>
      <c r="T402" s="1" t="s">
        <v>2935</v>
      </c>
      <c r="U402" s="1" t="s">
        <v>2932</v>
      </c>
      <c r="V402" s="3">
        <f t="shared" si="63"/>
        <v>40000</v>
      </c>
      <c r="W402" s="3">
        <f t="shared" si="64"/>
        <v>16000</v>
      </c>
      <c r="X402" s="3">
        <f t="shared" si="56"/>
        <v>1250</v>
      </c>
      <c r="Y402" s="3">
        <f t="shared" si="57"/>
        <v>1600</v>
      </c>
      <c r="Z402" s="3">
        <f t="shared" si="58"/>
        <v>1800</v>
      </c>
      <c r="AA402" s="3">
        <v>0</v>
      </c>
      <c r="AB402" s="3">
        <f>ROUND(U402 - (V402+W402+X402+Y402) - (U402/Q402 * 2),0)</f>
        <v>34483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f>SUM(V402+W402+X402+Y402+AB402)</f>
        <v>93333</v>
      </c>
      <c r="AK402" s="3">
        <f>SUM(AJ402-AA402)</f>
        <v>93333</v>
      </c>
      <c r="AL402" s="3">
        <f>IF(V402&lt;=15000,V402*12%,1800)</f>
        <v>1800</v>
      </c>
      <c r="AM402" s="3">
        <v>0</v>
      </c>
      <c r="AN402" s="3">
        <f t="shared" si="59"/>
        <v>1800</v>
      </c>
      <c r="AO402" s="12">
        <v>200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3">
        <f t="shared" si="61"/>
        <v>200</v>
      </c>
      <c r="AV402" s="3">
        <f>SUM(AJ402 - AN402 - AU402)</f>
        <v>91333</v>
      </c>
      <c r="AW402" s="11">
        <v>0</v>
      </c>
      <c r="AX402" s="11">
        <v>0</v>
      </c>
      <c r="AY402" s="11">
        <v>0</v>
      </c>
      <c r="AZ402" s="11">
        <v>0</v>
      </c>
      <c r="BA402" s="3">
        <f t="shared" si="60"/>
        <v>91333</v>
      </c>
    </row>
    <row r="403" spans="1:53" x14ac:dyDescent="0.25">
      <c r="A403" s="1" t="s">
        <v>401</v>
      </c>
      <c r="B403" s="9" t="s">
        <v>1856</v>
      </c>
      <c r="C403" s="9" t="s">
        <v>1173</v>
      </c>
      <c r="D403" s="9" t="s">
        <v>1857</v>
      </c>
      <c r="E403" s="9" t="s">
        <v>1008</v>
      </c>
      <c r="F403" s="10">
        <v>44494</v>
      </c>
      <c r="G403" s="9" t="s">
        <v>1013</v>
      </c>
      <c r="I403" s="9" t="s">
        <v>1042</v>
      </c>
      <c r="J403" s="9" t="s">
        <v>1048</v>
      </c>
      <c r="K403" s="8" t="s">
        <v>1006</v>
      </c>
      <c r="L403" s="8" t="s">
        <v>1007</v>
      </c>
      <c r="M403" s="8" t="s">
        <v>2933</v>
      </c>
      <c r="N403" s="8" t="s">
        <v>2937</v>
      </c>
      <c r="O403" s="1" t="s">
        <v>2934</v>
      </c>
      <c r="P403">
        <v>30</v>
      </c>
      <c r="Q403">
        <v>30</v>
      </c>
      <c r="R403">
        <v>0</v>
      </c>
      <c r="S403">
        <f t="shared" si="62"/>
        <v>30</v>
      </c>
      <c r="T403" s="1" t="s">
        <v>2935</v>
      </c>
      <c r="U403" s="1" t="s">
        <v>2932</v>
      </c>
      <c r="V403" s="3">
        <f t="shared" si="63"/>
        <v>40000</v>
      </c>
      <c r="W403" s="3">
        <f t="shared" si="64"/>
        <v>16000</v>
      </c>
      <c r="X403" s="3">
        <f t="shared" si="56"/>
        <v>1250</v>
      </c>
      <c r="Y403" s="3">
        <f t="shared" si="57"/>
        <v>1600</v>
      </c>
      <c r="Z403" s="3">
        <f t="shared" si="58"/>
        <v>1800</v>
      </c>
      <c r="AA403" s="3">
        <v>0</v>
      </c>
      <c r="AB403" s="3">
        <f>ROUND(U403 - (V403+W403+X403+Y403) - (U403/Q403 * 2),0)</f>
        <v>34483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f>SUM(V403+W403+X403+Y403+AB403)</f>
        <v>93333</v>
      </c>
      <c r="AK403" s="3">
        <f>SUM(AJ403-AA403)</f>
        <v>93333</v>
      </c>
      <c r="AL403" s="3">
        <f>IF(V403&lt;=15000,V403*12%,1800)</f>
        <v>1800</v>
      </c>
      <c r="AM403" s="3">
        <v>0</v>
      </c>
      <c r="AN403" s="3">
        <f t="shared" si="59"/>
        <v>1800</v>
      </c>
      <c r="AO403" s="12">
        <v>200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3">
        <f t="shared" si="61"/>
        <v>200</v>
      </c>
      <c r="AV403" s="3">
        <f>SUM(AJ403 - AN403 - AU403)</f>
        <v>91333</v>
      </c>
      <c r="AW403" s="11">
        <v>0</v>
      </c>
      <c r="AX403" s="11">
        <v>0</v>
      </c>
      <c r="AY403" s="11">
        <v>0</v>
      </c>
      <c r="AZ403" s="11">
        <v>0</v>
      </c>
      <c r="BA403" s="3">
        <f t="shared" si="60"/>
        <v>91333</v>
      </c>
    </row>
    <row r="404" spans="1:53" x14ac:dyDescent="0.25">
      <c r="A404" s="1" t="s">
        <v>402</v>
      </c>
      <c r="B404" s="9" t="s">
        <v>1853</v>
      </c>
      <c r="C404" s="9" t="s">
        <v>1854</v>
      </c>
      <c r="D404" s="9" t="s">
        <v>1855</v>
      </c>
      <c r="E404" s="9" t="s">
        <v>1008</v>
      </c>
      <c r="F404" s="10">
        <v>44494</v>
      </c>
      <c r="G404" s="9" t="s">
        <v>1019</v>
      </c>
      <c r="I404" s="9" t="s">
        <v>1042</v>
      </c>
      <c r="J404" s="9" t="s">
        <v>1048</v>
      </c>
      <c r="K404" s="8" t="s">
        <v>1006</v>
      </c>
      <c r="L404" s="8" t="s">
        <v>1007</v>
      </c>
      <c r="M404" s="8" t="s">
        <v>2933</v>
      </c>
      <c r="N404" s="8" t="s">
        <v>2937</v>
      </c>
      <c r="O404" s="1" t="s">
        <v>2934</v>
      </c>
      <c r="P404">
        <v>30</v>
      </c>
      <c r="Q404">
        <v>30</v>
      </c>
      <c r="R404">
        <v>0</v>
      </c>
      <c r="S404">
        <f t="shared" si="62"/>
        <v>30</v>
      </c>
      <c r="T404" s="1" t="s">
        <v>2935</v>
      </c>
      <c r="U404" s="1" t="s">
        <v>2932</v>
      </c>
      <c r="V404" s="3">
        <f t="shared" si="63"/>
        <v>40000</v>
      </c>
      <c r="W404" s="3">
        <f t="shared" si="64"/>
        <v>16000</v>
      </c>
      <c r="X404" s="3">
        <f t="shared" si="56"/>
        <v>1250</v>
      </c>
      <c r="Y404" s="3">
        <f t="shared" si="57"/>
        <v>1600</v>
      </c>
      <c r="Z404" s="3">
        <f t="shared" si="58"/>
        <v>1800</v>
      </c>
      <c r="AA404" s="3">
        <v>0</v>
      </c>
      <c r="AB404" s="3">
        <f>ROUND(U404 - (V404+W404+X404+Y404) - (U404/Q404 * 2),0)</f>
        <v>34483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f>SUM(V404+W404+X404+Y404+AB404)</f>
        <v>93333</v>
      </c>
      <c r="AK404" s="3">
        <f>SUM(AJ404-AA404)</f>
        <v>93333</v>
      </c>
      <c r="AL404" s="3">
        <f>IF(V404&lt;=15000,V404*12%,1800)</f>
        <v>1800</v>
      </c>
      <c r="AM404" s="3">
        <v>0</v>
      </c>
      <c r="AN404" s="3">
        <f t="shared" si="59"/>
        <v>1800</v>
      </c>
      <c r="AO404" s="12">
        <v>200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3">
        <f t="shared" si="61"/>
        <v>200</v>
      </c>
      <c r="AV404" s="3">
        <f>SUM(AJ404 - AN404 - AU404)</f>
        <v>91333</v>
      </c>
      <c r="AW404" s="11">
        <v>0</v>
      </c>
      <c r="AX404" s="11">
        <v>0</v>
      </c>
      <c r="AY404" s="11">
        <v>0</v>
      </c>
      <c r="AZ404" s="11">
        <v>0</v>
      </c>
      <c r="BA404" s="3">
        <f t="shared" si="60"/>
        <v>91333</v>
      </c>
    </row>
    <row r="405" spans="1:53" x14ac:dyDescent="0.25">
      <c r="A405" s="1" t="s">
        <v>403</v>
      </c>
      <c r="B405" s="9" t="s">
        <v>1738</v>
      </c>
      <c r="C405" s="9" t="s">
        <v>1115</v>
      </c>
      <c r="D405" s="9" t="s">
        <v>1852</v>
      </c>
      <c r="E405" s="9" t="s">
        <v>1012</v>
      </c>
      <c r="F405" s="10">
        <v>44501</v>
      </c>
      <c r="G405" s="9" t="s">
        <v>1019</v>
      </c>
      <c r="I405" s="9" t="s">
        <v>1042</v>
      </c>
      <c r="J405" s="9" t="s">
        <v>1048</v>
      </c>
      <c r="K405" s="8" t="s">
        <v>1006</v>
      </c>
      <c r="L405" s="8" t="s">
        <v>1007</v>
      </c>
      <c r="M405" s="8" t="s">
        <v>2933</v>
      </c>
      <c r="N405" s="8" t="s">
        <v>2937</v>
      </c>
      <c r="O405" s="1" t="s">
        <v>2934</v>
      </c>
      <c r="P405">
        <v>30</v>
      </c>
      <c r="Q405">
        <v>30</v>
      </c>
      <c r="R405">
        <v>0</v>
      </c>
      <c r="S405">
        <f t="shared" si="62"/>
        <v>30</v>
      </c>
      <c r="T405" s="1" t="s">
        <v>2935</v>
      </c>
      <c r="U405" s="1" t="s">
        <v>2932</v>
      </c>
      <c r="V405" s="3">
        <f t="shared" si="63"/>
        <v>40000</v>
      </c>
      <c r="W405" s="3">
        <f t="shared" si="64"/>
        <v>16000</v>
      </c>
      <c r="X405" s="3">
        <f t="shared" si="56"/>
        <v>1250</v>
      </c>
      <c r="Y405" s="3">
        <f t="shared" si="57"/>
        <v>1600</v>
      </c>
      <c r="Z405" s="3">
        <f t="shared" si="58"/>
        <v>1800</v>
      </c>
      <c r="AA405" s="3">
        <v>0</v>
      </c>
      <c r="AB405" s="3">
        <f>ROUND(U405 - (V405+W405+X405+Y405) - (U405/Q405 * 2),0)</f>
        <v>34483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f>SUM(V405+W405+X405+Y405+AB405)</f>
        <v>93333</v>
      </c>
      <c r="AK405" s="3">
        <f>SUM(AJ405-AA405)</f>
        <v>93333</v>
      </c>
      <c r="AL405" s="3">
        <f>IF(V405&lt;=15000,V405*12%,1800)</f>
        <v>1800</v>
      </c>
      <c r="AM405" s="3">
        <v>0</v>
      </c>
      <c r="AN405" s="3">
        <f t="shared" si="59"/>
        <v>1800</v>
      </c>
      <c r="AO405" s="12">
        <v>200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3">
        <f t="shared" si="61"/>
        <v>200</v>
      </c>
      <c r="AV405" s="3">
        <f>SUM(AJ405 - AN405 - AU405)</f>
        <v>91333</v>
      </c>
      <c r="AW405" s="11">
        <v>0</v>
      </c>
      <c r="AX405" s="11">
        <v>0</v>
      </c>
      <c r="AY405" s="11">
        <v>0</v>
      </c>
      <c r="AZ405" s="11">
        <v>0</v>
      </c>
      <c r="BA405" s="3">
        <f t="shared" si="60"/>
        <v>91333</v>
      </c>
    </row>
    <row r="406" spans="1:53" x14ac:dyDescent="0.25">
      <c r="A406" s="1" t="s">
        <v>404</v>
      </c>
      <c r="B406" s="9" t="s">
        <v>1850</v>
      </c>
      <c r="C406" s="9" t="s">
        <v>1017</v>
      </c>
      <c r="D406" s="9" t="s">
        <v>1851</v>
      </c>
      <c r="E406" s="9" t="s">
        <v>1012</v>
      </c>
      <c r="F406" s="10">
        <v>44494</v>
      </c>
      <c r="G406" s="9" t="s">
        <v>1013</v>
      </c>
      <c r="I406" s="9" t="s">
        <v>1035</v>
      </c>
      <c r="J406" s="9" t="s">
        <v>1021</v>
      </c>
      <c r="K406" s="8" t="s">
        <v>1006</v>
      </c>
      <c r="L406" s="8" t="s">
        <v>1007</v>
      </c>
      <c r="M406" s="8" t="s">
        <v>2933</v>
      </c>
      <c r="N406" s="8" t="s">
        <v>2937</v>
      </c>
      <c r="O406" s="1" t="s">
        <v>2934</v>
      </c>
      <c r="P406">
        <v>30</v>
      </c>
      <c r="Q406">
        <v>30</v>
      </c>
      <c r="R406">
        <v>0</v>
      </c>
      <c r="S406">
        <f t="shared" si="62"/>
        <v>30</v>
      </c>
      <c r="T406" s="1" t="s">
        <v>2935</v>
      </c>
      <c r="U406" s="1" t="s">
        <v>2932</v>
      </c>
      <c r="V406" s="3">
        <f t="shared" si="63"/>
        <v>40000</v>
      </c>
      <c r="W406" s="3">
        <f t="shared" si="64"/>
        <v>16000</v>
      </c>
      <c r="X406" s="3">
        <f t="shared" si="56"/>
        <v>1250</v>
      </c>
      <c r="Y406" s="3">
        <f t="shared" si="57"/>
        <v>1600</v>
      </c>
      <c r="Z406" s="3">
        <f t="shared" si="58"/>
        <v>1800</v>
      </c>
      <c r="AA406" s="3">
        <v>0</v>
      </c>
      <c r="AB406" s="3">
        <f>ROUND(U406 - (V406+W406+X406+Y406) - (U406/Q406 * 2),0)</f>
        <v>34483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f>SUM(V406+W406+X406+Y406+AB406)</f>
        <v>93333</v>
      </c>
      <c r="AK406" s="3">
        <f>SUM(AJ406-AA406)</f>
        <v>93333</v>
      </c>
      <c r="AL406" s="3">
        <f>IF(V406&lt;=15000,V406*12%,1800)</f>
        <v>1800</v>
      </c>
      <c r="AM406" s="3">
        <v>0</v>
      </c>
      <c r="AN406" s="3">
        <f t="shared" si="59"/>
        <v>1800</v>
      </c>
      <c r="AO406" s="12">
        <v>200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3">
        <f t="shared" si="61"/>
        <v>200</v>
      </c>
      <c r="AV406" s="3">
        <f>SUM(AJ406 - AN406 - AU406)</f>
        <v>91333</v>
      </c>
      <c r="AW406" s="11">
        <v>0</v>
      </c>
      <c r="AX406" s="11">
        <v>0</v>
      </c>
      <c r="AY406" s="11">
        <v>0</v>
      </c>
      <c r="AZ406" s="11">
        <v>0</v>
      </c>
      <c r="BA406" s="3">
        <f t="shared" si="60"/>
        <v>91333</v>
      </c>
    </row>
    <row r="407" spans="1:53" x14ac:dyDescent="0.25">
      <c r="A407" s="1" t="s">
        <v>405</v>
      </c>
      <c r="B407" s="9" t="s">
        <v>1848</v>
      </c>
      <c r="C407" s="9" t="s">
        <v>1023</v>
      </c>
      <c r="D407" s="9" t="s">
        <v>1849</v>
      </c>
      <c r="E407" s="9" t="s">
        <v>1012</v>
      </c>
      <c r="F407" s="10">
        <v>44494</v>
      </c>
      <c r="G407" s="9" t="s">
        <v>1013</v>
      </c>
      <c r="I407" s="9" t="s">
        <v>1014</v>
      </c>
      <c r="J407" s="9" t="s">
        <v>1021</v>
      </c>
      <c r="K407" s="8" t="s">
        <v>1006</v>
      </c>
      <c r="L407" s="8" t="s">
        <v>1007</v>
      </c>
      <c r="M407" s="8" t="s">
        <v>2933</v>
      </c>
      <c r="N407" s="8" t="s">
        <v>2937</v>
      </c>
      <c r="O407" s="1" t="s">
        <v>2934</v>
      </c>
      <c r="P407">
        <v>30</v>
      </c>
      <c r="Q407">
        <v>30</v>
      </c>
      <c r="R407">
        <v>0</v>
      </c>
      <c r="S407">
        <f t="shared" si="62"/>
        <v>30</v>
      </c>
      <c r="T407" s="1" t="s">
        <v>2935</v>
      </c>
      <c r="U407" s="1" t="s">
        <v>2932</v>
      </c>
      <c r="V407" s="3">
        <f t="shared" si="63"/>
        <v>40000</v>
      </c>
      <c r="W407" s="3">
        <f t="shared" si="64"/>
        <v>16000</v>
      </c>
      <c r="X407" s="3">
        <f t="shared" si="56"/>
        <v>1250</v>
      </c>
      <c r="Y407" s="3">
        <f t="shared" si="57"/>
        <v>1600</v>
      </c>
      <c r="Z407" s="3">
        <f t="shared" si="58"/>
        <v>1800</v>
      </c>
      <c r="AA407" s="3">
        <v>0</v>
      </c>
      <c r="AB407" s="3">
        <f>ROUND(U407 - (V407+W407+X407+Y407) - (U407/Q407 * 2),0)</f>
        <v>34483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f>SUM(V407+W407+X407+Y407+AB407)</f>
        <v>93333</v>
      </c>
      <c r="AK407" s="3">
        <f>SUM(AJ407-AA407)</f>
        <v>93333</v>
      </c>
      <c r="AL407" s="3">
        <f>IF(V407&lt;=15000,V407*12%,1800)</f>
        <v>1800</v>
      </c>
      <c r="AM407" s="3">
        <v>0</v>
      </c>
      <c r="AN407" s="3">
        <f t="shared" si="59"/>
        <v>1800</v>
      </c>
      <c r="AO407" s="12">
        <v>200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3">
        <f t="shared" si="61"/>
        <v>200</v>
      </c>
      <c r="AV407" s="3">
        <f>SUM(AJ407 - AN407 - AU407)</f>
        <v>91333</v>
      </c>
      <c r="AW407" s="11">
        <v>0</v>
      </c>
      <c r="AX407" s="11">
        <v>0</v>
      </c>
      <c r="AY407" s="11">
        <v>0</v>
      </c>
      <c r="AZ407" s="11">
        <v>0</v>
      </c>
      <c r="BA407" s="3">
        <f t="shared" si="60"/>
        <v>91333</v>
      </c>
    </row>
    <row r="408" spans="1:53" x14ac:dyDescent="0.25">
      <c r="A408" s="1" t="s">
        <v>406</v>
      </c>
      <c r="B408" s="9" t="s">
        <v>1846</v>
      </c>
      <c r="C408" s="9" t="s">
        <v>1128</v>
      </c>
      <c r="D408" s="9" t="s">
        <v>1847</v>
      </c>
      <c r="E408" s="9" t="s">
        <v>1012</v>
      </c>
      <c r="F408" s="10">
        <v>44510</v>
      </c>
      <c r="G408" s="9" t="s">
        <v>1013</v>
      </c>
      <c r="I408" s="9" t="s">
        <v>1035</v>
      </c>
      <c r="J408" s="9" t="s">
        <v>1048</v>
      </c>
      <c r="K408" s="8" t="s">
        <v>1006</v>
      </c>
      <c r="L408" s="8" t="s">
        <v>1007</v>
      </c>
      <c r="M408" s="8" t="s">
        <v>2933</v>
      </c>
      <c r="N408" s="8" t="s">
        <v>2937</v>
      </c>
      <c r="O408" s="1" t="s">
        <v>2934</v>
      </c>
      <c r="P408">
        <v>30</v>
      </c>
      <c r="Q408">
        <v>30</v>
      </c>
      <c r="R408">
        <v>0</v>
      </c>
      <c r="S408">
        <f t="shared" si="62"/>
        <v>30</v>
      </c>
      <c r="T408" s="1" t="s">
        <v>2935</v>
      </c>
      <c r="U408" s="1" t="s">
        <v>2932</v>
      </c>
      <c r="V408" s="3">
        <f t="shared" si="63"/>
        <v>40000</v>
      </c>
      <c r="W408" s="3">
        <f t="shared" si="64"/>
        <v>16000</v>
      </c>
      <c r="X408" s="3">
        <f t="shared" si="56"/>
        <v>1250</v>
      </c>
      <c r="Y408" s="3">
        <f t="shared" si="57"/>
        <v>1600</v>
      </c>
      <c r="Z408" s="3">
        <f t="shared" si="58"/>
        <v>1800</v>
      </c>
      <c r="AA408" s="3">
        <v>0</v>
      </c>
      <c r="AB408" s="3">
        <f>ROUND(U408 - (V408+W408+X408+Y408) - (U408/Q408 * 2),0)</f>
        <v>34483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f>SUM(V408+W408+X408+Y408+AB408)</f>
        <v>93333</v>
      </c>
      <c r="AK408" s="3">
        <f>SUM(AJ408-AA408)</f>
        <v>93333</v>
      </c>
      <c r="AL408" s="3">
        <f>IF(V408&lt;=15000,V408*12%,1800)</f>
        <v>1800</v>
      </c>
      <c r="AM408" s="3">
        <v>0</v>
      </c>
      <c r="AN408" s="3">
        <f t="shared" si="59"/>
        <v>1800</v>
      </c>
      <c r="AO408" s="12">
        <v>200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3">
        <f t="shared" si="61"/>
        <v>200</v>
      </c>
      <c r="AV408" s="3">
        <f>SUM(AJ408 - AN408 - AU408)</f>
        <v>91333</v>
      </c>
      <c r="AW408" s="11">
        <v>0</v>
      </c>
      <c r="AX408" s="11">
        <v>0</v>
      </c>
      <c r="AY408" s="11">
        <v>0</v>
      </c>
      <c r="AZ408" s="11">
        <v>0</v>
      </c>
      <c r="BA408" s="3">
        <f t="shared" si="60"/>
        <v>91333</v>
      </c>
    </row>
    <row r="409" spans="1:53" x14ac:dyDescent="0.25">
      <c r="A409" s="1" t="s">
        <v>407</v>
      </c>
      <c r="B409" s="9" t="s">
        <v>1844</v>
      </c>
      <c r="C409" s="9" t="s">
        <v>1128</v>
      </c>
      <c r="D409" s="9" t="s">
        <v>1845</v>
      </c>
      <c r="E409" s="9" t="s">
        <v>1012</v>
      </c>
      <c r="F409" s="10">
        <v>44515</v>
      </c>
      <c r="G409" s="9" t="s">
        <v>1019</v>
      </c>
      <c r="I409" s="9" t="s">
        <v>1042</v>
      </c>
      <c r="J409" s="9" t="s">
        <v>1048</v>
      </c>
      <c r="K409" s="8" t="s">
        <v>1006</v>
      </c>
      <c r="L409" s="8" t="s">
        <v>1007</v>
      </c>
      <c r="M409" s="8" t="s">
        <v>2933</v>
      </c>
      <c r="N409" s="8" t="s">
        <v>2937</v>
      </c>
      <c r="O409" s="1" t="s">
        <v>2934</v>
      </c>
      <c r="P409">
        <v>30</v>
      </c>
      <c r="Q409">
        <v>30</v>
      </c>
      <c r="R409">
        <v>0</v>
      </c>
      <c r="S409">
        <f t="shared" si="62"/>
        <v>30</v>
      </c>
      <c r="T409" s="1" t="s">
        <v>2935</v>
      </c>
      <c r="U409" s="1" t="s">
        <v>2932</v>
      </c>
      <c r="V409" s="3">
        <f t="shared" si="63"/>
        <v>40000</v>
      </c>
      <c r="W409" s="3">
        <f t="shared" si="64"/>
        <v>16000</v>
      </c>
      <c r="X409" s="3">
        <f t="shared" si="56"/>
        <v>1250</v>
      </c>
      <c r="Y409" s="3">
        <f t="shared" si="57"/>
        <v>1600</v>
      </c>
      <c r="Z409" s="3">
        <f t="shared" si="58"/>
        <v>1800</v>
      </c>
      <c r="AA409" s="3">
        <v>0</v>
      </c>
      <c r="AB409" s="3">
        <f>ROUND(U409 - (V409+W409+X409+Y409) - (U409/Q409 * 2),0)</f>
        <v>34483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f>SUM(V409+W409+X409+Y409+AB409)</f>
        <v>93333</v>
      </c>
      <c r="AK409" s="3">
        <f>SUM(AJ409-AA409)</f>
        <v>93333</v>
      </c>
      <c r="AL409" s="3">
        <f>IF(V409&lt;=15000,V409*12%,1800)</f>
        <v>1800</v>
      </c>
      <c r="AM409" s="3">
        <v>0</v>
      </c>
      <c r="AN409" s="3">
        <f t="shared" si="59"/>
        <v>1800</v>
      </c>
      <c r="AO409" s="12">
        <v>200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3">
        <f t="shared" si="61"/>
        <v>200</v>
      </c>
      <c r="AV409" s="3">
        <f>SUM(AJ409 - AN409 - AU409)</f>
        <v>91333</v>
      </c>
      <c r="AW409" s="11">
        <v>0</v>
      </c>
      <c r="AX409" s="11">
        <v>0</v>
      </c>
      <c r="AY409" s="11">
        <v>0</v>
      </c>
      <c r="AZ409" s="11">
        <v>0</v>
      </c>
      <c r="BA409" s="3">
        <f t="shared" si="60"/>
        <v>91333</v>
      </c>
    </row>
    <row r="410" spans="1:53" x14ac:dyDescent="0.25">
      <c r="A410" s="1" t="s">
        <v>408</v>
      </c>
      <c r="B410" s="9" t="s">
        <v>1842</v>
      </c>
      <c r="C410" s="9" t="s">
        <v>1023</v>
      </c>
      <c r="D410" s="9" t="s">
        <v>1843</v>
      </c>
      <c r="E410" s="9" t="s">
        <v>1012</v>
      </c>
      <c r="F410" s="10">
        <v>44522</v>
      </c>
      <c r="G410" s="9" t="s">
        <v>1019</v>
      </c>
      <c r="I410" s="9" t="s">
        <v>1014</v>
      </c>
      <c r="J410" s="9" t="s">
        <v>1021</v>
      </c>
      <c r="K410" s="8" t="s">
        <v>1006</v>
      </c>
      <c r="L410" s="8" t="s">
        <v>1007</v>
      </c>
      <c r="M410" s="8" t="s">
        <v>2933</v>
      </c>
      <c r="N410" s="8" t="s">
        <v>2937</v>
      </c>
      <c r="O410" s="1" t="s">
        <v>2934</v>
      </c>
      <c r="P410">
        <v>30</v>
      </c>
      <c r="Q410">
        <v>30</v>
      </c>
      <c r="R410">
        <v>0</v>
      </c>
      <c r="S410">
        <f t="shared" si="62"/>
        <v>30</v>
      </c>
      <c r="T410" s="1" t="s">
        <v>2935</v>
      </c>
      <c r="U410" s="1" t="s">
        <v>2932</v>
      </c>
      <c r="V410" s="3">
        <f t="shared" si="63"/>
        <v>40000</v>
      </c>
      <c r="W410" s="3">
        <f t="shared" si="64"/>
        <v>16000</v>
      </c>
      <c r="X410" s="3">
        <f t="shared" si="56"/>
        <v>1250</v>
      </c>
      <c r="Y410" s="3">
        <f t="shared" si="57"/>
        <v>1600</v>
      </c>
      <c r="Z410" s="3">
        <f t="shared" si="58"/>
        <v>1800</v>
      </c>
      <c r="AA410" s="3">
        <v>0</v>
      </c>
      <c r="AB410" s="3">
        <f>ROUND(U410 - (V410+W410+X410+Y410) - (U410/Q410 * 2),0)</f>
        <v>34483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f>SUM(V410+W410+X410+Y410+AB410)</f>
        <v>93333</v>
      </c>
      <c r="AK410" s="3">
        <f>SUM(AJ410-AA410)</f>
        <v>93333</v>
      </c>
      <c r="AL410" s="3">
        <f>IF(V410&lt;=15000,V410*12%,1800)</f>
        <v>1800</v>
      </c>
      <c r="AM410" s="3">
        <v>0</v>
      </c>
      <c r="AN410" s="3">
        <f t="shared" si="59"/>
        <v>1800</v>
      </c>
      <c r="AO410" s="12">
        <v>200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3">
        <f t="shared" si="61"/>
        <v>200</v>
      </c>
      <c r="AV410" s="3">
        <f>SUM(AJ410 - AN410 - AU410)</f>
        <v>91333</v>
      </c>
      <c r="AW410" s="11">
        <v>0</v>
      </c>
      <c r="AX410" s="11">
        <v>0</v>
      </c>
      <c r="AY410" s="11">
        <v>0</v>
      </c>
      <c r="AZ410" s="11">
        <v>0</v>
      </c>
      <c r="BA410" s="3">
        <f t="shared" si="60"/>
        <v>91333</v>
      </c>
    </row>
    <row r="411" spans="1:53" x14ac:dyDescent="0.25">
      <c r="A411" s="1" t="s">
        <v>409</v>
      </c>
      <c r="B411" s="9" t="s">
        <v>1028</v>
      </c>
      <c r="C411" s="9" t="s">
        <v>1023</v>
      </c>
      <c r="D411" s="9" t="s">
        <v>1841</v>
      </c>
      <c r="E411" s="9" t="s">
        <v>1012</v>
      </c>
      <c r="F411" s="10">
        <v>44532</v>
      </c>
      <c r="G411" s="9" t="s">
        <v>1013</v>
      </c>
      <c r="I411" s="9" t="s">
        <v>1014</v>
      </c>
      <c r="J411" s="9" t="s">
        <v>1021</v>
      </c>
      <c r="K411" s="8" t="s">
        <v>1006</v>
      </c>
      <c r="L411" s="8" t="s">
        <v>1007</v>
      </c>
      <c r="M411" s="8" t="s">
        <v>2933</v>
      </c>
      <c r="N411" s="8" t="s">
        <v>2937</v>
      </c>
      <c r="O411" s="1" t="s">
        <v>2934</v>
      </c>
      <c r="P411">
        <v>30</v>
      </c>
      <c r="Q411">
        <v>30</v>
      </c>
      <c r="R411">
        <v>0</v>
      </c>
      <c r="S411">
        <f t="shared" si="62"/>
        <v>30</v>
      </c>
      <c r="T411" s="1" t="s">
        <v>2935</v>
      </c>
      <c r="U411" s="1" t="s">
        <v>2932</v>
      </c>
      <c r="V411" s="3">
        <f t="shared" si="63"/>
        <v>40000</v>
      </c>
      <c r="W411" s="3">
        <f t="shared" si="64"/>
        <v>16000</v>
      </c>
      <c r="X411" s="3">
        <f t="shared" si="56"/>
        <v>1250</v>
      </c>
      <c r="Y411" s="3">
        <f t="shared" si="57"/>
        <v>1600</v>
      </c>
      <c r="Z411" s="3">
        <f t="shared" si="58"/>
        <v>1800</v>
      </c>
      <c r="AA411" s="3">
        <v>0</v>
      </c>
      <c r="AB411" s="3">
        <f>ROUND(U411 - (V411+W411+X411+Y411) - (U411/Q411 * 2),0)</f>
        <v>34483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f>SUM(V411+W411+X411+Y411+AB411)</f>
        <v>93333</v>
      </c>
      <c r="AK411" s="3">
        <f>SUM(AJ411-AA411)</f>
        <v>93333</v>
      </c>
      <c r="AL411" s="3">
        <f>IF(V411&lt;=15000,V411*12%,1800)</f>
        <v>1800</v>
      </c>
      <c r="AM411" s="3">
        <v>0</v>
      </c>
      <c r="AN411" s="3">
        <f t="shared" si="59"/>
        <v>1800</v>
      </c>
      <c r="AO411" s="12">
        <v>200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3">
        <f t="shared" si="61"/>
        <v>200</v>
      </c>
      <c r="AV411" s="3">
        <f>SUM(AJ411 - AN411 - AU411)</f>
        <v>91333</v>
      </c>
      <c r="AW411" s="11">
        <v>0</v>
      </c>
      <c r="AX411" s="11">
        <v>0</v>
      </c>
      <c r="AY411" s="11">
        <v>0</v>
      </c>
      <c r="AZ411" s="11">
        <v>0</v>
      </c>
      <c r="BA411" s="3">
        <f t="shared" si="60"/>
        <v>91333</v>
      </c>
    </row>
    <row r="412" spans="1:53" x14ac:dyDescent="0.25">
      <c r="A412" s="1" t="s">
        <v>410</v>
      </c>
      <c r="B412" s="9" t="s">
        <v>1838</v>
      </c>
      <c r="C412" s="9" t="s">
        <v>1839</v>
      </c>
      <c r="D412" s="9" t="s">
        <v>1840</v>
      </c>
      <c r="E412" s="9" t="s">
        <v>1012</v>
      </c>
      <c r="F412" s="10">
        <v>44502</v>
      </c>
      <c r="G412" s="9" t="s">
        <v>1019</v>
      </c>
      <c r="I412" s="9" t="s">
        <v>1014</v>
      </c>
      <c r="J412" s="9" t="s">
        <v>1595</v>
      </c>
      <c r="K412" s="8" t="s">
        <v>1006</v>
      </c>
      <c r="L412" s="8" t="s">
        <v>1007</v>
      </c>
      <c r="M412" s="8" t="s">
        <v>2933</v>
      </c>
      <c r="N412" s="8" t="s">
        <v>2937</v>
      </c>
      <c r="O412" s="1" t="s">
        <v>2934</v>
      </c>
      <c r="P412">
        <v>30</v>
      </c>
      <c r="Q412">
        <v>30</v>
      </c>
      <c r="R412">
        <v>0</v>
      </c>
      <c r="S412">
        <f t="shared" si="62"/>
        <v>30</v>
      </c>
      <c r="T412" s="1" t="s">
        <v>2935</v>
      </c>
      <c r="U412" s="1" t="s">
        <v>2932</v>
      </c>
      <c r="V412" s="3">
        <f t="shared" si="63"/>
        <v>40000</v>
      </c>
      <c r="W412" s="3">
        <f t="shared" si="64"/>
        <v>16000</v>
      </c>
      <c r="X412" s="3">
        <f t="shared" si="56"/>
        <v>1250</v>
      </c>
      <c r="Y412" s="3">
        <f t="shared" si="57"/>
        <v>1600</v>
      </c>
      <c r="Z412" s="3">
        <f t="shared" si="58"/>
        <v>1800</v>
      </c>
      <c r="AA412" s="3">
        <v>0</v>
      </c>
      <c r="AB412" s="3">
        <f>ROUND(U412 - (V412+W412+X412+Y412) - (U412/Q412 * 2),0)</f>
        <v>34483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f>SUM(V412+W412+X412+Y412+AB412)</f>
        <v>93333</v>
      </c>
      <c r="AK412" s="3">
        <f>SUM(AJ412-AA412)</f>
        <v>93333</v>
      </c>
      <c r="AL412" s="3">
        <f>IF(V412&lt;=15000,V412*12%,1800)</f>
        <v>1800</v>
      </c>
      <c r="AM412" s="3">
        <v>0</v>
      </c>
      <c r="AN412" s="3">
        <f t="shared" si="59"/>
        <v>1800</v>
      </c>
      <c r="AO412" s="12">
        <v>200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3">
        <f t="shared" si="61"/>
        <v>200</v>
      </c>
      <c r="AV412" s="3">
        <f>SUM(AJ412 - AN412 - AU412)</f>
        <v>91333</v>
      </c>
      <c r="AW412" s="11">
        <v>0</v>
      </c>
      <c r="AX412" s="11">
        <v>0</v>
      </c>
      <c r="AY412" s="11">
        <v>0</v>
      </c>
      <c r="AZ412" s="11">
        <v>0</v>
      </c>
      <c r="BA412" s="3">
        <f t="shared" si="60"/>
        <v>91333</v>
      </c>
    </row>
    <row r="413" spans="1:53" x14ac:dyDescent="0.25">
      <c r="A413" s="1" t="s">
        <v>411</v>
      </c>
      <c r="B413" s="9" t="s">
        <v>1836</v>
      </c>
      <c r="C413" s="9" t="s">
        <v>1309</v>
      </c>
      <c r="D413" s="9" t="s">
        <v>1837</v>
      </c>
      <c r="E413" s="9" t="s">
        <v>1012</v>
      </c>
      <c r="F413" s="10">
        <v>44543</v>
      </c>
      <c r="G413" s="9" t="s">
        <v>1019</v>
      </c>
      <c r="I413" s="9" t="s">
        <v>1035</v>
      </c>
      <c r="J413" s="9" t="s">
        <v>1048</v>
      </c>
      <c r="K413" s="8" t="s">
        <v>1006</v>
      </c>
      <c r="L413" s="8" t="s">
        <v>1007</v>
      </c>
      <c r="M413" s="8" t="s">
        <v>2933</v>
      </c>
      <c r="N413" s="8" t="s">
        <v>2937</v>
      </c>
      <c r="O413" s="1" t="s">
        <v>2934</v>
      </c>
      <c r="P413">
        <v>30</v>
      </c>
      <c r="Q413">
        <v>30</v>
      </c>
      <c r="R413">
        <v>0</v>
      </c>
      <c r="S413">
        <f t="shared" si="62"/>
        <v>30</v>
      </c>
      <c r="T413" s="1" t="s">
        <v>2935</v>
      </c>
      <c r="U413" s="1" t="s">
        <v>2932</v>
      </c>
      <c r="V413" s="3">
        <f t="shared" si="63"/>
        <v>40000</v>
      </c>
      <c r="W413" s="3">
        <f t="shared" si="64"/>
        <v>16000</v>
      </c>
      <c r="X413" s="3">
        <f t="shared" si="56"/>
        <v>1250</v>
      </c>
      <c r="Y413" s="3">
        <f t="shared" si="57"/>
        <v>1600</v>
      </c>
      <c r="Z413" s="3">
        <f t="shared" si="58"/>
        <v>1800</v>
      </c>
      <c r="AA413" s="3">
        <v>0</v>
      </c>
      <c r="AB413" s="3">
        <f>ROUND(U413 - (V413+W413+X413+Y413) - (U413/Q413 * 2),0)</f>
        <v>34483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f>SUM(V413+W413+X413+Y413+AB413)</f>
        <v>93333</v>
      </c>
      <c r="AK413" s="3">
        <f>SUM(AJ413-AA413)</f>
        <v>93333</v>
      </c>
      <c r="AL413" s="3">
        <f>IF(V413&lt;=15000,V413*12%,1800)</f>
        <v>1800</v>
      </c>
      <c r="AM413" s="3">
        <v>0</v>
      </c>
      <c r="AN413" s="3">
        <f t="shared" si="59"/>
        <v>1800</v>
      </c>
      <c r="AO413" s="12">
        <v>200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3">
        <f t="shared" si="61"/>
        <v>200</v>
      </c>
      <c r="AV413" s="3">
        <f>SUM(AJ413 - AN413 - AU413)</f>
        <v>91333</v>
      </c>
      <c r="AW413" s="11">
        <v>0</v>
      </c>
      <c r="AX413" s="11">
        <v>0</v>
      </c>
      <c r="AY413" s="11">
        <v>0</v>
      </c>
      <c r="AZ413" s="11">
        <v>0</v>
      </c>
      <c r="BA413" s="3">
        <f t="shared" si="60"/>
        <v>91333</v>
      </c>
    </row>
    <row r="414" spans="1:53" x14ac:dyDescent="0.25">
      <c r="A414" s="1" t="s">
        <v>412</v>
      </c>
      <c r="B414" s="9" t="s">
        <v>1834</v>
      </c>
      <c r="C414" s="9" t="s">
        <v>1115</v>
      </c>
      <c r="D414" s="9" t="s">
        <v>1835</v>
      </c>
      <c r="E414" s="9" t="s">
        <v>1008</v>
      </c>
      <c r="F414" s="10">
        <v>44543</v>
      </c>
      <c r="G414" s="9" t="s">
        <v>1013</v>
      </c>
      <c r="I414" s="9" t="s">
        <v>1035</v>
      </c>
      <c r="J414" s="9" t="s">
        <v>1048</v>
      </c>
      <c r="K414" s="8" t="s">
        <v>1006</v>
      </c>
      <c r="L414" s="8" t="s">
        <v>1007</v>
      </c>
      <c r="M414" s="8" t="s">
        <v>2933</v>
      </c>
      <c r="N414" s="8" t="s">
        <v>2937</v>
      </c>
      <c r="O414" s="1" t="s">
        <v>2934</v>
      </c>
      <c r="P414">
        <v>30</v>
      </c>
      <c r="Q414">
        <v>30</v>
      </c>
      <c r="R414">
        <v>0</v>
      </c>
      <c r="S414">
        <f t="shared" si="62"/>
        <v>30</v>
      </c>
      <c r="T414" s="1" t="s">
        <v>2935</v>
      </c>
      <c r="U414" s="1" t="s">
        <v>2932</v>
      </c>
      <c r="V414" s="3">
        <f t="shared" si="63"/>
        <v>40000</v>
      </c>
      <c r="W414" s="3">
        <f t="shared" si="64"/>
        <v>16000</v>
      </c>
      <c r="X414" s="3">
        <f t="shared" si="56"/>
        <v>1250</v>
      </c>
      <c r="Y414" s="3">
        <f t="shared" si="57"/>
        <v>1600</v>
      </c>
      <c r="Z414" s="3">
        <f t="shared" si="58"/>
        <v>1800</v>
      </c>
      <c r="AA414" s="3">
        <v>0</v>
      </c>
      <c r="AB414" s="3">
        <f>ROUND(U414 - (V414+W414+X414+Y414) - (U414/Q414 * 2),0)</f>
        <v>34483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f>SUM(V414+W414+X414+Y414+AB414)</f>
        <v>93333</v>
      </c>
      <c r="AK414" s="3">
        <f>SUM(AJ414-AA414)</f>
        <v>93333</v>
      </c>
      <c r="AL414" s="3">
        <f>IF(V414&lt;=15000,V414*12%,1800)</f>
        <v>1800</v>
      </c>
      <c r="AM414" s="3">
        <v>0</v>
      </c>
      <c r="AN414" s="3">
        <f t="shared" si="59"/>
        <v>1800</v>
      </c>
      <c r="AO414" s="12">
        <v>200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3">
        <f t="shared" si="61"/>
        <v>200</v>
      </c>
      <c r="AV414" s="3">
        <f>SUM(AJ414 - AN414 - AU414)</f>
        <v>91333</v>
      </c>
      <c r="AW414" s="11">
        <v>0</v>
      </c>
      <c r="AX414" s="11">
        <v>0</v>
      </c>
      <c r="AY414" s="11">
        <v>0</v>
      </c>
      <c r="AZ414" s="11">
        <v>0</v>
      </c>
      <c r="BA414" s="3">
        <f t="shared" si="60"/>
        <v>91333</v>
      </c>
    </row>
    <row r="415" spans="1:53" x14ac:dyDescent="0.25">
      <c r="A415" s="1" t="s">
        <v>413</v>
      </c>
      <c r="B415" s="9" t="s">
        <v>1892</v>
      </c>
      <c r="C415" s="9" t="s">
        <v>1115</v>
      </c>
      <c r="D415" s="9" t="s">
        <v>1893</v>
      </c>
      <c r="E415" s="9" t="s">
        <v>1012</v>
      </c>
      <c r="F415" s="10">
        <v>44545</v>
      </c>
      <c r="G415" s="9" t="s">
        <v>1013</v>
      </c>
      <c r="I415" s="9" t="s">
        <v>1035</v>
      </c>
      <c r="J415" s="9" t="s">
        <v>1048</v>
      </c>
      <c r="K415" s="8" t="s">
        <v>1006</v>
      </c>
      <c r="L415" s="8" t="s">
        <v>1007</v>
      </c>
      <c r="M415" s="8" t="s">
        <v>2933</v>
      </c>
      <c r="N415" s="8" t="s">
        <v>2937</v>
      </c>
      <c r="O415" s="1" t="s">
        <v>2934</v>
      </c>
      <c r="P415">
        <v>30</v>
      </c>
      <c r="Q415">
        <v>30</v>
      </c>
      <c r="R415">
        <v>0</v>
      </c>
      <c r="S415">
        <f t="shared" si="62"/>
        <v>30</v>
      </c>
      <c r="T415" s="1" t="s">
        <v>2935</v>
      </c>
      <c r="U415" s="1" t="s">
        <v>2932</v>
      </c>
      <c r="V415" s="3">
        <f t="shared" si="63"/>
        <v>40000</v>
      </c>
      <c r="W415" s="3">
        <f t="shared" si="64"/>
        <v>16000</v>
      </c>
      <c r="X415" s="3">
        <f t="shared" si="56"/>
        <v>1250</v>
      </c>
      <c r="Y415" s="3">
        <f t="shared" si="57"/>
        <v>1600</v>
      </c>
      <c r="Z415" s="3">
        <f t="shared" si="58"/>
        <v>1800</v>
      </c>
      <c r="AA415" s="3">
        <v>0</v>
      </c>
      <c r="AB415" s="3">
        <f>ROUND(U415 - (V415+W415+X415+Y415) - (U415/Q415 * 2),0)</f>
        <v>34483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f>SUM(V415+W415+X415+Y415+AB415)</f>
        <v>93333</v>
      </c>
      <c r="AK415" s="3">
        <f>SUM(AJ415-AA415)</f>
        <v>93333</v>
      </c>
      <c r="AL415" s="3">
        <f>IF(V415&lt;=15000,V415*12%,1800)</f>
        <v>1800</v>
      </c>
      <c r="AM415" s="3">
        <v>0</v>
      </c>
      <c r="AN415" s="3">
        <f t="shared" si="59"/>
        <v>1800</v>
      </c>
      <c r="AO415" s="12">
        <v>200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3">
        <f t="shared" si="61"/>
        <v>200</v>
      </c>
      <c r="AV415" s="3">
        <f>SUM(AJ415 - AN415 - AU415)</f>
        <v>91333</v>
      </c>
      <c r="AW415" s="11">
        <v>0</v>
      </c>
      <c r="AX415" s="11">
        <v>0</v>
      </c>
      <c r="AY415" s="11">
        <v>0</v>
      </c>
      <c r="AZ415" s="11">
        <v>0</v>
      </c>
      <c r="BA415" s="3">
        <f t="shared" si="60"/>
        <v>91333</v>
      </c>
    </row>
    <row r="416" spans="1:53" x14ac:dyDescent="0.25">
      <c r="A416" s="1" t="s">
        <v>414</v>
      </c>
      <c r="B416" s="9" t="s">
        <v>1890</v>
      </c>
      <c r="C416" s="9" t="s">
        <v>1023</v>
      </c>
      <c r="D416" s="9" t="s">
        <v>1891</v>
      </c>
      <c r="E416" s="9" t="s">
        <v>1012</v>
      </c>
      <c r="F416" s="10">
        <v>44564</v>
      </c>
      <c r="G416" s="9" t="s">
        <v>1013</v>
      </c>
      <c r="I416" s="9" t="s">
        <v>1014</v>
      </c>
      <c r="J416" s="9" t="s">
        <v>1021</v>
      </c>
      <c r="K416" s="8" t="s">
        <v>1006</v>
      </c>
      <c r="L416" s="8" t="s">
        <v>1007</v>
      </c>
      <c r="M416" s="8" t="s">
        <v>2933</v>
      </c>
      <c r="N416" s="8" t="s">
        <v>2937</v>
      </c>
      <c r="O416" s="1" t="s">
        <v>2934</v>
      </c>
      <c r="P416">
        <v>30</v>
      </c>
      <c r="Q416">
        <v>30</v>
      </c>
      <c r="R416">
        <v>0</v>
      </c>
      <c r="S416">
        <f t="shared" si="62"/>
        <v>30</v>
      </c>
      <c r="T416" s="1" t="s">
        <v>2935</v>
      </c>
      <c r="U416" s="1" t="s">
        <v>2932</v>
      </c>
      <c r="V416" s="3">
        <f t="shared" si="63"/>
        <v>40000</v>
      </c>
      <c r="W416" s="3">
        <f t="shared" si="64"/>
        <v>16000</v>
      </c>
      <c r="X416" s="3">
        <f t="shared" si="56"/>
        <v>1250</v>
      </c>
      <c r="Y416" s="3">
        <f t="shared" si="57"/>
        <v>1600</v>
      </c>
      <c r="Z416" s="3">
        <f t="shared" si="58"/>
        <v>1800</v>
      </c>
      <c r="AA416" s="3">
        <v>0</v>
      </c>
      <c r="AB416" s="3">
        <f>ROUND(U416 - (V416+W416+X416+Y416) - (U416/Q416 * 2),0)</f>
        <v>34483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f>SUM(V416+W416+X416+Y416+AB416)</f>
        <v>93333</v>
      </c>
      <c r="AK416" s="3">
        <f>SUM(AJ416-AA416)</f>
        <v>93333</v>
      </c>
      <c r="AL416" s="3">
        <f>IF(V416&lt;=15000,V416*12%,1800)</f>
        <v>1800</v>
      </c>
      <c r="AM416" s="3">
        <v>0</v>
      </c>
      <c r="AN416" s="3">
        <f t="shared" si="59"/>
        <v>1800</v>
      </c>
      <c r="AO416" s="12">
        <v>200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3">
        <f t="shared" si="61"/>
        <v>200</v>
      </c>
      <c r="AV416" s="3">
        <f>SUM(AJ416 - AN416 - AU416)</f>
        <v>91333</v>
      </c>
      <c r="AW416" s="11">
        <v>0</v>
      </c>
      <c r="AX416" s="11">
        <v>0</v>
      </c>
      <c r="AY416" s="11">
        <v>0</v>
      </c>
      <c r="AZ416" s="11">
        <v>0</v>
      </c>
      <c r="BA416" s="3">
        <f t="shared" si="60"/>
        <v>91333</v>
      </c>
    </row>
    <row r="417" spans="1:53" x14ac:dyDescent="0.25">
      <c r="A417" s="1" t="s">
        <v>415</v>
      </c>
      <c r="B417" s="9" t="s">
        <v>1888</v>
      </c>
      <c r="C417" s="9" t="s">
        <v>1320</v>
      </c>
      <c r="D417" s="9" t="s">
        <v>1889</v>
      </c>
      <c r="E417" s="9" t="s">
        <v>1012</v>
      </c>
      <c r="F417" s="10">
        <v>44543</v>
      </c>
      <c r="G417" s="9" t="s">
        <v>1019</v>
      </c>
      <c r="I417" s="9" t="s">
        <v>1014</v>
      </c>
      <c r="J417" s="9" t="s">
        <v>1015</v>
      </c>
      <c r="K417" s="8" t="s">
        <v>1006</v>
      </c>
      <c r="L417" s="8" t="s">
        <v>1007</v>
      </c>
      <c r="M417" s="8" t="s">
        <v>2933</v>
      </c>
      <c r="N417" s="8" t="s">
        <v>2937</v>
      </c>
      <c r="O417" s="1" t="s">
        <v>2934</v>
      </c>
      <c r="P417">
        <v>30</v>
      </c>
      <c r="Q417">
        <v>30</v>
      </c>
      <c r="R417">
        <v>0</v>
      </c>
      <c r="S417">
        <f t="shared" si="62"/>
        <v>30</v>
      </c>
      <c r="T417" s="1" t="s">
        <v>2935</v>
      </c>
      <c r="U417" s="1" t="s">
        <v>2932</v>
      </c>
      <c r="V417" s="3">
        <f t="shared" si="63"/>
        <v>40000</v>
      </c>
      <c r="W417" s="3">
        <f t="shared" si="64"/>
        <v>16000</v>
      </c>
      <c r="X417" s="3">
        <f t="shared" si="56"/>
        <v>1250</v>
      </c>
      <c r="Y417" s="3">
        <f t="shared" si="57"/>
        <v>1600</v>
      </c>
      <c r="Z417" s="3">
        <f t="shared" si="58"/>
        <v>1800</v>
      </c>
      <c r="AA417" s="3">
        <v>0</v>
      </c>
      <c r="AB417" s="3">
        <f>ROUND(U417 - (V417+W417+X417+Y417) - (U417/Q417 * 2),0)</f>
        <v>34483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f>SUM(V417+W417+X417+Y417+AB417)</f>
        <v>93333</v>
      </c>
      <c r="AK417" s="3">
        <f>SUM(AJ417-AA417)</f>
        <v>93333</v>
      </c>
      <c r="AL417" s="3">
        <f>IF(V417&lt;=15000,V417*12%,1800)</f>
        <v>1800</v>
      </c>
      <c r="AM417" s="3">
        <v>0</v>
      </c>
      <c r="AN417" s="3">
        <f t="shared" si="59"/>
        <v>1800</v>
      </c>
      <c r="AO417" s="12">
        <v>200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3">
        <f t="shared" si="61"/>
        <v>200</v>
      </c>
      <c r="AV417" s="3">
        <f>SUM(AJ417 - AN417 - AU417)</f>
        <v>91333</v>
      </c>
      <c r="AW417" s="11">
        <v>0</v>
      </c>
      <c r="AX417" s="11">
        <v>0</v>
      </c>
      <c r="AY417" s="11">
        <v>0</v>
      </c>
      <c r="AZ417" s="11">
        <v>0</v>
      </c>
      <c r="BA417" s="3">
        <f t="shared" si="60"/>
        <v>91333</v>
      </c>
    </row>
    <row r="418" spans="1:53" x14ac:dyDescent="0.25">
      <c r="A418" s="1" t="s">
        <v>416</v>
      </c>
      <c r="B418" s="9" t="s">
        <v>1886</v>
      </c>
      <c r="C418" s="9" t="s">
        <v>1115</v>
      </c>
      <c r="D418" s="9" t="s">
        <v>1887</v>
      </c>
      <c r="E418" s="9" t="s">
        <v>1012</v>
      </c>
      <c r="F418" s="10">
        <v>44550</v>
      </c>
      <c r="G418" s="9" t="s">
        <v>1013</v>
      </c>
      <c r="I418" s="9" t="s">
        <v>1042</v>
      </c>
      <c r="J418" s="9" t="s">
        <v>1048</v>
      </c>
      <c r="K418" s="8" t="s">
        <v>1006</v>
      </c>
      <c r="L418" s="8" t="s">
        <v>1007</v>
      </c>
      <c r="M418" s="8" t="s">
        <v>2933</v>
      </c>
      <c r="N418" s="8" t="s">
        <v>2937</v>
      </c>
      <c r="O418" s="1" t="s">
        <v>2934</v>
      </c>
      <c r="P418">
        <v>30</v>
      </c>
      <c r="Q418">
        <v>30</v>
      </c>
      <c r="R418">
        <v>0</v>
      </c>
      <c r="S418">
        <f t="shared" si="62"/>
        <v>30</v>
      </c>
      <c r="T418" s="1" t="s">
        <v>2935</v>
      </c>
      <c r="U418" s="1" t="s">
        <v>2932</v>
      </c>
      <c r="V418" s="3">
        <f t="shared" si="63"/>
        <v>40000</v>
      </c>
      <c r="W418" s="3">
        <f t="shared" si="64"/>
        <v>16000</v>
      </c>
      <c r="X418" s="3">
        <f t="shared" si="56"/>
        <v>1250</v>
      </c>
      <c r="Y418" s="3">
        <f t="shared" si="57"/>
        <v>1600</v>
      </c>
      <c r="Z418" s="3">
        <f t="shared" si="58"/>
        <v>1800</v>
      </c>
      <c r="AA418" s="3">
        <v>0</v>
      </c>
      <c r="AB418" s="3">
        <f>ROUND(U418 - (V418+W418+X418+Y418) - (U418/Q418 * 2),0)</f>
        <v>34483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f>SUM(V418+W418+X418+Y418+AB418)</f>
        <v>93333</v>
      </c>
      <c r="AK418" s="3">
        <f>SUM(AJ418-AA418)</f>
        <v>93333</v>
      </c>
      <c r="AL418" s="3">
        <f>IF(V418&lt;=15000,V418*12%,1800)</f>
        <v>1800</v>
      </c>
      <c r="AM418" s="3">
        <v>0</v>
      </c>
      <c r="AN418" s="3">
        <f t="shared" si="59"/>
        <v>1800</v>
      </c>
      <c r="AO418" s="12">
        <v>200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3">
        <f t="shared" si="61"/>
        <v>200</v>
      </c>
      <c r="AV418" s="3">
        <f>SUM(AJ418 - AN418 - AU418)</f>
        <v>91333</v>
      </c>
      <c r="AW418" s="11">
        <v>0</v>
      </c>
      <c r="AX418" s="11">
        <v>0</v>
      </c>
      <c r="AY418" s="11">
        <v>0</v>
      </c>
      <c r="AZ418" s="11">
        <v>0</v>
      </c>
      <c r="BA418" s="3">
        <f t="shared" si="60"/>
        <v>91333</v>
      </c>
    </row>
    <row r="419" spans="1:53" x14ac:dyDescent="0.25">
      <c r="A419" s="1" t="s">
        <v>417</v>
      </c>
      <c r="B419" s="9" t="s">
        <v>1884</v>
      </c>
      <c r="C419" s="9" t="s">
        <v>1128</v>
      </c>
      <c r="D419" s="9" t="s">
        <v>1885</v>
      </c>
      <c r="E419" s="9" t="s">
        <v>1012</v>
      </c>
      <c r="F419" s="10">
        <v>44550</v>
      </c>
      <c r="G419" s="9" t="s">
        <v>1019</v>
      </c>
      <c r="I419" s="9" t="s">
        <v>1209</v>
      </c>
      <c r="J419" s="9" t="s">
        <v>1048</v>
      </c>
      <c r="K419" s="8" t="s">
        <v>1006</v>
      </c>
      <c r="L419" s="8" t="s">
        <v>1007</v>
      </c>
      <c r="M419" s="8" t="s">
        <v>2933</v>
      </c>
      <c r="N419" s="8" t="s">
        <v>2937</v>
      </c>
      <c r="O419" s="1" t="s">
        <v>2934</v>
      </c>
      <c r="P419">
        <v>30</v>
      </c>
      <c r="Q419">
        <v>30</v>
      </c>
      <c r="R419">
        <v>0</v>
      </c>
      <c r="S419">
        <f t="shared" si="62"/>
        <v>30</v>
      </c>
      <c r="T419" s="1" t="s">
        <v>2935</v>
      </c>
      <c r="U419" s="1" t="s">
        <v>2932</v>
      </c>
      <c r="V419" s="3">
        <f t="shared" si="63"/>
        <v>40000</v>
      </c>
      <c r="W419" s="3">
        <f t="shared" si="64"/>
        <v>16000</v>
      </c>
      <c r="X419" s="3">
        <f t="shared" si="56"/>
        <v>1250</v>
      </c>
      <c r="Y419" s="3">
        <f t="shared" si="57"/>
        <v>1600</v>
      </c>
      <c r="Z419" s="3">
        <f t="shared" si="58"/>
        <v>1800</v>
      </c>
      <c r="AA419" s="3">
        <v>0</v>
      </c>
      <c r="AB419" s="3">
        <f>ROUND(U419 - (V419+W419+X419+Y419) - (U419/Q419 * 2),0)</f>
        <v>34483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f>SUM(V419+W419+X419+Y419+AB419)</f>
        <v>93333</v>
      </c>
      <c r="AK419" s="3">
        <f>SUM(AJ419-AA419)</f>
        <v>93333</v>
      </c>
      <c r="AL419" s="3">
        <f>IF(V419&lt;=15000,V419*12%,1800)</f>
        <v>1800</v>
      </c>
      <c r="AM419" s="3">
        <v>0</v>
      </c>
      <c r="AN419" s="3">
        <f t="shared" si="59"/>
        <v>1800</v>
      </c>
      <c r="AO419" s="12">
        <v>200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3">
        <f t="shared" si="61"/>
        <v>200</v>
      </c>
      <c r="AV419" s="3">
        <f>SUM(AJ419 - AN419 - AU419)</f>
        <v>91333</v>
      </c>
      <c r="AW419" s="11">
        <v>0</v>
      </c>
      <c r="AX419" s="11">
        <v>0</v>
      </c>
      <c r="AY419" s="11">
        <v>0</v>
      </c>
      <c r="AZ419" s="11">
        <v>0</v>
      </c>
      <c r="BA419" s="3">
        <f t="shared" si="60"/>
        <v>91333</v>
      </c>
    </row>
    <row r="420" spans="1:53" x14ac:dyDescent="0.25">
      <c r="A420" s="1" t="s">
        <v>418</v>
      </c>
      <c r="B420" s="9" t="s">
        <v>1181</v>
      </c>
      <c r="C420" s="9" t="s">
        <v>1023</v>
      </c>
      <c r="D420" s="9" t="s">
        <v>1883</v>
      </c>
      <c r="E420" s="9" t="s">
        <v>1012</v>
      </c>
      <c r="F420" s="10">
        <v>44550</v>
      </c>
      <c r="G420" s="9" t="s">
        <v>1013</v>
      </c>
      <c r="I420" s="9" t="s">
        <v>1014</v>
      </c>
      <c r="J420" s="9" t="s">
        <v>1021</v>
      </c>
      <c r="K420" s="8" t="s">
        <v>1006</v>
      </c>
      <c r="L420" s="8" t="s">
        <v>1007</v>
      </c>
      <c r="M420" s="8" t="s">
        <v>2933</v>
      </c>
      <c r="N420" s="8" t="s">
        <v>2937</v>
      </c>
      <c r="O420" s="1" t="s">
        <v>2934</v>
      </c>
      <c r="P420">
        <v>30</v>
      </c>
      <c r="Q420">
        <v>30</v>
      </c>
      <c r="R420">
        <v>0</v>
      </c>
      <c r="S420">
        <f t="shared" si="62"/>
        <v>30</v>
      </c>
      <c r="T420" s="1" t="s">
        <v>2935</v>
      </c>
      <c r="U420" s="1" t="s">
        <v>2932</v>
      </c>
      <c r="V420" s="3">
        <f t="shared" si="63"/>
        <v>40000</v>
      </c>
      <c r="W420" s="3">
        <f t="shared" si="64"/>
        <v>16000</v>
      </c>
      <c r="X420" s="3">
        <f t="shared" si="56"/>
        <v>1250</v>
      </c>
      <c r="Y420" s="3">
        <f t="shared" si="57"/>
        <v>1600</v>
      </c>
      <c r="Z420" s="3">
        <f t="shared" si="58"/>
        <v>1800</v>
      </c>
      <c r="AA420" s="3">
        <v>0</v>
      </c>
      <c r="AB420" s="3">
        <f>ROUND(U420 - (V420+W420+X420+Y420) - (U420/Q420 * 2),0)</f>
        <v>34483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f>SUM(V420+W420+X420+Y420+AB420)</f>
        <v>93333</v>
      </c>
      <c r="AK420" s="3">
        <f>SUM(AJ420-AA420)</f>
        <v>93333</v>
      </c>
      <c r="AL420" s="3">
        <f>IF(V420&lt;=15000,V420*12%,1800)</f>
        <v>1800</v>
      </c>
      <c r="AM420" s="3">
        <v>0</v>
      </c>
      <c r="AN420" s="3">
        <f t="shared" si="59"/>
        <v>1800</v>
      </c>
      <c r="AO420" s="12">
        <v>200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3">
        <f t="shared" si="61"/>
        <v>200</v>
      </c>
      <c r="AV420" s="3">
        <f>SUM(AJ420 - AN420 - AU420)</f>
        <v>91333</v>
      </c>
      <c r="AW420" s="11">
        <v>0</v>
      </c>
      <c r="AX420" s="11">
        <v>0</v>
      </c>
      <c r="AY420" s="11">
        <v>0</v>
      </c>
      <c r="AZ420" s="11">
        <v>0</v>
      </c>
      <c r="BA420" s="3">
        <f t="shared" si="60"/>
        <v>91333</v>
      </c>
    </row>
    <row r="421" spans="1:53" x14ac:dyDescent="0.25">
      <c r="A421" s="1" t="s">
        <v>419</v>
      </c>
      <c r="B421" s="9" t="s">
        <v>1882</v>
      </c>
      <c r="C421" s="9" t="s">
        <v>1067</v>
      </c>
      <c r="D421" s="9">
        <v>0</v>
      </c>
      <c r="E421" s="9" t="s">
        <v>1012</v>
      </c>
      <c r="F421" s="10">
        <v>44109</v>
      </c>
      <c r="G421" s="9" t="s">
        <v>1013</v>
      </c>
      <c r="I421" s="9" t="s">
        <v>1035</v>
      </c>
      <c r="J421" s="9" t="s">
        <v>1048</v>
      </c>
      <c r="K421" s="8" t="s">
        <v>1006</v>
      </c>
      <c r="L421" s="8" t="s">
        <v>1007</v>
      </c>
      <c r="M421" s="8" t="s">
        <v>2933</v>
      </c>
      <c r="N421" s="8" t="s">
        <v>2937</v>
      </c>
      <c r="O421" s="1" t="s">
        <v>2934</v>
      </c>
      <c r="P421">
        <v>30</v>
      </c>
      <c r="Q421">
        <v>30</v>
      </c>
      <c r="R421">
        <v>0</v>
      </c>
      <c r="S421">
        <f t="shared" si="62"/>
        <v>30</v>
      </c>
      <c r="T421" s="1" t="s">
        <v>2935</v>
      </c>
      <c r="U421" s="1" t="s">
        <v>2932</v>
      </c>
      <c r="V421" s="3">
        <f t="shared" si="63"/>
        <v>40000</v>
      </c>
      <c r="W421" s="3">
        <f t="shared" si="64"/>
        <v>16000</v>
      </c>
      <c r="X421" s="3">
        <f t="shared" si="56"/>
        <v>1250</v>
      </c>
      <c r="Y421" s="3">
        <f t="shared" si="57"/>
        <v>1600</v>
      </c>
      <c r="Z421" s="3">
        <f t="shared" si="58"/>
        <v>1800</v>
      </c>
      <c r="AA421" s="3">
        <v>0</v>
      </c>
      <c r="AB421" s="3">
        <f>ROUND(U421 - (V421+W421+X421+Y421) - (U421/Q421 * 2),0)</f>
        <v>34483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f>SUM(V421+W421+X421+Y421+AB421)</f>
        <v>93333</v>
      </c>
      <c r="AK421" s="3">
        <f>SUM(AJ421-AA421)</f>
        <v>93333</v>
      </c>
      <c r="AL421" s="3">
        <f>IF(V421&lt;=15000,V421*12%,1800)</f>
        <v>1800</v>
      </c>
      <c r="AM421" s="3">
        <v>0</v>
      </c>
      <c r="AN421" s="3">
        <f t="shared" si="59"/>
        <v>1800</v>
      </c>
      <c r="AO421" s="12">
        <v>200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3">
        <f t="shared" si="61"/>
        <v>200</v>
      </c>
      <c r="AV421" s="3">
        <f>SUM(AJ421 - AN421 - AU421)</f>
        <v>91333</v>
      </c>
      <c r="AW421" s="11">
        <v>0</v>
      </c>
      <c r="AX421" s="11">
        <v>0</v>
      </c>
      <c r="AY421" s="11">
        <v>0</v>
      </c>
      <c r="AZ421" s="11">
        <v>0</v>
      </c>
      <c r="BA421" s="3">
        <f t="shared" si="60"/>
        <v>91333</v>
      </c>
    </row>
    <row r="422" spans="1:53" x14ac:dyDescent="0.25">
      <c r="A422" s="1" t="s">
        <v>420</v>
      </c>
      <c r="B422" s="9" t="s">
        <v>1880</v>
      </c>
      <c r="C422" s="9" t="s">
        <v>1023</v>
      </c>
      <c r="D422" s="9" t="s">
        <v>1881</v>
      </c>
      <c r="E422" s="9" t="s">
        <v>1012</v>
      </c>
      <c r="F422" s="10">
        <v>44564</v>
      </c>
      <c r="G422" s="9" t="s">
        <v>1013</v>
      </c>
      <c r="I422" s="9" t="s">
        <v>1014</v>
      </c>
      <c r="J422" s="9" t="s">
        <v>1021</v>
      </c>
      <c r="K422" s="8" t="s">
        <v>1006</v>
      </c>
      <c r="L422" s="8" t="s">
        <v>1007</v>
      </c>
      <c r="M422" s="8" t="s">
        <v>2933</v>
      </c>
      <c r="N422" s="8" t="s">
        <v>2937</v>
      </c>
      <c r="O422" s="1" t="s">
        <v>2934</v>
      </c>
      <c r="P422">
        <v>30</v>
      </c>
      <c r="Q422">
        <v>30</v>
      </c>
      <c r="R422">
        <v>0</v>
      </c>
      <c r="S422">
        <f t="shared" si="62"/>
        <v>30</v>
      </c>
      <c r="T422" s="1" t="s">
        <v>2935</v>
      </c>
      <c r="U422" s="1" t="s">
        <v>2932</v>
      </c>
      <c r="V422" s="3">
        <f t="shared" si="63"/>
        <v>40000</v>
      </c>
      <c r="W422" s="3">
        <f t="shared" si="64"/>
        <v>16000</v>
      </c>
      <c r="X422" s="3">
        <f t="shared" si="56"/>
        <v>1250</v>
      </c>
      <c r="Y422" s="3">
        <f t="shared" si="57"/>
        <v>1600</v>
      </c>
      <c r="Z422" s="3">
        <f t="shared" si="58"/>
        <v>1800</v>
      </c>
      <c r="AA422" s="3">
        <v>0</v>
      </c>
      <c r="AB422" s="3">
        <f>ROUND(U422 - (V422+W422+X422+Y422) - (U422/Q422 * 2),0)</f>
        <v>34483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f>SUM(V422+W422+X422+Y422+AB422)</f>
        <v>93333</v>
      </c>
      <c r="AK422" s="3">
        <f>SUM(AJ422-AA422)</f>
        <v>93333</v>
      </c>
      <c r="AL422" s="3">
        <f>IF(V422&lt;=15000,V422*12%,1800)</f>
        <v>1800</v>
      </c>
      <c r="AM422" s="3">
        <v>0</v>
      </c>
      <c r="AN422" s="3">
        <f t="shared" si="59"/>
        <v>1800</v>
      </c>
      <c r="AO422" s="12">
        <v>200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3">
        <f t="shared" si="61"/>
        <v>200</v>
      </c>
      <c r="AV422" s="3">
        <f>SUM(AJ422 - AN422 - AU422)</f>
        <v>91333</v>
      </c>
      <c r="AW422" s="11">
        <v>0</v>
      </c>
      <c r="AX422" s="11">
        <v>0</v>
      </c>
      <c r="AY422" s="11">
        <v>0</v>
      </c>
      <c r="AZ422" s="11">
        <v>0</v>
      </c>
      <c r="BA422" s="3">
        <f t="shared" si="60"/>
        <v>91333</v>
      </c>
    </row>
    <row r="423" spans="1:53" x14ac:dyDescent="0.25">
      <c r="A423" s="1" t="s">
        <v>421</v>
      </c>
      <c r="B423" s="9" t="s">
        <v>1738</v>
      </c>
      <c r="C423" s="9" t="s">
        <v>1878</v>
      </c>
      <c r="D423" s="9" t="s">
        <v>1879</v>
      </c>
      <c r="E423" s="9" t="s">
        <v>1012</v>
      </c>
      <c r="F423" s="10">
        <v>44571</v>
      </c>
      <c r="G423" s="9" t="s">
        <v>1019</v>
      </c>
      <c r="I423" s="9" t="s">
        <v>1035</v>
      </c>
      <c r="J423" s="9" t="s">
        <v>1048</v>
      </c>
      <c r="K423" s="8" t="s">
        <v>1006</v>
      </c>
      <c r="L423" s="8" t="s">
        <v>1007</v>
      </c>
      <c r="M423" s="8" t="s">
        <v>2933</v>
      </c>
      <c r="N423" s="8" t="s">
        <v>2937</v>
      </c>
      <c r="O423" s="1" t="s">
        <v>2934</v>
      </c>
      <c r="P423">
        <v>30</v>
      </c>
      <c r="Q423">
        <v>30</v>
      </c>
      <c r="R423">
        <v>0</v>
      </c>
      <c r="S423">
        <f t="shared" si="62"/>
        <v>30</v>
      </c>
      <c r="T423" s="1" t="s">
        <v>2935</v>
      </c>
      <c r="U423" s="1" t="s">
        <v>2932</v>
      </c>
      <c r="V423" s="3">
        <f t="shared" si="63"/>
        <v>40000</v>
      </c>
      <c r="W423" s="3">
        <f t="shared" si="64"/>
        <v>16000</v>
      </c>
      <c r="X423" s="3">
        <f t="shared" si="56"/>
        <v>1250</v>
      </c>
      <c r="Y423" s="3">
        <f t="shared" si="57"/>
        <v>1600</v>
      </c>
      <c r="Z423" s="3">
        <f t="shared" si="58"/>
        <v>1800</v>
      </c>
      <c r="AA423" s="3">
        <v>0</v>
      </c>
      <c r="AB423" s="3">
        <f>ROUND(U423 - (V423+W423+X423+Y423) - (U423/Q423 * 2),0)</f>
        <v>34483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f>SUM(V423+W423+X423+Y423+AB423)</f>
        <v>93333</v>
      </c>
      <c r="AK423" s="3">
        <f>SUM(AJ423-AA423)</f>
        <v>93333</v>
      </c>
      <c r="AL423" s="3">
        <f>IF(V423&lt;=15000,V423*12%,1800)</f>
        <v>1800</v>
      </c>
      <c r="AM423" s="3">
        <v>0</v>
      </c>
      <c r="AN423" s="3">
        <f t="shared" si="59"/>
        <v>1800</v>
      </c>
      <c r="AO423" s="12">
        <v>200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3">
        <f t="shared" si="61"/>
        <v>200</v>
      </c>
      <c r="AV423" s="3">
        <f>SUM(AJ423 - AN423 - AU423)</f>
        <v>91333</v>
      </c>
      <c r="AW423" s="11">
        <v>0</v>
      </c>
      <c r="AX423" s="11">
        <v>0</v>
      </c>
      <c r="AY423" s="11">
        <v>0</v>
      </c>
      <c r="AZ423" s="11">
        <v>0</v>
      </c>
      <c r="BA423" s="3">
        <f t="shared" si="60"/>
        <v>91333</v>
      </c>
    </row>
    <row r="424" spans="1:53" x14ac:dyDescent="0.25">
      <c r="A424" s="1" t="s">
        <v>422</v>
      </c>
      <c r="B424" s="9" t="s">
        <v>1876</v>
      </c>
      <c r="C424" s="9" t="s">
        <v>1063</v>
      </c>
      <c r="D424" s="9" t="s">
        <v>1877</v>
      </c>
      <c r="E424" s="9" t="s">
        <v>1012</v>
      </c>
      <c r="F424" s="10">
        <v>44564</v>
      </c>
      <c r="G424" s="9" t="s">
        <v>1019</v>
      </c>
      <c r="I424" s="9" t="s">
        <v>1014</v>
      </c>
      <c r="J424" s="9" t="s">
        <v>1015</v>
      </c>
      <c r="K424" s="8" t="s">
        <v>1006</v>
      </c>
      <c r="L424" s="8" t="s">
        <v>1007</v>
      </c>
      <c r="M424" s="8" t="s">
        <v>2933</v>
      </c>
      <c r="N424" s="8" t="s">
        <v>2937</v>
      </c>
      <c r="O424" s="1" t="s">
        <v>2934</v>
      </c>
      <c r="P424">
        <v>30</v>
      </c>
      <c r="Q424">
        <v>30</v>
      </c>
      <c r="R424">
        <v>0</v>
      </c>
      <c r="S424">
        <f t="shared" si="62"/>
        <v>30</v>
      </c>
      <c r="T424" s="1" t="s">
        <v>2935</v>
      </c>
      <c r="U424" s="1" t="s">
        <v>2932</v>
      </c>
      <c r="V424" s="3">
        <f t="shared" si="63"/>
        <v>40000</v>
      </c>
      <c r="W424" s="3">
        <f t="shared" si="64"/>
        <v>16000</v>
      </c>
      <c r="X424" s="3">
        <f t="shared" si="56"/>
        <v>1250</v>
      </c>
      <c r="Y424" s="3">
        <f t="shared" si="57"/>
        <v>1600</v>
      </c>
      <c r="Z424" s="3">
        <f t="shared" si="58"/>
        <v>1800</v>
      </c>
      <c r="AA424" s="3">
        <v>0</v>
      </c>
      <c r="AB424" s="3">
        <f>ROUND(U424 - (V424+W424+X424+Y424) - (U424/Q424 * 2),0)</f>
        <v>34483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f>SUM(V424+W424+X424+Y424+AB424)</f>
        <v>93333</v>
      </c>
      <c r="AK424" s="3">
        <f>SUM(AJ424-AA424)</f>
        <v>93333</v>
      </c>
      <c r="AL424" s="3">
        <f>IF(V424&lt;=15000,V424*12%,1800)</f>
        <v>1800</v>
      </c>
      <c r="AM424" s="3">
        <v>0</v>
      </c>
      <c r="AN424" s="3">
        <f t="shared" si="59"/>
        <v>1800</v>
      </c>
      <c r="AO424" s="12">
        <v>200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3">
        <f t="shared" si="61"/>
        <v>200</v>
      </c>
      <c r="AV424" s="3">
        <f>SUM(AJ424 - AN424 - AU424)</f>
        <v>91333</v>
      </c>
      <c r="AW424" s="11">
        <v>0</v>
      </c>
      <c r="AX424" s="11">
        <v>0</v>
      </c>
      <c r="AY424" s="11">
        <v>0</v>
      </c>
      <c r="AZ424" s="11">
        <v>0</v>
      </c>
      <c r="BA424" s="3">
        <f t="shared" si="60"/>
        <v>91333</v>
      </c>
    </row>
    <row r="425" spans="1:53" x14ac:dyDescent="0.25">
      <c r="A425" s="1" t="s">
        <v>423</v>
      </c>
      <c r="B425" s="9" t="s">
        <v>1875</v>
      </c>
      <c r="C425" s="9" t="s">
        <v>1029</v>
      </c>
      <c r="D425" s="9">
        <v>0</v>
      </c>
      <c r="E425" s="9" t="s">
        <v>1012</v>
      </c>
      <c r="F425" s="10">
        <v>44578</v>
      </c>
      <c r="G425" s="9" t="s">
        <v>1013</v>
      </c>
      <c r="I425" s="9" t="s">
        <v>1042</v>
      </c>
      <c r="J425" s="9" t="s">
        <v>1031</v>
      </c>
      <c r="K425" s="8" t="s">
        <v>1006</v>
      </c>
      <c r="L425" s="8" t="s">
        <v>1007</v>
      </c>
      <c r="M425" s="8" t="s">
        <v>2933</v>
      </c>
      <c r="N425" s="8" t="s">
        <v>2937</v>
      </c>
      <c r="O425" s="1" t="s">
        <v>2934</v>
      </c>
      <c r="P425">
        <v>30</v>
      </c>
      <c r="Q425">
        <v>30</v>
      </c>
      <c r="R425">
        <v>0</v>
      </c>
      <c r="S425">
        <f t="shared" si="62"/>
        <v>30</v>
      </c>
      <c r="T425" s="1" t="s">
        <v>2935</v>
      </c>
      <c r="U425" s="1" t="s">
        <v>2932</v>
      </c>
      <c r="V425" s="3">
        <f t="shared" si="63"/>
        <v>40000</v>
      </c>
      <c r="W425" s="3">
        <f t="shared" si="64"/>
        <v>16000</v>
      </c>
      <c r="X425" s="3">
        <f t="shared" si="56"/>
        <v>1250</v>
      </c>
      <c r="Y425" s="3">
        <f t="shared" si="57"/>
        <v>1600</v>
      </c>
      <c r="Z425" s="3">
        <f t="shared" si="58"/>
        <v>1800</v>
      </c>
      <c r="AA425" s="3">
        <v>0</v>
      </c>
      <c r="AB425" s="3">
        <f>ROUND(U425 - (V425+W425+X425+Y425) - (U425/Q425 * 2),0)</f>
        <v>34483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f>SUM(V425+W425+X425+Y425+AB425)</f>
        <v>93333</v>
      </c>
      <c r="AK425" s="3">
        <f>SUM(AJ425-AA425)</f>
        <v>93333</v>
      </c>
      <c r="AL425" s="3">
        <f>IF(V425&lt;=15000,V425*12%,1800)</f>
        <v>1800</v>
      </c>
      <c r="AM425" s="3">
        <v>0</v>
      </c>
      <c r="AN425" s="3">
        <f t="shared" si="59"/>
        <v>1800</v>
      </c>
      <c r="AO425" s="12">
        <v>200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3">
        <f t="shared" si="61"/>
        <v>200</v>
      </c>
      <c r="AV425" s="3">
        <f>SUM(AJ425 - AN425 - AU425)</f>
        <v>91333</v>
      </c>
      <c r="AW425" s="11">
        <v>0</v>
      </c>
      <c r="AX425" s="11">
        <v>0</v>
      </c>
      <c r="AY425" s="11">
        <v>0</v>
      </c>
      <c r="AZ425" s="11">
        <v>0</v>
      </c>
      <c r="BA425" s="3">
        <f t="shared" si="60"/>
        <v>91333</v>
      </c>
    </row>
    <row r="426" spans="1:53" x14ac:dyDescent="0.25">
      <c r="A426" s="1" t="s">
        <v>424</v>
      </c>
      <c r="B426" s="9" t="s">
        <v>1873</v>
      </c>
      <c r="C426" s="9" t="s">
        <v>1063</v>
      </c>
      <c r="D426" s="9" t="s">
        <v>1874</v>
      </c>
      <c r="E426" s="9" t="s">
        <v>1012</v>
      </c>
      <c r="F426" s="10">
        <v>44564</v>
      </c>
      <c r="G426" s="9" t="s">
        <v>1019</v>
      </c>
      <c r="I426" s="9" t="s">
        <v>1014</v>
      </c>
      <c r="J426" s="9" t="s">
        <v>1015</v>
      </c>
      <c r="K426" s="8" t="s">
        <v>1006</v>
      </c>
      <c r="L426" s="8" t="s">
        <v>1007</v>
      </c>
      <c r="M426" s="8" t="s">
        <v>2933</v>
      </c>
      <c r="N426" s="8" t="s">
        <v>2937</v>
      </c>
      <c r="O426" s="1" t="s">
        <v>2934</v>
      </c>
      <c r="P426">
        <v>30</v>
      </c>
      <c r="Q426">
        <v>30</v>
      </c>
      <c r="R426">
        <v>0</v>
      </c>
      <c r="S426">
        <f t="shared" si="62"/>
        <v>30</v>
      </c>
      <c r="T426" s="1" t="s">
        <v>2935</v>
      </c>
      <c r="U426" s="1" t="s">
        <v>2932</v>
      </c>
      <c r="V426" s="3">
        <f t="shared" si="63"/>
        <v>40000</v>
      </c>
      <c r="W426" s="3">
        <f t="shared" si="64"/>
        <v>16000</v>
      </c>
      <c r="X426" s="3">
        <f t="shared" si="56"/>
        <v>1250</v>
      </c>
      <c r="Y426" s="3">
        <f t="shared" si="57"/>
        <v>1600</v>
      </c>
      <c r="Z426" s="3">
        <f t="shared" si="58"/>
        <v>1800</v>
      </c>
      <c r="AA426" s="3">
        <v>0</v>
      </c>
      <c r="AB426" s="3">
        <f>ROUND(U426 - (V426+W426+X426+Y426) - (U426/Q426 * 2),0)</f>
        <v>34483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f>SUM(V426+W426+X426+Y426+AB426)</f>
        <v>93333</v>
      </c>
      <c r="AK426" s="3">
        <f>SUM(AJ426-AA426)</f>
        <v>93333</v>
      </c>
      <c r="AL426" s="3">
        <f>IF(V426&lt;=15000,V426*12%,1800)</f>
        <v>1800</v>
      </c>
      <c r="AM426" s="3">
        <v>0</v>
      </c>
      <c r="AN426" s="3">
        <f t="shared" si="59"/>
        <v>1800</v>
      </c>
      <c r="AO426" s="12">
        <v>200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3">
        <f t="shared" si="61"/>
        <v>200</v>
      </c>
      <c r="AV426" s="3">
        <f>SUM(AJ426 - AN426 - AU426)</f>
        <v>91333</v>
      </c>
      <c r="AW426" s="11">
        <v>0</v>
      </c>
      <c r="AX426" s="11">
        <v>0</v>
      </c>
      <c r="AY426" s="11">
        <v>0</v>
      </c>
      <c r="AZ426" s="11">
        <v>0</v>
      </c>
      <c r="BA426" s="3">
        <f t="shared" si="60"/>
        <v>91333</v>
      </c>
    </row>
    <row r="427" spans="1:53" x14ac:dyDescent="0.25">
      <c r="A427" s="1" t="s">
        <v>425</v>
      </c>
      <c r="B427" s="9" t="s">
        <v>1074</v>
      </c>
      <c r="C427" s="9" t="s">
        <v>1063</v>
      </c>
      <c r="D427" s="9" t="s">
        <v>1872</v>
      </c>
      <c r="E427" s="9" t="s">
        <v>1008</v>
      </c>
      <c r="F427" s="10">
        <v>45880</v>
      </c>
      <c r="G427" s="9" t="s">
        <v>1013</v>
      </c>
      <c r="I427" s="9" t="s">
        <v>1014</v>
      </c>
      <c r="J427" s="9" t="s">
        <v>1015</v>
      </c>
      <c r="K427" s="8" t="s">
        <v>1006</v>
      </c>
      <c r="L427" s="8" t="s">
        <v>1007</v>
      </c>
      <c r="M427" s="8" t="s">
        <v>2933</v>
      </c>
      <c r="N427" s="8" t="s">
        <v>2937</v>
      </c>
      <c r="O427" s="1" t="s">
        <v>2934</v>
      </c>
      <c r="P427">
        <v>30</v>
      </c>
      <c r="Q427">
        <v>30</v>
      </c>
      <c r="R427">
        <v>0</v>
      </c>
      <c r="S427">
        <f t="shared" si="62"/>
        <v>30</v>
      </c>
      <c r="T427" s="1" t="s">
        <v>2935</v>
      </c>
      <c r="U427" s="1" t="s">
        <v>2932</v>
      </c>
      <c r="V427" s="3">
        <f t="shared" si="63"/>
        <v>40000</v>
      </c>
      <c r="W427" s="3">
        <f t="shared" si="64"/>
        <v>16000</v>
      </c>
      <c r="X427" s="3">
        <f t="shared" si="56"/>
        <v>1250</v>
      </c>
      <c r="Y427" s="3">
        <f t="shared" si="57"/>
        <v>1600</v>
      </c>
      <c r="Z427" s="3">
        <f t="shared" si="58"/>
        <v>1800</v>
      </c>
      <c r="AA427" s="3">
        <v>0</v>
      </c>
      <c r="AB427" s="3">
        <f>ROUND(U427 - (V427+W427+X427+Y427) - (U427/Q427 * 2),0)</f>
        <v>34483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f>SUM(V427+W427+X427+Y427+AB427)</f>
        <v>93333</v>
      </c>
      <c r="AK427" s="3">
        <f>SUM(AJ427-AA427)</f>
        <v>93333</v>
      </c>
      <c r="AL427" s="3">
        <f>IF(V427&lt;=15000,V427*12%,1800)</f>
        <v>1800</v>
      </c>
      <c r="AM427" s="3">
        <v>0</v>
      </c>
      <c r="AN427" s="3">
        <f t="shared" si="59"/>
        <v>1800</v>
      </c>
      <c r="AO427" s="12">
        <v>200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3">
        <f t="shared" si="61"/>
        <v>200</v>
      </c>
      <c r="AV427" s="3">
        <f>SUM(AJ427 - AN427 - AU427)</f>
        <v>91333</v>
      </c>
      <c r="AW427" s="11">
        <v>0</v>
      </c>
      <c r="AX427" s="11">
        <v>0</v>
      </c>
      <c r="AY427" s="11">
        <v>0</v>
      </c>
      <c r="AZ427" s="11">
        <v>0</v>
      </c>
      <c r="BA427" s="3">
        <f t="shared" si="60"/>
        <v>91333</v>
      </c>
    </row>
    <row r="428" spans="1:53" x14ac:dyDescent="0.25">
      <c r="A428" s="1" t="s">
        <v>426</v>
      </c>
      <c r="B428" s="9" t="s">
        <v>1870</v>
      </c>
      <c r="C428" s="9" t="s">
        <v>1023</v>
      </c>
      <c r="D428" s="9" t="s">
        <v>1871</v>
      </c>
      <c r="E428" s="9" t="s">
        <v>1012</v>
      </c>
      <c r="F428" s="10">
        <v>44567</v>
      </c>
      <c r="G428" s="9" t="s">
        <v>1013</v>
      </c>
      <c r="I428" s="9" t="s">
        <v>1014</v>
      </c>
      <c r="J428" s="9" t="s">
        <v>1021</v>
      </c>
      <c r="K428" s="8" t="s">
        <v>1006</v>
      </c>
      <c r="L428" s="8" t="s">
        <v>1007</v>
      </c>
      <c r="M428" s="8" t="s">
        <v>2933</v>
      </c>
      <c r="N428" s="8" t="s">
        <v>2937</v>
      </c>
      <c r="O428" s="1" t="s">
        <v>2934</v>
      </c>
      <c r="P428">
        <v>30</v>
      </c>
      <c r="Q428">
        <v>30</v>
      </c>
      <c r="R428">
        <v>0</v>
      </c>
      <c r="S428">
        <f t="shared" si="62"/>
        <v>30</v>
      </c>
      <c r="T428" s="1" t="s">
        <v>2935</v>
      </c>
      <c r="U428" s="1" t="s">
        <v>2932</v>
      </c>
      <c r="V428" s="3">
        <f t="shared" si="63"/>
        <v>40000</v>
      </c>
      <c r="W428" s="3">
        <f t="shared" si="64"/>
        <v>16000</v>
      </c>
      <c r="X428" s="3">
        <f t="shared" si="56"/>
        <v>1250</v>
      </c>
      <c r="Y428" s="3">
        <f t="shared" si="57"/>
        <v>1600</v>
      </c>
      <c r="Z428" s="3">
        <f t="shared" si="58"/>
        <v>1800</v>
      </c>
      <c r="AA428" s="3">
        <v>0</v>
      </c>
      <c r="AB428" s="3">
        <f>ROUND(U428 - (V428+W428+X428+Y428) - (U428/Q428 * 2),0)</f>
        <v>34483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f>SUM(V428+W428+X428+Y428+AB428)</f>
        <v>93333</v>
      </c>
      <c r="AK428" s="3">
        <f>SUM(AJ428-AA428)</f>
        <v>93333</v>
      </c>
      <c r="AL428" s="3">
        <f>IF(V428&lt;=15000,V428*12%,1800)</f>
        <v>1800</v>
      </c>
      <c r="AM428" s="3">
        <v>0</v>
      </c>
      <c r="AN428" s="3">
        <f t="shared" si="59"/>
        <v>1800</v>
      </c>
      <c r="AO428" s="12">
        <v>200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3">
        <f t="shared" si="61"/>
        <v>200</v>
      </c>
      <c r="AV428" s="3">
        <f>SUM(AJ428 - AN428 - AU428)</f>
        <v>91333</v>
      </c>
      <c r="AW428" s="11">
        <v>0</v>
      </c>
      <c r="AX428" s="11">
        <v>0</v>
      </c>
      <c r="AY428" s="11">
        <v>0</v>
      </c>
      <c r="AZ428" s="11">
        <v>0</v>
      </c>
      <c r="BA428" s="3">
        <f t="shared" si="60"/>
        <v>91333</v>
      </c>
    </row>
    <row r="429" spans="1:53" x14ac:dyDescent="0.25">
      <c r="A429" s="1" t="s">
        <v>427</v>
      </c>
      <c r="B429" s="9" t="s">
        <v>1867</v>
      </c>
      <c r="C429" s="9" t="s">
        <v>1868</v>
      </c>
      <c r="D429" s="9" t="s">
        <v>1869</v>
      </c>
      <c r="E429" s="9" t="s">
        <v>1012</v>
      </c>
      <c r="F429" s="10">
        <v>44573</v>
      </c>
      <c r="G429" s="9" t="s">
        <v>1013</v>
      </c>
      <c r="I429" s="9" t="s">
        <v>1035</v>
      </c>
      <c r="J429" s="9" t="s">
        <v>1440</v>
      </c>
      <c r="K429" s="8" t="s">
        <v>1006</v>
      </c>
      <c r="L429" s="8" t="s">
        <v>1007</v>
      </c>
      <c r="M429" s="8" t="s">
        <v>2933</v>
      </c>
      <c r="N429" s="8" t="s">
        <v>2937</v>
      </c>
      <c r="O429" s="1" t="s">
        <v>2934</v>
      </c>
      <c r="P429">
        <v>30</v>
      </c>
      <c r="Q429">
        <v>30</v>
      </c>
      <c r="R429">
        <v>0</v>
      </c>
      <c r="S429">
        <f t="shared" si="62"/>
        <v>30</v>
      </c>
      <c r="T429" s="1" t="s">
        <v>2935</v>
      </c>
      <c r="U429" s="1" t="s">
        <v>2932</v>
      </c>
      <c r="V429" s="3">
        <f t="shared" si="63"/>
        <v>40000</v>
      </c>
      <c r="W429" s="3">
        <f t="shared" si="64"/>
        <v>16000</v>
      </c>
      <c r="X429" s="3">
        <f t="shared" si="56"/>
        <v>1250</v>
      </c>
      <c r="Y429" s="3">
        <f t="shared" si="57"/>
        <v>1600</v>
      </c>
      <c r="Z429" s="3">
        <f t="shared" si="58"/>
        <v>1800</v>
      </c>
      <c r="AA429" s="3">
        <v>0</v>
      </c>
      <c r="AB429" s="3">
        <f>ROUND(U429 - (V429+W429+X429+Y429) - (U429/Q429 * 2),0)</f>
        <v>34483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f>SUM(V429+W429+X429+Y429+AB429)</f>
        <v>93333</v>
      </c>
      <c r="AK429" s="3">
        <f>SUM(AJ429-AA429)</f>
        <v>93333</v>
      </c>
      <c r="AL429" s="3">
        <f>IF(V429&lt;=15000,V429*12%,1800)</f>
        <v>1800</v>
      </c>
      <c r="AM429" s="3">
        <v>0</v>
      </c>
      <c r="AN429" s="3">
        <f t="shared" si="59"/>
        <v>1800</v>
      </c>
      <c r="AO429" s="12">
        <v>200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3">
        <f t="shared" si="61"/>
        <v>200</v>
      </c>
      <c r="AV429" s="3">
        <f>SUM(AJ429 - AN429 - AU429)</f>
        <v>91333</v>
      </c>
      <c r="AW429" s="11">
        <v>0</v>
      </c>
      <c r="AX429" s="11">
        <v>0</v>
      </c>
      <c r="AY429" s="11">
        <v>0</v>
      </c>
      <c r="AZ429" s="11">
        <v>0</v>
      </c>
      <c r="BA429" s="3">
        <f t="shared" si="60"/>
        <v>91333</v>
      </c>
    </row>
    <row r="430" spans="1:53" x14ac:dyDescent="0.25">
      <c r="A430" s="1" t="s">
        <v>428</v>
      </c>
      <c r="B430" s="9" t="s">
        <v>1865</v>
      </c>
      <c r="C430" s="9" t="s">
        <v>1663</v>
      </c>
      <c r="D430" s="9" t="s">
        <v>1866</v>
      </c>
      <c r="E430" s="9" t="s">
        <v>1012</v>
      </c>
      <c r="F430" s="10">
        <v>44573</v>
      </c>
      <c r="G430" s="9" t="s">
        <v>1013</v>
      </c>
      <c r="I430" s="9" t="s">
        <v>1035</v>
      </c>
      <c r="J430" s="9" t="s">
        <v>1440</v>
      </c>
      <c r="K430" s="8" t="s">
        <v>1006</v>
      </c>
      <c r="L430" s="8" t="s">
        <v>1007</v>
      </c>
      <c r="M430" s="8" t="s">
        <v>2933</v>
      </c>
      <c r="N430" s="8" t="s">
        <v>2937</v>
      </c>
      <c r="O430" s="1" t="s">
        <v>2934</v>
      </c>
      <c r="P430">
        <v>30</v>
      </c>
      <c r="Q430">
        <v>30</v>
      </c>
      <c r="R430">
        <v>0</v>
      </c>
      <c r="S430">
        <f t="shared" si="62"/>
        <v>30</v>
      </c>
      <c r="T430" s="1" t="s">
        <v>2935</v>
      </c>
      <c r="U430" s="1" t="s">
        <v>2932</v>
      </c>
      <c r="V430" s="3">
        <f t="shared" si="63"/>
        <v>40000</v>
      </c>
      <c r="W430" s="3">
        <f t="shared" si="64"/>
        <v>16000</v>
      </c>
      <c r="X430" s="3">
        <f t="shared" si="56"/>
        <v>1250</v>
      </c>
      <c r="Y430" s="3">
        <f t="shared" si="57"/>
        <v>1600</v>
      </c>
      <c r="Z430" s="3">
        <f t="shared" si="58"/>
        <v>1800</v>
      </c>
      <c r="AA430" s="3">
        <v>0</v>
      </c>
      <c r="AB430" s="3">
        <f>ROUND(U430 - (V430+W430+X430+Y430) - (U430/Q430 * 2),0)</f>
        <v>34483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f>SUM(V430+W430+X430+Y430+AB430)</f>
        <v>93333</v>
      </c>
      <c r="AK430" s="3">
        <f>SUM(AJ430-AA430)</f>
        <v>93333</v>
      </c>
      <c r="AL430" s="3">
        <f>IF(V430&lt;=15000,V430*12%,1800)</f>
        <v>1800</v>
      </c>
      <c r="AM430" s="3">
        <v>0</v>
      </c>
      <c r="AN430" s="3">
        <f t="shared" si="59"/>
        <v>1800</v>
      </c>
      <c r="AO430" s="12">
        <v>200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3">
        <f t="shared" si="61"/>
        <v>200</v>
      </c>
      <c r="AV430" s="3">
        <f>SUM(AJ430 - AN430 - AU430)</f>
        <v>91333</v>
      </c>
      <c r="AW430" s="11">
        <v>0</v>
      </c>
      <c r="AX430" s="11">
        <v>0</v>
      </c>
      <c r="AY430" s="11">
        <v>0</v>
      </c>
      <c r="AZ430" s="11">
        <v>0</v>
      </c>
      <c r="BA430" s="3">
        <f t="shared" si="60"/>
        <v>91333</v>
      </c>
    </row>
    <row r="431" spans="1:53" x14ac:dyDescent="0.25">
      <c r="A431" s="1" t="s">
        <v>429</v>
      </c>
      <c r="B431" s="9" t="s">
        <v>1922</v>
      </c>
      <c r="C431" s="9" t="s">
        <v>1128</v>
      </c>
      <c r="D431" s="9" t="s">
        <v>1923</v>
      </c>
      <c r="E431" s="9" t="s">
        <v>1012</v>
      </c>
      <c r="F431" s="10">
        <v>44578</v>
      </c>
      <c r="G431" s="9" t="s">
        <v>1013</v>
      </c>
      <c r="I431" s="9" t="s">
        <v>1035</v>
      </c>
      <c r="J431" s="9" t="s">
        <v>1048</v>
      </c>
      <c r="K431" s="8" t="s">
        <v>1006</v>
      </c>
      <c r="L431" s="8" t="s">
        <v>1007</v>
      </c>
      <c r="M431" s="8" t="s">
        <v>2933</v>
      </c>
      <c r="N431" s="8" t="s">
        <v>2937</v>
      </c>
      <c r="O431" s="1" t="s">
        <v>2934</v>
      </c>
      <c r="P431">
        <v>30</v>
      </c>
      <c r="Q431">
        <v>30</v>
      </c>
      <c r="R431">
        <v>0</v>
      </c>
      <c r="S431">
        <f t="shared" si="62"/>
        <v>30</v>
      </c>
      <c r="T431" s="1" t="s">
        <v>2935</v>
      </c>
      <c r="U431" s="1" t="s">
        <v>2932</v>
      </c>
      <c r="V431" s="3">
        <f t="shared" si="63"/>
        <v>40000</v>
      </c>
      <c r="W431" s="3">
        <f t="shared" si="64"/>
        <v>16000</v>
      </c>
      <c r="X431" s="3">
        <f t="shared" si="56"/>
        <v>1250</v>
      </c>
      <c r="Y431" s="3">
        <f t="shared" si="57"/>
        <v>1600</v>
      </c>
      <c r="Z431" s="3">
        <f t="shared" si="58"/>
        <v>1800</v>
      </c>
      <c r="AA431" s="3">
        <v>0</v>
      </c>
      <c r="AB431" s="3">
        <f>ROUND(U431 - (V431+W431+X431+Y431) - (U431/Q431 * 2),0)</f>
        <v>34483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f>SUM(V431+W431+X431+Y431+AB431)</f>
        <v>93333</v>
      </c>
      <c r="AK431" s="3">
        <f>SUM(AJ431-AA431)</f>
        <v>93333</v>
      </c>
      <c r="AL431" s="3">
        <f>IF(V431&lt;=15000,V431*12%,1800)</f>
        <v>1800</v>
      </c>
      <c r="AM431" s="3">
        <v>0</v>
      </c>
      <c r="AN431" s="3">
        <f t="shared" si="59"/>
        <v>1800</v>
      </c>
      <c r="AO431" s="12">
        <v>200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3">
        <f t="shared" si="61"/>
        <v>200</v>
      </c>
      <c r="AV431" s="3">
        <f>SUM(AJ431 - AN431 - AU431)</f>
        <v>91333</v>
      </c>
      <c r="AW431" s="11">
        <v>0</v>
      </c>
      <c r="AX431" s="11">
        <v>0</v>
      </c>
      <c r="AY431" s="11">
        <v>0</v>
      </c>
      <c r="AZ431" s="11">
        <v>0</v>
      </c>
      <c r="BA431" s="3">
        <f t="shared" si="60"/>
        <v>91333</v>
      </c>
    </row>
    <row r="432" spans="1:53" x14ac:dyDescent="0.25">
      <c r="A432" s="1" t="s">
        <v>430</v>
      </c>
      <c r="B432" s="9" t="s">
        <v>1346</v>
      </c>
      <c r="C432" s="9" t="s">
        <v>1663</v>
      </c>
      <c r="D432" s="9" t="s">
        <v>1921</v>
      </c>
      <c r="E432" s="9" t="s">
        <v>1012</v>
      </c>
      <c r="F432" s="10">
        <v>44578</v>
      </c>
      <c r="G432" s="9" t="s">
        <v>1013</v>
      </c>
      <c r="I432" s="9" t="s">
        <v>1035</v>
      </c>
      <c r="J432" s="9" t="s">
        <v>1440</v>
      </c>
      <c r="K432" s="8" t="s">
        <v>1006</v>
      </c>
      <c r="L432" s="8" t="s">
        <v>1007</v>
      </c>
      <c r="M432" s="8" t="s">
        <v>2933</v>
      </c>
      <c r="N432" s="8" t="s">
        <v>2937</v>
      </c>
      <c r="O432" s="1" t="s">
        <v>2934</v>
      </c>
      <c r="P432">
        <v>30</v>
      </c>
      <c r="Q432">
        <v>30</v>
      </c>
      <c r="R432">
        <v>0</v>
      </c>
      <c r="S432">
        <f t="shared" si="62"/>
        <v>30</v>
      </c>
      <c r="T432" s="1" t="s">
        <v>2935</v>
      </c>
      <c r="U432" s="1" t="s">
        <v>2932</v>
      </c>
      <c r="V432" s="3">
        <f t="shared" si="63"/>
        <v>40000</v>
      </c>
      <c r="W432" s="3">
        <f t="shared" si="64"/>
        <v>16000</v>
      </c>
      <c r="X432" s="3">
        <f t="shared" si="56"/>
        <v>1250</v>
      </c>
      <c r="Y432" s="3">
        <f t="shared" si="57"/>
        <v>1600</v>
      </c>
      <c r="Z432" s="3">
        <f t="shared" si="58"/>
        <v>1800</v>
      </c>
      <c r="AA432" s="3">
        <v>0</v>
      </c>
      <c r="AB432" s="3">
        <f>ROUND(U432 - (V432+W432+X432+Y432) - (U432/Q432 * 2),0)</f>
        <v>34483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f>SUM(V432+W432+X432+Y432+AB432)</f>
        <v>93333</v>
      </c>
      <c r="AK432" s="3">
        <f>SUM(AJ432-AA432)</f>
        <v>93333</v>
      </c>
      <c r="AL432" s="3">
        <f>IF(V432&lt;=15000,V432*12%,1800)</f>
        <v>1800</v>
      </c>
      <c r="AM432" s="3">
        <v>0</v>
      </c>
      <c r="AN432" s="3">
        <f t="shared" si="59"/>
        <v>1800</v>
      </c>
      <c r="AO432" s="12">
        <v>200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3">
        <f t="shared" si="61"/>
        <v>200</v>
      </c>
      <c r="AV432" s="3">
        <f>SUM(AJ432 - AN432 - AU432)</f>
        <v>91333</v>
      </c>
      <c r="AW432" s="11">
        <v>0</v>
      </c>
      <c r="AX432" s="11">
        <v>0</v>
      </c>
      <c r="AY432" s="11">
        <v>0</v>
      </c>
      <c r="AZ432" s="11">
        <v>0</v>
      </c>
      <c r="BA432" s="3">
        <f t="shared" si="60"/>
        <v>91333</v>
      </c>
    </row>
    <row r="433" spans="1:53" x14ac:dyDescent="0.25">
      <c r="A433" s="1" t="s">
        <v>431</v>
      </c>
      <c r="B433" s="9" t="s">
        <v>1638</v>
      </c>
      <c r="C433" s="9" t="s">
        <v>1173</v>
      </c>
      <c r="D433" s="9" t="s">
        <v>1920</v>
      </c>
      <c r="E433" s="9" t="s">
        <v>1012</v>
      </c>
      <c r="F433" s="10">
        <v>44580</v>
      </c>
      <c r="G433" s="9" t="s">
        <v>1019</v>
      </c>
      <c r="I433" s="9" t="s">
        <v>1035</v>
      </c>
      <c r="J433" s="9" t="s">
        <v>1048</v>
      </c>
      <c r="K433" s="8" t="s">
        <v>1006</v>
      </c>
      <c r="L433" s="8" t="s">
        <v>1007</v>
      </c>
      <c r="M433" s="8" t="s">
        <v>2933</v>
      </c>
      <c r="N433" s="8" t="s">
        <v>2937</v>
      </c>
      <c r="O433" s="1" t="s">
        <v>2934</v>
      </c>
      <c r="P433">
        <v>30</v>
      </c>
      <c r="Q433">
        <v>30</v>
      </c>
      <c r="R433">
        <v>0</v>
      </c>
      <c r="S433">
        <f t="shared" si="62"/>
        <v>30</v>
      </c>
      <c r="T433" s="1" t="s">
        <v>2935</v>
      </c>
      <c r="U433" s="1" t="s">
        <v>2932</v>
      </c>
      <c r="V433" s="3">
        <f t="shared" si="63"/>
        <v>40000</v>
      </c>
      <c r="W433" s="3">
        <f t="shared" si="64"/>
        <v>16000</v>
      </c>
      <c r="X433" s="3">
        <f t="shared" si="56"/>
        <v>1250</v>
      </c>
      <c r="Y433" s="3">
        <f t="shared" si="57"/>
        <v>1600</v>
      </c>
      <c r="Z433" s="3">
        <f t="shared" si="58"/>
        <v>1800</v>
      </c>
      <c r="AA433" s="3">
        <v>0</v>
      </c>
      <c r="AB433" s="3">
        <f>ROUND(U433 - (V433+W433+X433+Y433) - (U433/Q433 * 2),0)</f>
        <v>34483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f>SUM(V433+W433+X433+Y433+AB433)</f>
        <v>93333</v>
      </c>
      <c r="AK433" s="3">
        <f>SUM(AJ433-AA433)</f>
        <v>93333</v>
      </c>
      <c r="AL433" s="3">
        <f>IF(V433&lt;=15000,V433*12%,1800)</f>
        <v>1800</v>
      </c>
      <c r="AM433" s="3">
        <v>0</v>
      </c>
      <c r="AN433" s="3">
        <f t="shared" si="59"/>
        <v>1800</v>
      </c>
      <c r="AO433" s="12">
        <v>200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3">
        <f t="shared" si="61"/>
        <v>200</v>
      </c>
      <c r="AV433" s="3">
        <f>SUM(AJ433 - AN433 - AU433)</f>
        <v>91333</v>
      </c>
      <c r="AW433" s="11">
        <v>0</v>
      </c>
      <c r="AX433" s="11">
        <v>0</v>
      </c>
      <c r="AY433" s="11">
        <v>0</v>
      </c>
      <c r="AZ433" s="11">
        <v>0</v>
      </c>
      <c r="BA433" s="3">
        <f t="shared" si="60"/>
        <v>91333</v>
      </c>
    </row>
    <row r="434" spans="1:53" x14ac:dyDescent="0.25">
      <c r="A434" s="1" t="s">
        <v>432</v>
      </c>
      <c r="B434" s="9" t="s">
        <v>1918</v>
      </c>
      <c r="C434" s="9" t="s">
        <v>1128</v>
      </c>
      <c r="D434" s="9" t="s">
        <v>1919</v>
      </c>
      <c r="E434" s="9" t="s">
        <v>1012</v>
      </c>
      <c r="F434" s="10">
        <v>44580</v>
      </c>
      <c r="G434" s="9" t="s">
        <v>1019</v>
      </c>
      <c r="I434" s="9" t="s">
        <v>1035</v>
      </c>
      <c r="J434" s="9" t="s">
        <v>1048</v>
      </c>
      <c r="K434" s="8" t="s">
        <v>1006</v>
      </c>
      <c r="L434" s="8" t="s">
        <v>1007</v>
      </c>
      <c r="M434" s="8" t="s">
        <v>2933</v>
      </c>
      <c r="N434" s="8" t="s">
        <v>2937</v>
      </c>
      <c r="O434" s="1" t="s">
        <v>2934</v>
      </c>
      <c r="P434">
        <v>30</v>
      </c>
      <c r="Q434">
        <v>30</v>
      </c>
      <c r="R434">
        <v>0</v>
      </c>
      <c r="S434">
        <f t="shared" si="62"/>
        <v>30</v>
      </c>
      <c r="T434" s="1" t="s">
        <v>2935</v>
      </c>
      <c r="U434" s="1" t="s">
        <v>2932</v>
      </c>
      <c r="V434" s="3">
        <f t="shared" si="63"/>
        <v>40000</v>
      </c>
      <c r="W434" s="3">
        <f t="shared" si="64"/>
        <v>16000</v>
      </c>
      <c r="X434" s="3">
        <f t="shared" si="56"/>
        <v>1250</v>
      </c>
      <c r="Y434" s="3">
        <f t="shared" si="57"/>
        <v>1600</v>
      </c>
      <c r="Z434" s="3">
        <f t="shared" si="58"/>
        <v>1800</v>
      </c>
      <c r="AA434" s="3">
        <v>0</v>
      </c>
      <c r="AB434" s="3">
        <f>ROUND(U434 - (V434+W434+X434+Y434) - (U434/Q434 * 2),0)</f>
        <v>34483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f>SUM(V434+W434+X434+Y434+AB434)</f>
        <v>93333</v>
      </c>
      <c r="AK434" s="3">
        <f>SUM(AJ434-AA434)</f>
        <v>93333</v>
      </c>
      <c r="AL434" s="3">
        <f>IF(V434&lt;=15000,V434*12%,1800)</f>
        <v>1800</v>
      </c>
      <c r="AM434" s="3">
        <v>0</v>
      </c>
      <c r="AN434" s="3">
        <f t="shared" si="59"/>
        <v>1800</v>
      </c>
      <c r="AO434" s="12">
        <v>200</v>
      </c>
      <c r="AP434" s="12">
        <v>0</v>
      </c>
      <c r="AQ434" s="12">
        <v>0</v>
      </c>
      <c r="AR434" s="12">
        <v>0</v>
      </c>
      <c r="AS434" s="12">
        <v>0</v>
      </c>
      <c r="AT434" s="12">
        <v>0</v>
      </c>
      <c r="AU434" s="3">
        <f t="shared" si="61"/>
        <v>200</v>
      </c>
      <c r="AV434" s="3">
        <f>SUM(AJ434 - AN434 - AU434)</f>
        <v>91333</v>
      </c>
      <c r="AW434" s="11">
        <v>0</v>
      </c>
      <c r="AX434" s="11">
        <v>0</v>
      </c>
      <c r="AY434" s="11">
        <v>0</v>
      </c>
      <c r="AZ434" s="11">
        <v>0</v>
      </c>
      <c r="BA434" s="3">
        <f t="shared" si="60"/>
        <v>91333</v>
      </c>
    </row>
    <row r="435" spans="1:53" x14ac:dyDescent="0.25">
      <c r="A435" s="1" t="s">
        <v>433</v>
      </c>
      <c r="B435" s="9" t="s">
        <v>1916</v>
      </c>
      <c r="C435" s="9" t="s">
        <v>1173</v>
      </c>
      <c r="D435" s="9" t="s">
        <v>1917</v>
      </c>
      <c r="E435" s="9" t="s">
        <v>1012</v>
      </c>
      <c r="F435" s="10">
        <v>44580</v>
      </c>
      <c r="G435" s="9" t="s">
        <v>1019</v>
      </c>
      <c r="I435" s="9" t="s">
        <v>1042</v>
      </c>
      <c r="J435" s="9" t="s">
        <v>1048</v>
      </c>
      <c r="K435" s="8" t="s">
        <v>1006</v>
      </c>
      <c r="L435" s="8" t="s">
        <v>1007</v>
      </c>
      <c r="M435" s="8" t="s">
        <v>2933</v>
      </c>
      <c r="N435" s="8" t="s">
        <v>2937</v>
      </c>
      <c r="O435" s="1" t="s">
        <v>2934</v>
      </c>
      <c r="P435">
        <v>30</v>
      </c>
      <c r="Q435">
        <v>30</v>
      </c>
      <c r="R435">
        <v>0</v>
      </c>
      <c r="S435">
        <f t="shared" si="62"/>
        <v>30</v>
      </c>
      <c r="T435" s="1" t="s">
        <v>2935</v>
      </c>
      <c r="U435" s="1" t="s">
        <v>2932</v>
      </c>
      <c r="V435" s="3">
        <f t="shared" si="63"/>
        <v>40000</v>
      </c>
      <c r="W435" s="3">
        <f t="shared" si="64"/>
        <v>16000</v>
      </c>
      <c r="X435" s="3">
        <f t="shared" si="56"/>
        <v>1250</v>
      </c>
      <c r="Y435" s="3">
        <f t="shared" si="57"/>
        <v>1600</v>
      </c>
      <c r="Z435" s="3">
        <f t="shared" si="58"/>
        <v>1800</v>
      </c>
      <c r="AA435" s="3">
        <v>0</v>
      </c>
      <c r="AB435" s="3">
        <f>ROUND(U435 - (V435+W435+X435+Y435) - (U435/Q435 * 2),0)</f>
        <v>34483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f>SUM(V435+W435+X435+Y435+AB435)</f>
        <v>93333</v>
      </c>
      <c r="AK435" s="3">
        <f>SUM(AJ435-AA435)</f>
        <v>93333</v>
      </c>
      <c r="AL435" s="3">
        <f>IF(V435&lt;=15000,V435*12%,1800)</f>
        <v>1800</v>
      </c>
      <c r="AM435" s="3">
        <v>0</v>
      </c>
      <c r="AN435" s="3">
        <f t="shared" si="59"/>
        <v>1800</v>
      </c>
      <c r="AO435" s="12">
        <v>200</v>
      </c>
      <c r="AP435" s="12">
        <v>0</v>
      </c>
      <c r="AQ435" s="12">
        <v>0</v>
      </c>
      <c r="AR435" s="12">
        <v>0</v>
      </c>
      <c r="AS435" s="12">
        <v>0</v>
      </c>
      <c r="AT435" s="12">
        <v>0</v>
      </c>
      <c r="AU435" s="3">
        <f t="shared" si="61"/>
        <v>200</v>
      </c>
      <c r="AV435" s="3">
        <f>SUM(AJ435 - AN435 - AU435)</f>
        <v>91333</v>
      </c>
      <c r="AW435" s="11">
        <v>0</v>
      </c>
      <c r="AX435" s="11">
        <v>0</v>
      </c>
      <c r="AY435" s="11">
        <v>0</v>
      </c>
      <c r="AZ435" s="11">
        <v>0</v>
      </c>
      <c r="BA435" s="3">
        <f t="shared" si="60"/>
        <v>91333</v>
      </c>
    </row>
    <row r="436" spans="1:53" x14ac:dyDescent="0.25">
      <c r="A436" s="1" t="s">
        <v>434</v>
      </c>
      <c r="B436" s="9" t="s">
        <v>1914</v>
      </c>
      <c r="C436" s="9" t="s">
        <v>1173</v>
      </c>
      <c r="D436" s="9" t="s">
        <v>1915</v>
      </c>
      <c r="E436" s="9" t="s">
        <v>1008</v>
      </c>
      <c r="F436" s="10">
        <v>44580</v>
      </c>
      <c r="G436" s="9" t="s">
        <v>1019</v>
      </c>
      <c r="I436" s="9" t="s">
        <v>1042</v>
      </c>
      <c r="J436" s="9" t="s">
        <v>1048</v>
      </c>
      <c r="K436" s="8" t="s">
        <v>1006</v>
      </c>
      <c r="L436" s="8" t="s">
        <v>1007</v>
      </c>
      <c r="M436" s="8" t="s">
        <v>2933</v>
      </c>
      <c r="N436" s="8" t="s">
        <v>2937</v>
      </c>
      <c r="O436" s="1" t="s">
        <v>2934</v>
      </c>
      <c r="P436">
        <v>30</v>
      </c>
      <c r="Q436">
        <v>30</v>
      </c>
      <c r="R436">
        <v>0</v>
      </c>
      <c r="S436">
        <f t="shared" si="62"/>
        <v>30</v>
      </c>
      <c r="T436" s="1" t="s">
        <v>2935</v>
      </c>
      <c r="U436" s="1" t="s">
        <v>2932</v>
      </c>
      <c r="V436" s="3">
        <f t="shared" si="63"/>
        <v>40000</v>
      </c>
      <c r="W436" s="3">
        <f t="shared" si="64"/>
        <v>16000</v>
      </c>
      <c r="X436" s="3">
        <f t="shared" si="56"/>
        <v>1250</v>
      </c>
      <c r="Y436" s="3">
        <f t="shared" si="57"/>
        <v>1600</v>
      </c>
      <c r="Z436" s="3">
        <f t="shared" si="58"/>
        <v>1800</v>
      </c>
      <c r="AA436" s="3">
        <v>0</v>
      </c>
      <c r="AB436" s="3">
        <f>ROUND(U436 - (V436+W436+X436+Y436) - (U436/Q436 * 2),0)</f>
        <v>34483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f>SUM(V436+W436+X436+Y436+AB436)</f>
        <v>93333</v>
      </c>
      <c r="AK436" s="3">
        <f>SUM(AJ436-AA436)</f>
        <v>93333</v>
      </c>
      <c r="AL436" s="3">
        <f>IF(V436&lt;=15000,V436*12%,1800)</f>
        <v>1800</v>
      </c>
      <c r="AM436" s="3">
        <v>0</v>
      </c>
      <c r="AN436" s="3">
        <f t="shared" si="59"/>
        <v>1800</v>
      </c>
      <c r="AO436" s="12">
        <v>200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3">
        <f t="shared" si="61"/>
        <v>200</v>
      </c>
      <c r="AV436" s="3">
        <f>SUM(AJ436 - AN436 - AU436)</f>
        <v>91333</v>
      </c>
      <c r="AW436" s="11">
        <v>0</v>
      </c>
      <c r="AX436" s="11">
        <v>0</v>
      </c>
      <c r="AY436" s="11">
        <v>0</v>
      </c>
      <c r="AZ436" s="11">
        <v>0</v>
      </c>
      <c r="BA436" s="3">
        <f t="shared" si="60"/>
        <v>91333</v>
      </c>
    </row>
    <row r="437" spans="1:53" x14ac:dyDescent="0.25">
      <c r="A437" s="1" t="s">
        <v>435</v>
      </c>
      <c r="B437" s="9" t="s">
        <v>1912</v>
      </c>
      <c r="C437" s="9" t="s">
        <v>1063</v>
      </c>
      <c r="D437" s="9" t="s">
        <v>1913</v>
      </c>
      <c r="E437" s="9" t="s">
        <v>1012</v>
      </c>
      <c r="F437" s="10">
        <v>44580</v>
      </c>
      <c r="G437" s="9" t="s">
        <v>1013</v>
      </c>
      <c r="I437" s="9" t="s">
        <v>1014</v>
      </c>
      <c r="J437" s="9" t="s">
        <v>1015</v>
      </c>
      <c r="K437" s="8" t="s">
        <v>1006</v>
      </c>
      <c r="L437" s="8" t="s">
        <v>1007</v>
      </c>
      <c r="M437" s="8" t="s">
        <v>2933</v>
      </c>
      <c r="N437" s="8" t="s">
        <v>2937</v>
      </c>
      <c r="O437" s="1" t="s">
        <v>2934</v>
      </c>
      <c r="P437">
        <v>30</v>
      </c>
      <c r="Q437">
        <v>30</v>
      </c>
      <c r="R437">
        <v>0</v>
      </c>
      <c r="S437">
        <f t="shared" si="62"/>
        <v>30</v>
      </c>
      <c r="T437" s="1" t="s">
        <v>2935</v>
      </c>
      <c r="U437" s="1" t="s">
        <v>2932</v>
      </c>
      <c r="V437" s="3">
        <f t="shared" si="63"/>
        <v>40000</v>
      </c>
      <c r="W437" s="3">
        <f t="shared" si="64"/>
        <v>16000</v>
      </c>
      <c r="X437" s="3">
        <f t="shared" si="56"/>
        <v>1250</v>
      </c>
      <c r="Y437" s="3">
        <f t="shared" si="57"/>
        <v>1600</v>
      </c>
      <c r="Z437" s="3">
        <f t="shared" si="58"/>
        <v>1800</v>
      </c>
      <c r="AA437" s="3">
        <v>0</v>
      </c>
      <c r="AB437" s="3">
        <f>ROUND(U437 - (V437+W437+X437+Y437) - (U437/Q437 * 2),0)</f>
        <v>34483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f>SUM(V437+W437+X437+Y437+AB437)</f>
        <v>93333</v>
      </c>
      <c r="AK437" s="3">
        <f>SUM(AJ437-AA437)</f>
        <v>93333</v>
      </c>
      <c r="AL437" s="3">
        <f>IF(V437&lt;=15000,V437*12%,1800)</f>
        <v>1800</v>
      </c>
      <c r="AM437" s="3">
        <v>0</v>
      </c>
      <c r="AN437" s="3">
        <f t="shared" si="59"/>
        <v>1800</v>
      </c>
      <c r="AO437" s="12">
        <v>200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3">
        <f t="shared" si="61"/>
        <v>200</v>
      </c>
      <c r="AV437" s="3">
        <f>SUM(AJ437 - AN437 - AU437)</f>
        <v>91333</v>
      </c>
      <c r="AW437" s="11">
        <v>0</v>
      </c>
      <c r="AX437" s="11">
        <v>0</v>
      </c>
      <c r="AY437" s="11">
        <v>0</v>
      </c>
      <c r="AZ437" s="11">
        <v>0</v>
      </c>
      <c r="BA437" s="3">
        <f t="shared" si="60"/>
        <v>91333</v>
      </c>
    </row>
    <row r="438" spans="1:53" x14ac:dyDescent="0.25">
      <c r="A438" s="1" t="s">
        <v>436</v>
      </c>
      <c r="B438" s="9" t="s">
        <v>1426</v>
      </c>
      <c r="C438" s="9" t="s">
        <v>1063</v>
      </c>
      <c r="D438" s="9" t="s">
        <v>1911</v>
      </c>
      <c r="E438" s="9" t="s">
        <v>1012</v>
      </c>
      <c r="F438" s="10">
        <v>44601</v>
      </c>
      <c r="G438" s="9" t="s">
        <v>1019</v>
      </c>
      <c r="I438" s="9" t="s">
        <v>1014</v>
      </c>
      <c r="J438" s="9" t="s">
        <v>1015</v>
      </c>
      <c r="K438" s="8" t="s">
        <v>1006</v>
      </c>
      <c r="L438" s="8" t="s">
        <v>1007</v>
      </c>
      <c r="M438" s="8" t="s">
        <v>2933</v>
      </c>
      <c r="N438" s="8" t="s">
        <v>2937</v>
      </c>
      <c r="O438" s="1" t="s">
        <v>2934</v>
      </c>
      <c r="P438">
        <v>30</v>
      </c>
      <c r="Q438">
        <v>30</v>
      </c>
      <c r="R438">
        <v>0</v>
      </c>
      <c r="S438">
        <f t="shared" si="62"/>
        <v>30</v>
      </c>
      <c r="T438" s="1" t="s">
        <v>2935</v>
      </c>
      <c r="U438" s="1" t="s">
        <v>2932</v>
      </c>
      <c r="V438" s="3">
        <f t="shared" si="63"/>
        <v>40000</v>
      </c>
      <c r="W438" s="3">
        <f t="shared" si="64"/>
        <v>16000</v>
      </c>
      <c r="X438" s="3">
        <f t="shared" si="56"/>
        <v>1250</v>
      </c>
      <c r="Y438" s="3">
        <f t="shared" si="57"/>
        <v>1600</v>
      </c>
      <c r="Z438" s="3">
        <f t="shared" si="58"/>
        <v>1800</v>
      </c>
      <c r="AA438" s="3">
        <v>0</v>
      </c>
      <c r="AB438" s="3">
        <f>ROUND(U438 - (V438+W438+X438+Y438) - (U438/Q438 * 2),0)</f>
        <v>34483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f>SUM(V438+W438+X438+Y438+AB438)</f>
        <v>93333</v>
      </c>
      <c r="AK438" s="3">
        <f>SUM(AJ438-AA438)</f>
        <v>93333</v>
      </c>
      <c r="AL438" s="3">
        <f>IF(V438&lt;=15000,V438*12%,1800)</f>
        <v>1800</v>
      </c>
      <c r="AM438" s="3">
        <v>0</v>
      </c>
      <c r="AN438" s="3">
        <f t="shared" si="59"/>
        <v>1800</v>
      </c>
      <c r="AO438" s="12">
        <v>200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3">
        <f t="shared" si="61"/>
        <v>200</v>
      </c>
      <c r="AV438" s="3">
        <f>SUM(AJ438 - AN438 - AU438)</f>
        <v>91333</v>
      </c>
      <c r="AW438" s="11">
        <v>0</v>
      </c>
      <c r="AX438" s="11">
        <v>0</v>
      </c>
      <c r="AY438" s="11">
        <v>0</v>
      </c>
      <c r="AZ438" s="11">
        <v>0</v>
      </c>
      <c r="BA438" s="3">
        <f t="shared" si="60"/>
        <v>91333</v>
      </c>
    </row>
    <row r="439" spans="1:53" x14ac:dyDescent="0.25">
      <c r="A439" s="1" t="s">
        <v>437</v>
      </c>
      <c r="B439" s="9" t="s">
        <v>1908</v>
      </c>
      <c r="C439" s="9" t="s">
        <v>1909</v>
      </c>
      <c r="D439" s="9" t="s">
        <v>1910</v>
      </c>
      <c r="E439" s="9" t="s">
        <v>1012</v>
      </c>
      <c r="F439" s="10">
        <v>44585</v>
      </c>
      <c r="G439" s="9" t="s">
        <v>1019</v>
      </c>
      <c r="I439" s="9" t="s">
        <v>1014</v>
      </c>
      <c r="J439" s="9" t="s">
        <v>1440</v>
      </c>
      <c r="K439" s="8" t="s">
        <v>1006</v>
      </c>
      <c r="L439" s="8" t="s">
        <v>1007</v>
      </c>
      <c r="M439" s="8" t="s">
        <v>2933</v>
      </c>
      <c r="N439" s="8" t="s">
        <v>2937</v>
      </c>
      <c r="O439" s="1" t="s">
        <v>2934</v>
      </c>
      <c r="P439">
        <v>30</v>
      </c>
      <c r="Q439">
        <v>30</v>
      </c>
      <c r="R439">
        <v>0</v>
      </c>
      <c r="S439">
        <f t="shared" si="62"/>
        <v>30</v>
      </c>
      <c r="T439" s="1" t="s">
        <v>2935</v>
      </c>
      <c r="U439" s="1" t="s">
        <v>2932</v>
      </c>
      <c r="V439" s="3">
        <f t="shared" si="63"/>
        <v>40000</v>
      </c>
      <c r="W439" s="3">
        <f t="shared" si="64"/>
        <v>16000</v>
      </c>
      <c r="X439" s="3">
        <f t="shared" si="56"/>
        <v>1250</v>
      </c>
      <c r="Y439" s="3">
        <f t="shared" si="57"/>
        <v>1600</v>
      </c>
      <c r="Z439" s="3">
        <f t="shared" si="58"/>
        <v>1800</v>
      </c>
      <c r="AA439" s="3">
        <v>0</v>
      </c>
      <c r="AB439" s="3">
        <f>ROUND(U439 - (V439+W439+X439+Y439) - (U439/Q439 * 2),0)</f>
        <v>34483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f>SUM(V439+W439+X439+Y439+AB439)</f>
        <v>93333</v>
      </c>
      <c r="AK439" s="3">
        <f>SUM(AJ439-AA439)</f>
        <v>93333</v>
      </c>
      <c r="AL439" s="3">
        <f>IF(V439&lt;=15000,V439*12%,1800)</f>
        <v>1800</v>
      </c>
      <c r="AM439" s="3">
        <v>0</v>
      </c>
      <c r="AN439" s="3">
        <f t="shared" si="59"/>
        <v>1800</v>
      </c>
      <c r="AO439" s="12">
        <v>200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3">
        <f t="shared" si="61"/>
        <v>200</v>
      </c>
      <c r="AV439" s="3">
        <f>SUM(AJ439 - AN439 - AU439)</f>
        <v>91333</v>
      </c>
      <c r="AW439" s="11">
        <v>0</v>
      </c>
      <c r="AX439" s="11">
        <v>0</v>
      </c>
      <c r="AY439" s="11">
        <v>0</v>
      </c>
      <c r="AZ439" s="11">
        <v>0</v>
      </c>
      <c r="BA439" s="3">
        <f t="shared" si="60"/>
        <v>91333</v>
      </c>
    </row>
    <row r="440" spans="1:53" x14ac:dyDescent="0.25">
      <c r="A440" s="1" t="s">
        <v>438</v>
      </c>
      <c r="B440" s="9" t="s">
        <v>1906</v>
      </c>
      <c r="C440" s="9" t="s">
        <v>1023</v>
      </c>
      <c r="D440" s="9" t="s">
        <v>1907</v>
      </c>
      <c r="E440" s="9" t="s">
        <v>1012</v>
      </c>
      <c r="F440" s="10">
        <v>44594</v>
      </c>
      <c r="G440" s="9" t="s">
        <v>1019</v>
      </c>
      <c r="I440" s="9" t="s">
        <v>1014</v>
      </c>
      <c r="J440" s="9" t="s">
        <v>1021</v>
      </c>
      <c r="K440" s="8" t="s">
        <v>1006</v>
      </c>
      <c r="L440" s="8" t="s">
        <v>1007</v>
      </c>
      <c r="M440" s="8" t="s">
        <v>2933</v>
      </c>
      <c r="N440" s="8" t="s">
        <v>2937</v>
      </c>
      <c r="O440" s="1" t="s">
        <v>2934</v>
      </c>
      <c r="P440">
        <v>30</v>
      </c>
      <c r="Q440">
        <v>30</v>
      </c>
      <c r="R440">
        <v>0</v>
      </c>
      <c r="S440">
        <f t="shared" si="62"/>
        <v>30</v>
      </c>
      <c r="T440" s="1" t="s">
        <v>2935</v>
      </c>
      <c r="U440" s="1" t="s">
        <v>2932</v>
      </c>
      <c r="V440" s="3">
        <f t="shared" si="63"/>
        <v>40000</v>
      </c>
      <c r="W440" s="3">
        <f t="shared" si="64"/>
        <v>16000</v>
      </c>
      <c r="X440" s="3">
        <f t="shared" si="56"/>
        <v>1250</v>
      </c>
      <c r="Y440" s="3">
        <f t="shared" si="57"/>
        <v>1600</v>
      </c>
      <c r="Z440" s="3">
        <f t="shared" si="58"/>
        <v>1800</v>
      </c>
      <c r="AA440" s="3">
        <v>0</v>
      </c>
      <c r="AB440" s="3">
        <f>ROUND(U440 - (V440+W440+X440+Y440) - (U440/Q440 * 2),0)</f>
        <v>34483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f>SUM(V440+W440+X440+Y440+AB440)</f>
        <v>93333</v>
      </c>
      <c r="AK440" s="3">
        <f>SUM(AJ440-AA440)</f>
        <v>93333</v>
      </c>
      <c r="AL440" s="3">
        <f>IF(V440&lt;=15000,V440*12%,1800)</f>
        <v>1800</v>
      </c>
      <c r="AM440" s="3">
        <v>0</v>
      </c>
      <c r="AN440" s="3">
        <f t="shared" si="59"/>
        <v>1800</v>
      </c>
      <c r="AO440" s="12">
        <v>200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3">
        <f t="shared" si="61"/>
        <v>200</v>
      </c>
      <c r="AV440" s="3">
        <f>SUM(AJ440 - AN440 - AU440)</f>
        <v>91333</v>
      </c>
      <c r="AW440" s="11">
        <v>0</v>
      </c>
      <c r="AX440" s="11">
        <v>0</v>
      </c>
      <c r="AY440" s="11">
        <v>0</v>
      </c>
      <c r="AZ440" s="11">
        <v>0</v>
      </c>
      <c r="BA440" s="3">
        <f t="shared" si="60"/>
        <v>91333</v>
      </c>
    </row>
    <row r="441" spans="1:53" x14ac:dyDescent="0.25">
      <c r="A441" s="1" t="s">
        <v>439</v>
      </c>
      <c r="B441" s="9" t="s">
        <v>1110</v>
      </c>
      <c r="C441" s="9" t="s">
        <v>1026</v>
      </c>
      <c r="D441" s="9" t="s">
        <v>1905</v>
      </c>
      <c r="E441" s="9" t="s">
        <v>1012</v>
      </c>
      <c r="F441" s="10">
        <v>45511</v>
      </c>
      <c r="G441" s="9" t="s">
        <v>1019</v>
      </c>
      <c r="I441" s="9" t="s">
        <v>1014</v>
      </c>
      <c r="J441" s="9" t="s">
        <v>1015</v>
      </c>
      <c r="K441" s="8" t="s">
        <v>1006</v>
      </c>
      <c r="L441" s="8" t="s">
        <v>1007</v>
      </c>
      <c r="M441" s="8" t="s">
        <v>2933</v>
      </c>
      <c r="N441" s="8" t="s">
        <v>2937</v>
      </c>
      <c r="O441" s="1" t="s">
        <v>2934</v>
      </c>
      <c r="P441">
        <v>30</v>
      </c>
      <c r="Q441">
        <v>30</v>
      </c>
      <c r="R441">
        <v>0</v>
      </c>
      <c r="S441">
        <f t="shared" si="62"/>
        <v>30</v>
      </c>
      <c r="T441" s="1" t="s">
        <v>2935</v>
      </c>
      <c r="U441" s="1" t="s">
        <v>2932</v>
      </c>
      <c r="V441" s="3">
        <f t="shared" si="63"/>
        <v>40000</v>
      </c>
      <c r="W441" s="3">
        <f t="shared" si="64"/>
        <v>16000</v>
      </c>
      <c r="X441" s="3">
        <f t="shared" si="56"/>
        <v>1250</v>
      </c>
      <c r="Y441" s="3">
        <f t="shared" si="57"/>
        <v>1600</v>
      </c>
      <c r="Z441" s="3">
        <f t="shared" si="58"/>
        <v>1800</v>
      </c>
      <c r="AA441" s="3">
        <v>0</v>
      </c>
      <c r="AB441" s="3">
        <f>ROUND(U441 - (V441+W441+X441+Y441) - (U441/Q441 * 2),0)</f>
        <v>34483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f>SUM(V441+W441+X441+Y441+AB441)</f>
        <v>93333</v>
      </c>
      <c r="AK441" s="3">
        <f>SUM(AJ441-AA441)</f>
        <v>93333</v>
      </c>
      <c r="AL441" s="3">
        <f>IF(V441&lt;=15000,V441*12%,1800)</f>
        <v>1800</v>
      </c>
      <c r="AM441" s="3">
        <v>0</v>
      </c>
      <c r="AN441" s="3">
        <f t="shared" si="59"/>
        <v>1800</v>
      </c>
      <c r="AO441" s="12">
        <v>200</v>
      </c>
      <c r="AP441" s="12">
        <v>0</v>
      </c>
      <c r="AQ441" s="12">
        <v>0</v>
      </c>
      <c r="AR441" s="12">
        <v>0</v>
      </c>
      <c r="AS441" s="12">
        <v>0</v>
      </c>
      <c r="AT441" s="12">
        <v>0</v>
      </c>
      <c r="AU441" s="3">
        <f t="shared" si="61"/>
        <v>200</v>
      </c>
      <c r="AV441" s="3">
        <f>SUM(AJ441 - AN441 - AU441)</f>
        <v>91333</v>
      </c>
      <c r="AW441" s="11">
        <v>0</v>
      </c>
      <c r="AX441" s="11">
        <v>0</v>
      </c>
      <c r="AY441" s="11">
        <v>0</v>
      </c>
      <c r="AZ441" s="11">
        <v>0</v>
      </c>
      <c r="BA441" s="3">
        <f t="shared" si="60"/>
        <v>91333</v>
      </c>
    </row>
    <row r="442" spans="1:53" x14ac:dyDescent="0.25">
      <c r="A442" s="1" t="s">
        <v>440</v>
      </c>
      <c r="B442" s="9" t="s">
        <v>1903</v>
      </c>
      <c r="C442" s="9" t="s">
        <v>1063</v>
      </c>
      <c r="D442" s="9" t="s">
        <v>1904</v>
      </c>
      <c r="E442" s="9" t="s">
        <v>1012</v>
      </c>
      <c r="F442" s="10">
        <v>45511</v>
      </c>
      <c r="G442" s="9" t="s">
        <v>1019</v>
      </c>
      <c r="I442" s="9" t="s">
        <v>1014</v>
      </c>
      <c r="J442" s="9" t="s">
        <v>1015</v>
      </c>
      <c r="K442" s="8" t="s">
        <v>1006</v>
      </c>
      <c r="L442" s="8" t="s">
        <v>1007</v>
      </c>
      <c r="M442" s="8" t="s">
        <v>2933</v>
      </c>
      <c r="N442" s="8" t="s">
        <v>2937</v>
      </c>
      <c r="O442" s="1" t="s">
        <v>2934</v>
      </c>
      <c r="P442">
        <v>30</v>
      </c>
      <c r="Q442">
        <v>30</v>
      </c>
      <c r="R442">
        <v>0</v>
      </c>
      <c r="S442">
        <f t="shared" si="62"/>
        <v>30</v>
      </c>
      <c r="T442" s="1" t="s">
        <v>2935</v>
      </c>
      <c r="U442" s="1" t="s">
        <v>2932</v>
      </c>
      <c r="V442" s="3">
        <f t="shared" si="63"/>
        <v>40000</v>
      </c>
      <c r="W442" s="3">
        <f t="shared" si="64"/>
        <v>16000</v>
      </c>
      <c r="X442" s="3">
        <f t="shared" si="56"/>
        <v>1250</v>
      </c>
      <c r="Y442" s="3">
        <f t="shared" si="57"/>
        <v>1600</v>
      </c>
      <c r="Z442" s="3">
        <f t="shared" si="58"/>
        <v>1800</v>
      </c>
      <c r="AA442" s="3">
        <v>0</v>
      </c>
      <c r="AB442" s="3">
        <f>ROUND(U442 - (V442+W442+X442+Y442) - (U442/Q442 * 2),0)</f>
        <v>34483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f>SUM(V442+W442+X442+Y442+AB442)</f>
        <v>93333</v>
      </c>
      <c r="AK442" s="3">
        <f>SUM(AJ442-AA442)</f>
        <v>93333</v>
      </c>
      <c r="AL442" s="3">
        <f>IF(V442&lt;=15000,V442*12%,1800)</f>
        <v>1800</v>
      </c>
      <c r="AM442" s="3">
        <v>0</v>
      </c>
      <c r="AN442" s="3">
        <f t="shared" si="59"/>
        <v>1800</v>
      </c>
      <c r="AO442" s="12">
        <v>200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3">
        <f t="shared" si="61"/>
        <v>200</v>
      </c>
      <c r="AV442" s="3">
        <f>SUM(AJ442 - AN442 - AU442)</f>
        <v>91333</v>
      </c>
      <c r="AW442" s="11">
        <v>0</v>
      </c>
      <c r="AX442" s="11">
        <v>0</v>
      </c>
      <c r="AY442" s="11">
        <v>0</v>
      </c>
      <c r="AZ442" s="11">
        <v>0</v>
      </c>
      <c r="BA442" s="3">
        <f t="shared" si="60"/>
        <v>91333</v>
      </c>
    </row>
    <row r="443" spans="1:53" x14ac:dyDescent="0.25">
      <c r="A443" s="1" t="s">
        <v>441</v>
      </c>
      <c r="B443" s="9" t="s">
        <v>1900</v>
      </c>
      <c r="C443" s="9" t="s">
        <v>1901</v>
      </c>
      <c r="D443" s="9" t="s">
        <v>1902</v>
      </c>
      <c r="E443" s="9" t="s">
        <v>1012</v>
      </c>
      <c r="F443" s="10">
        <v>45530</v>
      </c>
      <c r="G443" s="9" t="s">
        <v>1013</v>
      </c>
      <c r="I443" s="9" t="s">
        <v>1014</v>
      </c>
      <c r="J443" s="9" t="s">
        <v>1015</v>
      </c>
      <c r="K443" s="8" t="s">
        <v>1006</v>
      </c>
      <c r="L443" s="8" t="s">
        <v>1007</v>
      </c>
      <c r="M443" s="8" t="s">
        <v>2933</v>
      </c>
      <c r="N443" s="8" t="s">
        <v>2937</v>
      </c>
      <c r="O443" s="1" t="s">
        <v>2934</v>
      </c>
      <c r="P443">
        <v>30</v>
      </c>
      <c r="Q443">
        <v>30</v>
      </c>
      <c r="R443">
        <v>0</v>
      </c>
      <c r="S443">
        <f t="shared" si="62"/>
        <v>30</v>
      </c>
      <c r="T443" s="1" t="s">
        <v>2935</v>
      </c>
      <c r="U443" s="1" t="s">
        <v>2932</v>
      </c>
      <c r="V443" s="3">
        <f t="shared" si="63"/>
        <v>40000</v>
      </c>
      <c r="W443" s="3">
        <f t="shared" si="64"/>
        <v>16000</v>
      </c>
      <c r="X443" s="3">
        <f t="shared" si="56"/>
        <v>1250</v>
      </c>
      <c r="Y443" s="3">
        <f t="shared" si="57"/>
        <v>1600</v>
      </c>
      <c r="Z443" s="3">
        <f t="shared" si="58"/>
        <v>1800</v>
      </c>
      <c r="AA443" s="3">
        <v>0</v>
      </c>
      <c r="AB443" s="3">
        <f>ROUND(U443 - (V443+W443+X443+Y443) - (U443/Q443 * 2),0)</f>
        <v>34483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f>SUM(V443+W443+X443+Y443+AB443)</f>
        <v>93333</v>
      </c>
      <c r="AK443" s="3">
        <f>SUM(AJ443-AA443)</f>
        <v>93333</v>
      </c>
      <c r="AL443" s="3">
        <f>IF(V443&lt;=15000,V443*12%,1800)</f>
        <v>1800</v>
      </c>
      <c r="AM443" s="3">
        <v>0</v>
      </c>
      <c r="AN443" s="3">
        <f t="shared" si="59"/>
        <v>1800</v>
      </c>
      <c r="AO443" s="12">
        <v>200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3">
        <f t="shared" si="61"/>
        <v>200</v>
      </c>
      <c r="AV443" s="3">
        <f>SUM(AJ443 - AN443 - AU443)</f>
        <v>91333</v>
      </c>
      <c r="AW443" s="11">
        <v>0</v>
      </c>
      <c r="AX443" s="11">
        <v>0</v>
      </c>
      <c r="AY443" s="11">
        <v>0</v>
      </c>
      <c r="AZ443" s="11">
        <v>0</v>
      </c>
      <c r="BA443" s="3">
        <f t="shared" si="60"/>
        <v>91333</v>
      </c>
    </row>
    <row r="444" spans="1:53" x14ac:dyDescent="0.25">
      <c r="A444" s="1" t="s">
        <v>442</v>
      </c>
      <c r="B444" s="9" t="s">
        <v>1898</v>
      </c>
      <c r="C444" s="9" t="s">
        <v>1467</v>
      </c>
      <c r="D444" s="9" t="s">
        <v>1899</v>
      </c>
      <c r="E444" s="9" t="s">
        <v>1012</v>
      </c>
      <c r="F444" s="10">
        <v>45532</v>
      </c>
      <c r="G444" s="9" t="s">
        <v>1019</v>
      </c>
      <c r="I444" s="9" t="s">
        <v>1020</v>
      </c>
      <c r="J444" s="9" t="s">
        <v>1021</v>
      </c>
      <c r="K444" s="8" t="s">
        <v>1006</v>
      </c>
      <c r="L444" s="8" t="s">
        <v>1007</v>
      </c>
      <c r="M444" s="8" t="s">
        <v>2933</v>
      </c>
      <c r="N444" s="8" t="s">
        <v>2937</v>
      </c>
      <c r="O444" s="1" t="s">
        <v>2934</v>
      </c>
      <c r="P444">
        <v>30</v>
      </c>
      <c r="Q444">
        <v>30</v>
      </c>
      <c r="R444">
        <v>0</v>
      </c>
      <c r="S444">
        <f t="shared" si="62"/>
        <v>30</v>
      </c>
      <c r="T444" s="1" t="s">
        <v>2935</v>
      </c>
      <c r="U444" s="1" t="s">
        <v>2932</v>
      </c>
      <c r="V444" s="3">
        <f t="shared" si="63"/>
        <v>40000</v>
      </c>
      <c r="W444" s="3">
        <f t="shared" si="64"/>
        <v>16000</v>
      </c>
      <c r="X444" s="3">
        <f t="shared" si="56"/>
        <v>1250</v>
      </c>
      <c r="Y444" s="3">
        <f t="shared" si="57"/>
        <v>1600</v>
      </c>
      <c r="Z444" s="3">
        <f t="shared" si="58"/>
        <v>1800</v>
      </c>
      <c r="AA444" s="3">
        <v>0</v>
      </c>
      <c r="AB444" s="3">
        <f>ROUND(U444 - (V444+W444+X444+Y444) - (U444/Q444 * 2),0)</f>
        <v>34483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f>SUM(V444+W444+X444+Y444+AB444)</f>
        <v>93333</v>
      </c>
      <c r="AK444" s="3">
        <f>SUM(AJ444-AA444)</f>
        <v>93333</v>
      </c>
      <c r="AL444" s="3">
        <f>IF(V444&lt;=15000,V444*12%,1800)</f>
        <v>1800</v>
      </c>
      <c r="AM444" s="3">
        <v>0</v>
      </c>
      <c r="AN444" s="3">
        <f t="shared" si="59"/>
        <v>1800</v>
      </c>
      <c r="AO444" s="12">
        <v>200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3">
        <f t="shared" si="61"/>
        <v>200</v>
      </c>
      <c r="AV444" s="3">
        <f>SUM(AJ444 - AN444 - AU444)</f>
        <v>91333</v>
      </c>
      <c r="AW444" s="11">
        <v>0</v>
      </c>
      <c r="AX444" s="11">
        <v>0</v>
      </c>
      <c r="AY444" s="11">
        <v>0</v>
      </c>
      <c r="AZ444" s="11">
        <v>0</v>
      </c>
      <c r="BA444" s="3">
        <f t="shared" si="60"/>
        <v>91333</v>
      </c>
    </row>
    <row r="445" spans="1:53" x14ac:dyDescent="0.25">
      <c r="A445" s="1" t="s">
        <v>443</v>
      </c>
      <c r="B445" s="9" t="s">
        <v>1896</v>
      </c>
      <c r="C445" s="9" t="s">
        <v>1010</v>
      </c>
      <c r="D445" s="9" t="s">
        <v>1897</v>
      </c>
      <c r="E445" s="9" t="s">
        <v>1008</v>
      </c>
      <c r="F445" s="10">
        <v>45539</v>
      </c>
      <c r="G445" s="9" t="s">
        <v>1019</v>
      </c>
      <c r="I445" s="9" t="s">
        <v>1014</v>
      </c>
      <c r="J445" s="9" t="s">
        <v>1015</v>
      </c>
      <c r="K445" s="8" t="s">
        <v>1006</v>
      </c>
      <c r="L445" s="8" t="s">
        <v>1007</v>
      </c>
      <c r="M445" s="8" t="s">
        <v>2933</v>
      </c>
      <c r="N445" s="8" t="s">
        <v>2937</v>
      </c>
      <c r="O445" s="1" t="s">
        <v>2934</v>
      </c>
      <c r="P445">
        <v>30</v>
      </c>
      <c r="Q445">
        <v>30</v>
      </c>
      <c r="R445">
        <v>0</v>
      </c>
      <c r="S445">
        <f t="shared" si="62"/>
        <v>30</v>
      </c>
      <c r="T445" s="1" t="s">
        <v>2935</v>
      </c>
      <c r="U445" s="1" t="s">
        <v>2932</v>
      </c>
      <c r="V445" s="3">
        <f t="shared" si="63"/>
        <v>40000</v>
      </c>
      <c r="W445" s="3">
        <f t="shared" si="64"/>
        <v>16000</v>
      </c>
      <c r="X445" s="3">
        <f t="shared" si="56"/>
        <v>1250</v>
      </c>
      <c r="Y445" s="3">
        <f t="shared" si="57"/>
        <v>1600</v>
      </c>
      <c r="Z445" s="3">
        <f t="shared" si="58"/>
        <v>1800</v>
      </c>
      <c r="AA445" s="3">
        <v>0</v>
      </c>
      <c r="AB445" s="3">
        <f>ROUND(U445 - (V445+W445+X445+Y445) - (U445/Q445 * 2),0)</f>
        <v>34483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f>SUM(V445+W445+X445+Y445+AB445)</f>
        <v>93333</v>
      </c>
      <c r="AK445" s="3">
        <f>SUM(AJ445-AA445)</f>
        <v>93333</v>
      </c>
      <c r="AL445" s="3">
        <f>IF(V445&lt;=15000,V445*12%,1800)</f>
        <v>1800</v>
      </c>
      <c r="AM445" s="3">
        <v>0</v>
      </c>
      <c r="AN445" s="3">
        <f t="shared" si="59"/>
        <v>1800</v>
      </c>
      <c r="AO445" s="12">
        <v>200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3">
        <f t="shared" si="61"/>
        <v>200</v>
      </c>
      <c r="AV445" s="3">
        <f>SUM(AJ445 - AN445 - AU445)</f>
        <v>91333</v>
      </c>
      <c r="AW445" s="11">
        <v>0</v>
      </c>
      <c r="AX445" s="11">
        <v>0</v>
      </c>
      <c r="AY445" s="11">
        <v>0</v>
      </c>
      <c r="AZ445" s="11">
        <v>0</v>
      </c>
      <c r="BA445" s="3">
        <f t="shared" si="60"/>
        <v>91333</v>
      </c>
    </row>
    <row r="446" spans="1:53" x14ac:dyDescent="0.25">
      <c r="A446" s="1" t="s">
        <v>444</v>
      </c>
      <c r="B446" s="9" t="s">
        <v>1894</v>
      </c>
      <c r="C446" s="9" t="s">
        <v>1026</v>
      </c>
      <c r="D446" s="9" t="s">
        <v>1895</v>
      </c>
      <c r="E446" s="9" t="s">
        <v>1008</v>
      </c>
      <c r="F446" s="10">
        <v>45539</v>
      </c>
      <c r="G446" s="9" t="s">
        <v>1019</v>
      </c>
      <c r="I446" s="9" t="s">
        <v>1014</v>
      </c>
      <c r="J446" s="9" t="s">
        <v>1015</v>
      </c>
      <c r="K446" s="8" t="s">
        <v>1006</v>
      </c>
      <c r="L446" s="8" t="s">
        <v>1007</v>
      </c>
      <c r="M446" s="8" t="s">
        <v>2933</v>
      </c>
      <c r="N446" s="8" t="s">
        <v>2937</v>
      </c>
      <c r="O446" s="1" t="s">
        <v>2934</v>
      </c>
      <c r="P446">
        <v>30</v>
      </c>
      <c r="Q446">
        <v>30</v>
      </c>
      <c r="R446">
        <v>0</v>
      </c>
      <c r="S446">
        <f t="shared" si="62"/>
        <v>30</v>
      </c>
      <c r="T446" s="1" t="s">
        <v>2935</v>
      </c>
      <c r="U446" s="1" t="s">
        <v>2932</v>
      </c>
      <c r="V446" s="3">
        <f t="shared" si="63"/>
        <v>40000</v>
      </c>
      <c r="W446" s="3">
        <f t="shared" si="64"/>
        <v>16000</v>
      </c>
      <c r="X446" s="3">
        <f t="shared" si="56"/>
        <v>1250</v>
      </c>
      <c r="Y446" s="3">
        <f t="shared" si="57"/>
        <v>1600</v>
      </c>
      <c r="Z446" s="3">
        <f t="shared" si="58"/>
        <v>1800</v>
      </c>
      <c r="AA446" s="3">
        <v>0</v>
      </c>
      <c r="AB446" s="3">
        <f>ROUND(U446 - (V446+W446+X446+Y446) - (U446/Q446 * 2),0)</f>
        <v>34483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f>SUM(V446+W446+X446+Y446+AB446)</f>
        <v>93333</v>
      </c>
      <c r="AK446" s="3">
        <f>SUM(AJ446-AA446)</f>
        <v>93333</v>
      </c>
      <c r="AL446" s="3">
        <f>IF(V446&lt;=15000,V446*12%,1800)</f>
        <v>1800</v>
      </c>
      <c r="AM446" s="3">
        <v>0</v>
      </c>
      <c r="AN446" s="3">
        <f t="shared" si="59"/>
        <v>1800</v>
      </c>
      <c r="AO446" s="12">
        <v>200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3">
        <f t="shared" si="61"/>
        <v>200</v>
      </c>
      <c r="AV446" s="3">
        <f>SUM(AJ446 - AN446 - AU446)</f>
        <v>91333</v>
      </c>
      <c r="AW446" s="11">
        <v>0</v>
      </c>
      <c r="AX446" s="11">
        <v>0</v>
      </c>
      <c r="AY446" s="11">
        <v>0</v>
      </c>
      <c r="AZ446" s="11">
        <v>0</v>
      </c>
      <c r="BA446" s="3">
        <f t="shared" si="60"/>
        <v>91333</v>
      </c>
    </row>
    <row r="447" spans="1:53" x14ac:dyDescent="0.25">
      <c r="A447" s="1" t="s">
        <v>445</v>
      </c>
      <c r="B447" s="9" t="s">
        <v>1499</v>
      </c>
      <c r="C447" s="9" t="s">
        <v>1173</v>
      </c>
      <c r="D447" s="9" t="s">
        <v>1951</v>
      </c>
      <c r="E447" s="9" t="s">
        <v>1008</v>
      </c>
      <c r="F447" s="10">
        <v>45551</v>
      </c>
      <c r="G447" s="9" t="s">
        <v>1019</v>
      </c>
      <c r="I447" s="9" t="s">
        <v>1020</v>
      </c>
      <c r="J447" s="9" t="s">
        <v>1171</v>
      </c>
      <c r="K447" s="8" t="s">
        <v>1006</v>
      </c>
      <c r="L447" s="8" t="s">
        <v>1007</v>
      </c>
      <c r="M447" s="8" t="s">
        <v>2933</v>
      </c>
      <c r="N447" s="8" t="s">
        <v>2937</v>
      </c>
      <c r="O447" s="1" t="s">
        <v>2934</v>
      </c>
      <c r="P447">
        <v>30</v>
      </c>
      <c r="Q447">
        <v>30</v>
      </c>
      <c r="R447">
        <v>0</v>
      </c>
      <c r="S447">
        <f t="shared" si="62"/>
        <v>30</v>
      </c>
      <c r="T447" s="1" t="s">
        <v>2935</v>
      </c>
      <c r="U447" s="1" t="s">
        <v>2932</v>
      </c>
      <c r="V447" s="3">
        <f t="shared" si="63"/>
        <v>40000</v>
      </c>
      <c r="W447" s="3">
        <f t="shared" si="64"/>
        <v>16000</v>
      </c>
      <c r="X447" s="3">
        <f t="shared" si="56"/>
        <v>1250</v>
      </c>
      <c r="Y447" s="3">
        <f t="shared" si="57"/>
        <v>1600</v>
      </c>
      <c r="Z447" s="3">
        <f t="shared" si="58"/>
        <v>1800</v>
      </c>
      <c r="AA447" s="3">
        <v>0</v>
      </c>
      <c r="AB447" s="3">
        <f>ROUND(U447 - (V447+W447+X447+Y447) - (U447/Q447 * 2),0)</f>
        <v>34483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f>SUM(V447+W447+X447+Y447+AB447)</f>
        <v>93333</v>
      </c>
      <c r="AK447" s="3">
        <f>SUM(AJ447-AA447)</f>
        <v>93333</v>
      </c>
      <c r="AL447" s="3">
        <f>IF(V447&lt;=15000,V447*12%,1800)</f>
        <v>1800</v>
      </c>
      <c r="AM447" s="3">
        <v>0</v>
      </c>
      <c r="AN447" s="3">
        <f t="shared" si="59"/>
        <v>1800</v>
      </c>
      <c r="AO447" s="12">
        <v>200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3">
        <f t="shared" si="61"/>
        <v>200</v>
      </c>
      <c r="AV447" s="3">
        <f>SUM(AJ447 - AN447 - AU447)</f>
        <v>91333</v>
      </c>
      <c r="AW447" s="11">
        <v>0</v>
      </c>
      <c r="AX447" s="11">
        <v>0</v>
      </c>
      <c r="AY447" s="11">
        <v>0</v>
      </c>
      <c r="AZ447" s="11">
        <v>0</v>
      </c>
      <c r="BA447" s="3">
        <f t="shared" si="60"/>
        <v>91333</v>
      </c>
    </row>
    <row r="448" spans="1:53" x14ac:dyDescent="0.25">
      <c r="A448" s="1" t="s">
        <v>446</v>
      </c>
      <c r="B448" s="9" t="s">
        <v>1949</v>
      </c>
      <c r="C448" s="9" t="s">
        <v>1010</v>
      </c>
      <c r="D448" s="9" t="s">
        <v>1950</v>
      </c>
      <c r="E448" s="9" t="s">
        <v>1012</v>
      </c>
      <c r="F448" s="10">
        <v>45540</v>
      </c>
      <c r="G448" s="9" t="s">
        <v>1019</v>
      </c>
      <c r="I448" s="9" t="s">
        <v>1014</v>
      </c>
      <c r="J448" s="9" t="s">
        <v>1015</v>
      </c>
      <c r="K448" s="8" t="s">
        <v>1006</v>
      </c>
      <c r="L448" s="8" t="s">
        <v>1007</v>
      </c>
      <c r="M448" s="8" t="s">
        <v>2933</v>
      </c>
      <c r="N448" s="8" t="s">
        <v>2937</v>
      </c>
      <c r="O448" s="1" t="s">
        <v>2934</v>
      </c>
      <c r="P448">
        <v>30</v>
      </c>
      <c r="Q448">
        <v>30</v>
      </c>
      <c r="R448">
        <v>0</v>
      </c>
      <c r="S448">
        <f t="shared" si="62"/>
        <v>30</v>
      </c>
      <c r="T448" s="1" t="s">
        <v>2935</v>
      </c>
      <c r="U448" s="1" t="s">
        <v>2932</v>
      </c>
      <c r="V448" s="3">
        <f t="shared" si="63"/>
        <v>40000</v>
      </c>
      <c r="W448" s="3">
        <f t="shared" si="64"/>
        <v>16000</v>
      </c>
      <c r="X448" s="3">
        <f t="shared" si="56"/>
        <v>1250</v>
      </c>
      <c r="Y448" s="3">
        <f t="shared" si="57"/>
        <v>1600</v>
      </c>
      <c r="Z448" s="3">
        <f t="shared" si="58"/>
        <v>1800</v>
      </c>
      <c r="AA448" s="3">
        <v>0</v>
      </c>
      <c r="AB448" s="3">
        <f>ROUND(U448 - (V448+W448+X448+Y448) - (U448/Q448 * 2),0)</f>
        <v>34483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f>SUM(V448+W448+X448+Y448+AB448)</f>
        <v>93333</v>
      </c>
      <c r="AK448" s="3">
        <f>SUM(AJ448-AA448)</f>
        <v>93333</v>
      </c>
      <c r="AL448" s="3">
        <f>IF(V448&lt;=15000,V448*12%,1800)</f>
        <v>1800</v>
      </c>
      <c r="AM448" s="3">
        <v>0</v>
      </c>
      <c r="AN448" s="3">
        <f t="shared" si="59"/>
        <v>1800</v>
      </c>
      <c r="AO448" s="12">
        <v>200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3">
        <f t="shared" si="61"/>
        <v>200</v>
      </c>
      <c r="AV448" s="3">
        <f>SUM(AJ448 - AN448 - AU448)</f>
        <v>91333</v>
      </c>
      <c r="AW448" s="11">
        <v>0</v>
      </c>
      <c r="AX448" s="11">
        <v>0</v>
      </c>
      <c r="AY448" s="11">
        <v>0</v>
      </c>
      <c r="AZ448" s="11">
        <v>0</v>
      </c>
      <c r="BA448" s="3">
        <f t="shared" si="60"/>
        <v>91333</v>
      </c>
    </row>
    <row r="449" spans="1:53" x14ac:dyDescent="0.25">
      <c r="A449" s="1" t="s">
        <v>447</v>
      </c>
      <c r="B449" s="9" t="s">
        <v>1099</v>
      </c>
      <c r="C449" s="9" t="s">
        <v>1010</v>
      </c>
      <c r="D449" s="9" t="s">
        <v>1948</v>
      </c>
      <c r="E449" s="9" t="s">
        <v>1012</v>
      </c>
      <c r="F449" s="10">
        <v>45544</v>
      </c>
      <c r="G449" s="9" t="s">
        <v>1013</v>
      </c>
      <c r="I449" s="9" t="s">
        <v>1014</v>
      </c>
      <c r="J449" s="9" t="s">
        <v>1015</v>
      </c>
      <c r="K449" s="8" t="s">
        <v>1006</v>
      </c>
      <c r="L449" s="8" t="s">
        <v>1007</v>
      </c>
      <c r="M449" s="8" t="s">
        <v>2933</v>
      </c>
      <c r="N449" s="8" t="s">
        <v>2937</v>
      </c>
      <c r="O449" s="1" t="s">
        <v>2934</v>
      </c>
      <c r="P449">
        <v>30</v>
      </c>
      <c r="Q449">
        <v>30</v>
      </c>
      <c r="R449">
        <v>0</v>
      </c>
      <c r="S449">
        <f t="shared" si="62"/>
        <v>30</v>
      </c>
      <c r="T449" s="1" t="s">
        <v>2935</v>
      </c>
      <c r="U449" s="1" t="s">
        <v>2932</v>
      </c>
      <c r="V449" s="3">
        <f t="shared" si="63"/>
        <v>40000</v>
      </c>
      <c r="W449" s="3">
        <f t="shared" si="64"/>
        <v>16000</v>
      </c>
      <c r="X449" s="3">
        <f t="shared" si="56"/>
        <v>1250</v>
      </c>
      <c r="Y449" s="3">
        <f t="shared" si="57"/>
        <v>1600</v>
      </c>
      <c r="Z449" s="3">
        <f t="shared" si="58"/>
        <v>1800</v>
      </c>
      <c r="AA449" s="3">
        <v>0</v>
      </c>
      <c r="AB449" s="3">
        <f>ROUND(U449 - (V449+W449+X449+Y449) - (U449/Q449 * 2),0)</f>
        <v>34483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f>SUM(V449+W449+X449+Y449+AB449)</f>
        <v>93333</v>
      </c>
      <c r="AK449" s="3">
        <f>SUM(AJ449-AA449)</f>
        <v>93333</v>
      </c>
      <c r="AL449" s="3">
        <f>IF(V449&lt;=15000,V449*12%,1800)</f>
        <v>1800</v>
      </c>
      <c r="AM449" s="3">
        <v>0</v>
      </c>
      <c r="AN449" s="3">
        <f t="shared" si="59"/>
        <v>1800</v>
      </c>
      <c r="AO449" s="12">
        <v>200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3">
        <f t="shared" si="61"/>
        <v>200</v>
      </c>
      <c r="AV449" s="3">
        <f>SUM(AJ449 - AN449 - AU449)</f>
        <v>91333</v>
      </c>
      <c r="AW449" s="11">
        <v>0</v>
      </c>
      <c r="AX449" s="11">
        <v>0</v>
      </c>
      <c r="AY449" s="11">
        <v>0</v>
      </c>
      <c r="AZ449" s="11">
        <v>0</v>
      </c>
      <c r="BA449" s="3">
        <f t="shared" si="60"/>
        <v>91333</v>
      </c>
    </row>
    <row r="450" spans="1:53" x14ac:dyDescent="0.25">
      <c r="A450" s="1" t="s">
        <v>448</v>
      </c>
      <c r="B450" s="9" t="s">
        <v>1946</v>
      </c>
      <c r="C450" s="9" t="s">
        <v>1063</v>
      </c>
      <c r="D450" s="9" t="s">
        <v>1947</v>
      </c>
      <c r="E450" s="9" t="s">
        <v>1012</v>
      </c>
      <c r="F450" s="10">
        <v>45544</v>
      </c>
      <c r="G450" s="9" t="s">
        <v>1013</v>
      </c>
      <c r="I450" s="9" t="s">
        <v>1014</v>
      </c>
      <c r="J450" s="9" t="s">
        <v>1015</v>
      </c>
      <c r="K450" s="8" t="s">
        <v>1006</v>
      </c>
      <c r="L450" s="8" t="s">
        <v>1007</v>
      </c>
      <c r="M450" s="8" t="s">
        <v>2933</v>
      </c>
      <c r="N450" s="8" t="s">
        <v>2937</v>
      </c>
      <c r="O450" s="1" t="s">
        <v>2934</v>
      </c>
      <c r="P450">
        <v>30</v>
      </c>
      <c r="Q450">
        <v>30</v>
      </c>
      <c r="R450">
        <v>0</v>
      </c>
      <c r="S450">
        <f t="shared" si="62"/>
        <v>30</v>
      </c>
      <c r="T450" s="1" t="s">
        <v>2935</v>
      </c>
      <c r="U450" s="1" t="s">
        <v>2932</v>
      </c>
      <c r="V450" s="3">
        <f t="shared" si="63"/>
        <v>40000</v>
      </c>
      <c r="W450" s="3">
        <f t="shared" si="64"/>
        <v>16000</v>
      </c>
      <c r="X450" s="3">
        <f t="shared" si="56"/>
        <v>1250</v>
      </c>
      <c r="Y450" s="3">
        <f t="shared" si="57"/>
        <v>1600</v>
      </c>
      <c r="Z450" s="3">
        <f t="shared" si="58"/>
        <v>1800</v>
      </c>
      <c r="AA450" s="3">
        <v>0</v>
      </c>
      <c r="AB450" s="3">
        <f>ROUND(U450 - (V450+W450+X450+Y450) - (U450/Q450 * 2),0)</f>
        <v>34483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f>SUM(V450+W450+X450+Y450+AB450)</f>
        <v>93333</v>
      </c>
      <c r="AK450" s="3">
        <f>SUM(AJ450-AA450)</f>
        <v>93333</v>
      </c>
      <c r="AL450" s="3">
        <f>IF(V450&lt;=15000,V450*12%,1800)</f>
        <v>1800</v>
      </c>
      <c r="AM450" s="3">
        <v>0</v>
      </c>
      <c r="AN450" s="3">
        <f t="shared" si="59"/>
        <v>1800</v>
      </c>
      <c r="AO450" s="12">
        <v>200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3">
        <f t="shared" si="61"/>
        <v>200</v>
      </c>
      <c r="AV450" s="3">
        <f>SUM(AJ450 - AN450 - AU450)</f>
        <v>91333</v>
      </c>
      <c r="AW450" s="11">
        <v>0</v>
      </c>
      <c r="AX450" s="11">
        <v>0</v>
      </c>
      <c r="AY450" s="11">
        <v>0</v>
      </c>
      <c r="AZ450" s="11">
        <v>0</v>
      </c>
      <c r="BA450" s="3">
        <f t="shared" si="60"/>
        <v>91333</v>
      </c>
    </row>
    <row r="451" spans="1:53" x14ac:dyDescent="0.25">
      <c r="A451" s="1" t="s">
        <v>449</v>
      </c>
      <c r="B451" s="9" t="s">
        <v>1944</v>
      </c>
      <c r="C451" s="9" t="s">
        <v>1026</v>
      </c>
      <c r="D451" s="9" t="s">
        <v>1945</v>
      </c>
      <c r="E451" s="9" t="s">
        <v>1008</v>
      </c>
      <c r="F451" s="10">
        <v>45546</v>
      </c>
      <c r="G451" s="9" t="s">
        <v>1019</v>
      </c>
      <c r="I451" s="9" t="s">
        <v>1014</v>
      </c>
      <c r="J451" s="9" t="s">
        <v>1015</v>
      </c>
      <c r="K451" s="8" t="s">
        <v>1006</v>
      </c>
      <c r="L451" s="8" t="s">
        <v>1007</v>
      </c>
      <c r="M451" s="8" t="s">
        <v>2933</v>
      </c>
      <c r="N451" s="8" t="s">
        <v>2937</v>
      </c>
      <c r="O451" s="1" t="s">
        <v>2934</v>
      </c>
      <c r="P451">
        <v>30</v>
      </c>
      <c r="Q451">
        <v>30</v>
      </c>
      <c r="R451">
        <v>0</v>
      </c>
      <c r="S451">
        <f t="shared" si="62"/>
        <v>30</v>
      </c>
      <c r="T451" s="1" t="s">
        <v>2935</v>
      </c>
      <c r="U451" s="1" t="s">
        <v>2932</v>
      </c>
      <c r="V451" s="3">
        <f t="shared" si="63"/>
        <v>40000</v>
      </c>
      <c r="W451" s="3">
        <f t="shared" si="64"/>
        <v>16000</v>
      </c>
      <c r="X451" s="3">
        <f t="shared" ref="X451:X514" si="65">ROUND(1250 - ((1250/Q451)*R451),0)</f>
        <v>1250</v>
      </c>
      <c r="Y451" s="3">
        <f t="shared" ref="Y451:Y514" si="66">ROUND(1600 - (1600/Q451) *R451,0)</f>
        <v>1600</v>
      </c>
      <c r="Z451" s="3">
        <f t="shared" ref="Z451:Z514" si="67">IF(V451&lt;=15000,V451*12%,1800)</f>
        <v>1800</v>
      </c>
      <c r="AA451" s="3">
        <v>0</v>
      </c>
      <c r="AB451" s="3">
        <f>ROUND(U451 - (V451+W451+X451+Y451) - (U451/Q451 * 2),0)</f>
        <v>34483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f>SUM(V451+W451+X451+Y451+AB451)</f>
        <v>93333</v>
      </c>
      <c r="AK451" s="3">
        <f>SUM(AJ451-AA451)</f>
        <v>93333</v>
      </c>
      <c r="AL451" s="3">
        <f>IF(V451&lt;=15000,V451*12%,1800)</f>
        <v>1800</v>
      </c>
      <c r="AM451" s="3">
        <v>0</v>
      </c>
      <c r="AN451" s="3">
        <f t="shared" ref="AN451:AN514" si="68">SUM(AL451+AM451)</f>
        <v>1800</v>
      </c>
      <c r="AO451" s="12">
        <v>200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3">
        <f t="shared" si="61"/>
        <v>200</v>
      </c>
      <c r="AV451" s="3">
        <f>SUM(AJ451 - AN451 - AU451)</f>
        <v>91333</v>
      </c>
      <c r="AW451" s="11">
        <v>0</v>
      </c>
      <c r="AX451" s="11">
        <v>0</v>
      </c>
      <c r="AY451" s="11">
        <v>0</v>
      </c>
      <c r="AZ451" s="11">
        <v>0</v>
      </c>
      <c r="BA451" s="3">
        <f t="shared" ref="BA451:BA514" si="69">AV451+AW451+AX451+AZ451</f>
        <v>91333</v>
      </c>
    </row>
    <row r="452" spans="1:53" x14ac:dyDescent="0.25">
      <c r="A452" s="1" t="s">
        <v>450</v>
      </c>
      <c r="B452" s="9" t="s">
        <v>1942</v>
      </c>
      <c r="C452" s="9" t="s">
        <v>1010</v>
      </c>
      <c r="D452" s="9" t="s">
        <v>1943</v>
      </c>
      <c r="E452" s="9" t="s">
        <v>1012</v>
      </c>
      <c r="F452" s="10">
        <v>45551</v>
      </c>
      <c r="G452" s="9" t="s">
        <v>1013</v>
      </c>
      <c r="I452" s="9" t="s">
        <v>1014</v>
      </c>
      <c r="J452" s="9" t="s">
        <v>1015</v>
      </c>
      <c r="K452" s="8" t="s">
        <v>1006</v>
      </c>
      <c r="L452" s="8" t="s">
        <v>1007</v>
      </c>
      <c r="M452" s="8" t="s">
        <v>2933</v>
      </c>
      <c r="N452" s="8" t="s">
        <v>2937</v>
      </c>
      <c r="O452" s="1" t="s">
        <v>2934</v>
      </c>
      <c r="P452">
        <v>30</v>
      </c>
      <c r="Q452">
        <v>30</v>
      </c>
      <c r="R452">
        <v>0</v>
      </c>
      <c r="S452">
        <f t="shared" si="62"/>
        <v>30</v>
      </c>
      <c r="T452" s="1" t="s">
        <v>2935</v>
      </c>
      <c r="U452" s="1" t="s">
        <v>2932</v>
      </c>
      <c r="V452" s="3">
        <f t="shared" si="63"/>
        <v>40000</v>
      </c>
      <c r="W452" s="3">
        <f t="shared" si="64"/>
        <v>16000</v>
      </c>
      <c r="X452" s="3">
        <f t="shared" si="65"/>
        <v>1250</v>
      </c>
      <c r="Y452" s="3">
        <f t="shared" si="66"/>
        <v>1600</v>
      </c>
      <c r="Z452" s="3">
        <f t="shared" si="67"/>
        <v>1800</v>
      </c>
      <c r="AA452" s="3">
        <v>0</v>
      </c>
      <c r="AB452" s="3">
        <f>ROUND(U452 - (V452+W452+X452+Y452) - (U452/Q452 * 2),0)</f>
        <v>34483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f>SUM(V452+W452+X452+Y452+AB452)</f>
        <v>93333</v>
      </c>
      <c r="AK452" s="3">
        <f>SUM(AJ452-AA452)</f>
        <v>93333</v>
      </c>
      <c r="AL452" s="3">
        <f>IF(V452&lt;=15000,V452*12%,1800)</f>
        <v>1800</v>
      </c>
      <c r="AM452" s="3">
        <v>0</v>
      </c>
      <c r="AN452" s="3">
        <f t="shared" si="68"/>
        <v>1800</v>
      </c>
      <c r="AO452" s="12">
        <v>200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3">
        <f t="shared" ref="AU452:AU515" si="70">SUM(AO452:AT452)</f>
        <v>200</v>
      </c>
      <c r="AV452" s="3">
        <f>SUM(AJ452 - AN452 - AU452)</f>
        <v>91333</v>
      </c>
      <c r="AW452" s="11">
        <v>0</v>
      </c>
      <c r="AX452" s="11">
        <v>0</v>
      </c>
      <c r="AY452" s="11">
        <v>0</v>
      </c>
      <c r="AZ452" s="11">
        <v>0</v>
      </c>
      <c r="BA452" s="3">
        <f t="shared" si="69"/>
        <v>91333</v>
      </c>
    </row>
    <row r="453" spans="1:53" x14ac:dyDescent="0.25">
      <c r="A453" s="1" t="s">
        <v>451</v>
      </c>
      <c r="B453" s="9" t="s">
        <v>1940</v>
      </c>
      <c r="C453" s="9" t="s">
        <v>1010</v>
      </c>
      <c r="D453" s="9" t="s">
        <v>1941</v>
      </c>
      <c r="E453" s="9" t="s">
        <v>1008</v>
      </c>
      <c r="F453" s="10">
        <v>45551</v>
      </c>
      <c r="G453" s="9" t="s">
        <v>1019</v>
      </c>
      <c r="I453" s="9" t="s">
        <v>1020</v>
      </c>
      <c r="J453" s="9" t="s">
        <v>1015</v>
      </c>
      <c r="K453" s="8" t="s">
        <v>1006</v>
      </c>
      <c r="L453" s="8" t="s">
        <v>1007</v>
      </c>
      <c r="M453" s="8" t="s">
        <v>2933</v>
      </c>
      <c r="N453" s="8" t="s">
        <v>2937</v>
      </c>
      <c r="O453" s="1" t="s">
        <v>2934</v>
      </c>
      <c r="P453">
        <v>30</v>
      </c>
      <c r="Q453">
        <v>30</v>
      </c>
      <c r="R453">
        <v>0</v>
      </c>
      <c r="S453">
        <f t="shared" ref="S453:S516" si="71">SUM(Q453-R453)</f>
        <v>30</v>
      </c>
      <c r="T453" s="1" t="s">
        <v>2935</v>
      </c>
      <c r="U453" s="1" t="s">
        <v>2932</v>
      </c>
      <c r="V453" s="3">
        <f t="shared" ref="V453:V516" si="72">ROUND((U453*40%) / Q453  * S453,0)</f>
        <v>40000</v>
      </c>
      <c r="W453" s="3">
        <f t="shared" ref="W453:W516" si="73">ROUND((U453*16%) / Q453  * S453,0)</f>
        <v>16000</v>
      </c>
      <c r="X453" s="3">
        <f t="shared" si="65"/>
        <v>1250</v>
      </c>
      <c r="Y453" s="3">
        <f t="shared" si="66"/>
        <v>1600</v>
      </c>
      <c r="Z453" s="3">
        <f t="shared" si="67"/>
        <v>1800</v>
      </c>
      <c r="AA453" s="3">
        <v>0</v>
      </c>
      <c r="AB453" s="3">
        <f>ROUND(U453 - (V453+W453+X453+Y453) - (U453/Q453 * 2),0)</f>
        <v>34483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f>SUM(V453+W453+X453+Y453+AB453)</f>
        <v>93333</v>
      </c>
      <c r="AK453" s="3">
        <f>SUM(AJ453-AA453)</f>
        <v>93333</v>
      </c>
      <c r="AL453" s="3">
        <f>IF(V453&lt;=15000,V453*12%,1800)</f>
        <v>1800</v>
      </c>
      <c r="AM453" s="3">
        <v>0</v>
      </c>
      <c r="AN453" s="3">
        <f t="shared" si="68"/>
        <v>1800</v>
      </c>
      <c r="AO453" s="12">
        <v>200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3">
        <f t="shared" si="70"/>
        <v>200</v>
      </c>
      <c r="AV453" s="3">
        <f>SUM(AJ453 - AN453 - AU453)</f>
        <v>91333</v>
      </c>
      <c r="AW453" s="11">
        <v>0</v>
      </c>
      <c r="AX453" s="11">
        <v>0</v>
      </c>
      <c r="AY453" s="11">
        <v>0</v>
      </c>
      <c r="AZ453" s="11">
        <v>0</v>
      </c>
      <c r="BA453" s="3">
        <f t="shared" si="69"/>
        <v>91333</v>
      </c>
    </row>
    <row r="454" spans="1:53" x14ac:dyDescent="0.25">
      <c r="A454" s="1" t="s">
        <v>452</v>
      </c>
      <c r="B454" s="9" t="s">
        <v>1938</v>
      </c>
      <c r="C454" s="9" t="s">
        <v>1010</v>
      </c>
      <c r="D454" s="9" t="s">
        <v>1939</v>
      </c>
      <c r="E454" s="9" t="s">
        <v>1008</v>
      </c>
      <c r="F454" s="10">
        <v>45553</v>
      </c>
      <c r="G454" s="9" t="s">
        <v>1013</v>
      </c>
      <c r="I454" s="9" t="s">
        <v>1014</v>
      </c>
      <c r="J454" s="9" t="s">
        <v>1015</v>
      </c>
      <c r="K454" s="8" t="s">
        <v>1006</v>
      </c>
      <c r="L454" s="8" t="s">
        <v>1007</v>
      </c>
      <c r="M454" s="8" t="s">
        <v>2933</v>
      </c>
      <c r="N454" s="8" t="s">
        <v>2937</v>
      </c>
      <c r="O454" s="1" t="s">
        <v>2934</v>
      </c>
      <c r="P454">
        <v>30</v>
      </c>
      <c r="Q454">
        <v>30</v>
      </c>
      <c r="R454">
        <v>0</v>
      </c>
      <c r="S454">
        <f t="shared" si="71"/>
        <v>30</v>
      </c>
      <c r="T454" s="1" t="s">
        <v>2935</v>
      </c>
      <c r="U454" s="1" t="s">
        <v>2932</v>
      </c>
      <c r="V454" s="3">
        <f t="shared" si="72"/>
        <v>40000</v>
      </c>
      <c r="W454" s="3">
        <f t="shared" si="73"/>
        <v>16000</v>
      </c>
      <c r="X454" s="3">
        <f t="shared" si="65"/>
        <v>1250</v>
      </c>
      <c r="Y454" s="3">
        <f t="shared" si="66"/>
        <v>1600</v>
      </c>
      <c r="Z454" s="3">
        <f t="shared" si="67"/>
        <v>1800</v>
      </c>
      <c r="AA454" s="3">
        <v>0</v>
      </c>
      <c r="AB454" s="3">
        <f>ROUND(U454 - (V454+W454+X454+Y454) - (U454/Q454 * 2),0)</f>
        <v>34483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f>SUM(V454+W454+X454+Y454+AB454)</f>
        <v>93333</v>
      </c>
      <c r="AK454" s="3">
        <f>SUM(AJ454-AA454)</f>
        <v>93333</v>
      </c>
      <c r="AL454" s="3">
        <f>IF(V454&lt;=15000,V454*12%,1800)</f>
        <v>1800</v>
      </c>
      <c r="AM454" s="3">
        <v>0</v>
      </c>
      <c r="AN454" s="3">
        <f t="shared" si="68"/>
        <v>1800</v>
      </c>
      <c r="AO454" s="12">
        <v>200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3">
        <f t="shared" si="70"/>
        <v>200</v>
      </c>
      <c r="AV454" s="3">
        <f>SUM(AJ454 - AN454 - AU454)</f>
        <v>91333</v>
      </c>
      <c r="AW454" s="11">
        <v>0</v>
      </c>
      <c r="AX454" s="11">
        <v>0</v>
      </c>
      <c r="AY454" s="11">
        <v>0</v>
      </c>
      <c r="AZ454" s="11">
        <v>0</v>
      </c>
      <c r="BA454" s="3">
        <f t="shared" si="69"/>
        <v>91333</v>
      </c>
    </row>
    <row r="455" spans="1:53" x14ac:dyDescent="0.25">
      <c r="A455" s="1" t="s">
        <v>453</v>
      </c>
      <c r="B455" s="9" t="s">
        <v>1936</v>
      </c>
      <c r="C455" s="9" t="s">
        <v>1216</v>
      </c>
      <c r="D455" s="9" t="s">
        <v>1937</v>
      </c>
      <c r="E455" s="9" t="s">
        <v>1008</v>
      </c>
      <c r="F455" s="10">
        <v>45558</v>
      </c>
      <c r="G455" s="9" t="s">
        <v>1019</v>
      </c>
      <c r="I455" s="9" t="s">
        <v>1020</v>
      </c>
      <c r="J455" s="9" t="s">
        <v>1021</v>
      </c>
      <c r="K455" s="8" t="s">
        <v>1006</v>
      </c>
      <c r="L455" s="8" t="s">
        <v>1007</v>
      </c>
      <c r="M455" s="8" t="s">
        <v>2933</v>
      </c>
      <c r="N455" s="8" t="s">
        <v>2937</v>
      </c>
      <c r="O455" s="1" t="s">
        <v>2934</v>
      </c>
      <c r="P455">
        <v>30</v>
      </c>
      <c r="Q455">
        <v>30</v>
      </c>
      <c r="R455">
        <v>0</v>
      </c>
      <c r="S455">
        <f t="shared" si="71"/>
        <v>30</v>
      </c>
      <c r="T455" s="1" t="s">
        <v>2935</v>
      </c>
      <c r="U455" s="1" t="s">
        <v>2932</v>
      </c>
      <c r="V455" s="3">
        <f t="shared" si="72"/>
        <v>40000</v>
      </c>
      <c r="W455" s="3">
        <f t="shared" si="73"/>
        <v>16000</v>
      </c>
      <c r="X455" s="3">
        <f t="shared" si="65"/>
        <v>1250</v>
      </c>
      <c r="Y455" s="3">
        <f t="shared" si="66"/>
        <v>1600</v>
      </c>
      <c r="Z455" s="3">
        <f t="shared" si="67"/>
        <v>1800</v>
      </c>
      <c r="AA455" s="3">
        <v>0</v>
      </c>
      <c r="AB455" s="3">
        <f>ROUND(U455 - (V455+W455+X455+Y455) - (U455/Q455 * 2),0)</f>
        <v>34483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f>SUM(V455+W455+X455+Y455+AB455)</f>
        <v>93333</v>
      </c>
      <c r="AK455" s="3">
        <f>SUM(AJ455-AA455)</f>
        <v>93333</v>
      </c>
      <c r="AL455" s="3">
        <f>IF(V455&lt;=15000,V455*12%,1800)</f>
        <v>1800</v>
      </c>
      <c r="AM455" s="3">
        <v>0</v>
      </c>
      <c r="AN455" s="3">
        <f t="shared" si="68"/>
        <v>1800</v>
      </c>
      <c r="AO455" s="12">
        <v>200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3">
        <f t="shared" si="70"/>
        <v>200</v>
      </c>
      <c r="AV455" s="3">
        <f>SUM(AJ455 - AN455 - AU455)</f>
        <v>91333</v>
      </c>
      <c r="AW455" s="11">
        <v>0</v>
      </c>
      <c r="AX455" s="11">
        <v>0</v>
      </c>
      <c r="AY455" s="11">
        <v>0</v>
      </c>
      <c r="AZ455" s="11">
        <v>0</v>
      </c>
      <c r="BA455" s="3">
        <f t="shared" si="69"/>
        <v>91333</v>
      </c>
    </row>
    <row r="456" spans="1:53" x14ac:dyDescent="0.25">
      <c r="A456" s="1" t="s">
        <v>454</v>
      </c>
      <c r="B456" s="9" t="s">
        <v>1608</v>
      </c>
      <c r="C456" s="9" t="s">
        <v>1063</v>
      </c>
      <c r="D456" s="9" t="s">
        <v>1935</v>
      </c>
      <c r="E456" s="9" t="s">
        <v>1008</v>
      </c>
      <c r="F456" s="10">
        <v>45574</v>
      </c>
      <c r="G456" s="9" t="s">
        <v>1019</v>
      </c>
      <c r="I456" s="9" t="s">
        <v>1014</v>
      </c>
      <c r="J456" s="9" t="s">
        <v>1015</v>
      </c>
      <c r="K456" s="8" t="s">
        <v>1006</v>
      </c>
      <c r="L456" s="8" t="s">
        <v>1007</v>
      </c>
      <c r="M456" s="8" t="s">
        <v>2933</v>
      </c>
      <c r="N456" s="8" t="s">
        <v>2937</v>
      </c>
      <c r="O456" s="1" t="s">
        <v>2934</v>
      </c>
      <c r="P456">
        <v>30</v>
      </c>
      <c r="Q456">
        <v>30</v>
      </c>
      <c r="R456">
        <v>0</v>
      </c>
      <c r="S456">
        <f t="shared" si="71"/>
        <v>30</v>
      </c>
      <c r="T456" s="1" t="s">
        <v>2935</v>
      </c>
      <c r="U456" s="1" t="s">
        <v>2932</v>
      </c>
      <c r="V456" s="3">
        <f t="shared" si="72"/>
        <v>40000</v>
      </c>
      <c r="W456" s="3">
        <f t="shared" si="73"/>
        <v>16000</v>
      </c>
      <c r="X456" s="3">
        <f t="shared" si="65"/>
        <v>1250</v>
      </c>
      <c r="Y456" s="3">
        <f t="shared" si="66"/>
        <v>1600</v>
      </c>
      <c r="Z456" s="3">
        <f t="shared" si="67"/>
        <v>1800</v>
      </c>
      <c r="AA456" s="3">
        <v>0</v>
      </c>
      <c r="AB456" s="3">
        <f>ROUND(U456 - (V456+W456+X456+Y456) - (U456/Q456 * 2),0)</f>
        <v>34483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f>SUM(V456+W456+X456+Y456+AB456)</f>
        <v>93333</v>
      </c>
      <c r="AK456" s="3">
        <f>SUM(AJ456-AA456)</f>
        <v>93333</v>
      </c>
      <c r="AL456" s="3">
        <f>IF(V456&lt;=15000,V456*12%,1800)</f>
        <v>1800</v>
      </c>
      <c r="AM456" s="3">
        <v>0</v>
      </c>
      <c r="AN456" s="3">
        <f t="shared" si="68"/>
        <v>1800</v>
      </c>
      <c r="AO456" s="12">
        <v>200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3">
        <f t="shared" si="70"/>
        <v>200</v>
      </c>
      <c r="AV456" s="3">
        <f>SUM(AJ456 - AN456 - AU456)</f>
        <v>91333</v>
      </c>
      <c r="AW456" s="11">
        <v>0</v>
      </c>
      <c r="AX456" s="11">
        <v>0</v>
      </c>
      <c r="AY456" s="11">
        <v>0</v>
      </c>
      <c r="AZ456" s="11">
        <v>0</v>
      </c>
      <c r="BA456" s="3">
        <f t="shared" si="69"/>
        <v>91333</v>
      </c>
    </row>
    <row r="457" spans="1:53" x14ac:dyDescent="0.25">
      <c r="A457" s="1" t="s">
        <v>455</v>
      </c>
      <c r="B457" s="9" t="s">
        <v>1682</v>
      </c>
      <c r="C457" s="9" t="s">
        <v>1063</v>
      </c>
      <c r="D457" s="9" t="s">
        <v>1934</v>
      </c>
      <c r="E457" s="9" t="s">
        <v>1012</v>
      </c>
      <c r="F457" s="10">
        <v>45575</v>
      </c>
      <c r="G457" s="9" t="s">
        <v>1019</v>
      </c>
      <c r="I457" s="9" t="s">
        <v>1014</v>
      </c>
      <c r="J457" s="9" t="s">
        <v>1015</v>
      </c>
      <c r="K457" s="8" t="s">
        <v>1006</v>
      </c>
      <c r="L457" s="8" t="s">
        <v>1007</v>
      </c>
      <c r="M457" s="8" t="s">
        <v>2933</v>
      </c>
      <c r="N457" s="8" t="s">
        <v>2937</v>
      </c>
      <c r="O457" s="1" t="s">
        <v>2934</v>
      </c>
      <c r="P457">
        <v>30</v>
      </c>
      <c r="Q457">
        <v>30</v>
      </c>
      <c r="R457">
        <v>0</v>
      </c>
      <c r="S457">
        <f t="shared" si="71"/>
        <v>30</v>
      </c>
      <c r="T457" s="1" t="s">
        <v>2935</v>
      </c>
      <c r="U457" s="1" t="s">
        <v>2932</v>
      </c>
      <c r="V457" s="3">
        <f t="shared" si="72"/>
        <v>40000</v>
      </c>
      <c r="W457" s="3">
        <f t="shared" si="73"/>
        <v>16000</v>
      </c>
      <c r="X457" s="3">
        <f t="shared" si="65"/>
        <v>1250</v>
      </c>
      <c r="Y457" s="3">
        <f t="shared" si="66"/>
        <v>1600</v>
      </c>
      <c r="Z457" s="3">
        <f t="shared" si="67"/>
        <v>1800</v>
      </c>
      <c r="AA457" s="3">
        <v>0</v>
      </c>
      <c r="AB457" s="3">
        <f>ROUND(U457 - (V457+W457+X457+Y457) - (U457/Q457 * 2),0)</f>
        <v>34483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f>SUM(V457+W457+X457+Y457+AB457)</f>
        <v>93333</v>
      </c>
      <c r="AK457" s="3">
        <f>SUM(AJ457-AA457)</f>
        <v>93333</v>
      </c>
      <c r="AL457" s="3">
        <f>IF(V457&lt;=15000,V457*12%,1800)</f>
        <v>1800</v>
      </c>
      <c r="AM457" s="3">
        <v>0</v>
      </c>
      <c r="AN457" s="3">
        <f t="shared" si="68"/>
        <v>1800</v>
      </c>
      <c r="AO457" s="12">
        <v>200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3">
        <f t="shared" si="70"/>
        <v>200</v>
      </c>
      <c r="AV457" s="3">
        <f>SUM(AJ457 - AN457 - AU457)</f>
        <v>91333</v>
      </c>
      <c r="AW457" s="11">
        <v>0</v>
      </c>
      <c r="AX457" s="11">
        <v>0</v>
      </c>
      <c r="AY457" s="11">
        <v>0</v>
      </c>
      <c r="AZ457" s="11">
        <v>0</v>
      </c>
      <c r="BA457" s="3">
        <f t="shared" si="69"/>
        <v>91333</v>
      </c>
    </row>
    <row r="458" spans="1:53" x14ac:dyDescent="0.25">
      <c r="A458" s="1" t="s">
        <v>456</v>
      </c>
      <c r="B458" s="9" t="s">
        <v>1932</v>
      </c>
      <c r="C458" s="9" t="s">
        <v>1063</v>
      </c>
      <c r="D458" s="9" t="s">
        <v>1933</v>
      </c>
      <c r="E458" s="9" t="s">
        <v>1012</v>
      </c>
      <c r="F458" s="10">
        <v>45586</v>
      </c>
      <c r="G458" s="9" t="s">
        <v>1019</v>
      </c>
      <c r="I458" s="9" t="s">
        <v>1014</v>
      </c>
      <c r="J458" s="9" t="s">
        <v>1015</v>
      </c>
      <c r="K458" s="8" t="s">
        <v>1006</v>
      </c>
      <c r="L458" s="8" t="s">
        <v>1007</v>
      </c>
      <c r="M458" s="8" t="s">
        <v>2933</v>
      </c>
      <c r="N458" s="8" t="s">
        <v>2937</v>
      </c>
      <c r="O458" s="1" t="s">
        <v>2934</v>
      </c>
      <c r="P458">
        <v>30</v>
      </c>
      <c r="Q458">
        <v>30</v>
      </c>
      <c r="R458">
        <v>0</v>
      </c>
      <c r="S458">
        <f t="shared" si="71"/>
        <v>30</v>
      </c>
      <c r="T458" s="1" t="s">
        <v>2935</v>
      </c>
      <c r="U458" s="1" t="s">
        <v>2932</v>
      </c>
      <c r="V458" s="3">
        <f t="shared" si="72"/>
        <v>40000</v>
      </c>
      <c r="W458" s="3">
        <f t="shared" si="73"/>
        <v>16000</v>
      </c>
      <c r="X458" s="3">
        <f t="shared" si="65"/>
        <v>1250</v>
      </c>
      <c r="Y458" s="3">
        <f t="shared" si="66"/>
        <v>1600</v>
      </c>
      <c r="Z458" s="3">
        <f t="shared" si="67"/>
        <v>1800</v>
      </c>
      <c r="AA458" s="3">
        <v>0</v>
      </c>
      <c r="AB458" s="3">
        <f>ROUND(U458 - (V458+W458+X458+Y458) - (U458/Q458 * 2),0)</f>
        <v>34483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f>SUM(V458+W458+X458+Y458+AB458)</f>
        <v>93333</v>
      </c>
      <c r="AK458" s="3">
        <f>SUM(AJ458-AA458)</f>
        <v>93333</v>
      </c>
      <c r="AL458" s="3">
        <f>IF(V458&lt;=15000,V458*12%,1800)</f>
        <v>1800</v>
      </c>
      <c r="AM458" s="3">
        <v>0</v>
      </c>
      <c r="AN458" s="3">
        <f t="shared" si="68"/>
        <v>1800</v>
      </c>
      <c r="AO458" s="12">
        <v>200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3">
        <f t="shared" si="70"/>
        <v>200</v>
      </c>
      <c r="AV458" s="3">
        <f>SUM(AJ458 - AN458 - AU458)</f>
        <v>91333</v>
      </c>
      <c r="AW458" s="11">
        <v>0</v>
      </c>
      <c r="AX458" s="11">
        <v>0</v>
      </c>
      <c r="AY458" s="11">
        <v>0</v>
      </c>
      <c r="AZ458" s="11">
        <v>0</v>
      </c>
      <c r="BA458" s="3">
        <f t="shared" si="69"/>
        <v>91333</v>
      </c>
    </row>
    <row r="459" spans="1:53" x14ac:dyDescent="0.25">
      <c r="A459" s="1" t="s">
        <v>457</v>
      </c>
      <c r="B459" s="9" t="s">
        <v>1930</v>
      </c>
      <c r="C459" s="9" t="s">
        <v>1063</v>
      </c>
      <c r="D459" s="9" t="s">
        <v>1931</v>
      </c>
      <c r="E459" s="9" t="s">
        <v>1008</v>
      </c>
      <c r="F459" s="10">
        <v>45593</v>
      </c>
      <c r="G459" s="9" t="s">
        <v>1019</v>
      </c>
      <c r="I459" s="9" t="s">
        <v>1020</v>
      </c>
      <c r="J459" s="9" t="s">
        <v>1015</v>
      </c>
      <c r="K459" s="8" t="s">
        <v>1006</v>
      </c>
      <c r="L459" s="8" t="s">
        <v>1007</v>
      </c>
      <c r="M459" s="8" t="s">
        <v>2933</v>
      </c>
      <c r="N459" s="8" t="s">
        <v>2937</v>
      </c>
      <c r="O459" s="1" t="s">
        <v>2934</v>
      </c>
      <c r="P459">
        <v>30</v>
      </c>
      <c r="Q459">
        <v>30</v>
      </c>
      <c r="R459">
        <v>0</v>
      </c>
      <c r="S459">
        <f t="shared" si="71"/>
        <v>30</v>
      </c>
      <c r="T459" s="1" t="s">
        <v>2935</v>
      </c>
      <c r="U459" s="1" t="s">
        <v>2932</v>
      </c>
      <c r="V459" s="3">
        <f t="shared" si="72"/>
        <v>40000</v>
      </c>
      <c r="W459" s="3">
        <f t="shared" si="73"/>
        <v>16000</v>
      </c>
      <c r="X459" s="3">
        <f t="shared" si="65"/>
        <v>1250</v>
      </c>
      <c r="Y459" s="3">
        <f t="shared" si="66"/>
        <v>1600</v>
      </c>
      <c r="Z459" s="3">
        <f t="shared" si="67"/>
        <v>1800</v>
      </c>
      <c r="AA459" s="3">
        <v>0</v>
      </c>
      <c r="AB459" s="3">
        <f>ROUND(U459 - (V459+W459+X459+Y459) - (U459/Q459 * 2),0)</f>
        <v>34483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f>SUM(V459+W459+X459+Y459+AB459)</f>
        <v>93333</v>
      </c>
      <c r="AK459" s="3">
        <f>SUM(AJ459-AA459)</f>
        <v>93333</v>
      </c>
      <c r="AL459" s="3">
        <f>IF(V459&lt;=15000,V459*12%,1800)</f>
        <v>1800</v>
      </c>
      <c r="AM459" s="3">
        <v>0</v>
      </c>
      <c r="AN459" s="3">
        <f t="shared" si="68"/>
        <v>1800</v>
      </c>
      <c r="AO459" s="12">
        <v>200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3">
        <f t="shared" si="70"/>
        <v>200</v>
      </c>
      <c r="AV459" s="3">
        <f>SUM(AJ459 - AN459 - AU459)</f>
        <v>91333</v>
      </c>
      <c r="AW459" s="11">
        <v>0</v>
      </c>
      <c r="AX459" s="11">
        <v>0</v>
      </c>
      <c r="AY459" s="11">
        <v>0</v>
      </c>
      <c r="AZ459" s="11">
        <v>0</v>
      </c>
      <c r="BA459" s="3">
        <f t="shared" si="69"/>
        <v>91333</v>
      </c>
    </row>
    <row r="460" spans="1:53" x14ac:dyDescent="0.25">
      <c r="A460" s="1" t="s">
        <v>458</v>
      </c>
      <c r="B460" s="9" t="s">
        <v>1928</v>
      </c>
      <c r="C460" s="9" t="s">
        <v>1026</v>
      </c>
      <c r="D460" s="9" t="s">
        <v>1929</v>
      </c>
      <c r="E460" s="9" t="s">
        <v>1012</v>
      </c>
      <c r="F460" s="10">
        <v>45595</v>
      </c>
      <c r="G460" s="9" t="s">
        <v>1019</v>
      </c>
      <c r="I460" s="9" t="s">
        <v>1014</v>
      </c>
      <c r="J460" s="9" t="s">
        <v>1015</v>
      </c>
      <c r="K460" s="8" t="s">
        <v>1006</v>
      </c>
      <c r="L460" s="8" t="s">
        <v>1007</v>
      </c>
      <c r="M460" s="8" t="s">
        <v>2933</v>
      </c>
      <c r="N460" s="8" t="s">
        <v>2937</v>
      </c>
      <c r="O460" s="1" t="s">
        <v>2934</v>
      </c>
      <c r="P460">
        <v>30</v>
      </c>
      <c r="Q460">
        <v>30</v>
      </c>
      <c r="R460">
        <v>0</v>
      </c>
      <c r="S460">
        <f t="shared" si="71"/>
        <v>30</v>
      </c>
      <c r="T460" s="1" t="s">
        <v>2935</v>
      </c>
      <c r="U460" s="1" t="s">
        <v>2932</v>
      </c>
      <c r="V460" s="3">
        <f t="shared" si="72"/>
        <v>40000</v>
      </c>
      <c r="W460" s="3">
        <f t="shared" si="73"/>
        <v>16000</v>
      </c>
      <c r="X460" s="3">
        <f t="shared" si="65"/>
        <v>1250</v>
      </c>
      <c r="Y460" s="3">
        <f t="shared" si="66"/>
        <v>1600</v>
      </c>
      <c r="Z460" s="3">
        <f t="shared" si="67"/>
        <v>1800</v>
      </c>
      <c r="AA460" s="3">
        <v>0</v>
      </c>
      <c r="AB460" s="3">
        <f>ROUND(U460 - (V460+W460+X460+Y460) - (U460/Q460 * 2),0)</f>
        <v>34483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f>SUM(V460+W460+X460+Y460+AB460)</f>
        <v>93333</v>
      </c>
      <c r="AK460" s="3">
        <f>SUM(AJ460-AA460)</f>
        <v>93333</v>
      </c>
      <c r="AL460" s="3">
        <f>IF(V460&lt;=15000,V460*12%,1800)</f>
        <v>1800</v>
      </c>
      <c r="AM460" s="3">
        <v>0</v>
      </c>
      <c r="AN460" s="3">
        <f t="shared" si="68"/>
        <v>1800</v>
      </c>
      <c r="AO460" s="12">
        <v>200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3">
        <f t="shared" si="70"/>
        <v>200</v>
      </c>
      <c r="AV460" s="3">
        <f>SUM(AJ460 - AN460 - AU460)</f>
        <v>91333</v>
      </c>
      <c r="AW460" s="11">
        <v>0</v>
      </c>
      <c r="AX460" s="11">
        <v>0</v>
      </c>
      <c r="AY460" s="11">
        <v>0</v>
      </c>
      <c r="AZ460" s="11">
        <v>0</v>
      </c>
      <c r="BA460" s="3">
        <f t="shared" si="69"/>
        <v>91333</v>
      </c>
    </row>
    <row r="461" spans="1:53" x14ac:dyDescent="0.25">
      <c r="A461" s="1" t="s">
        <v>459</v>
      </c>
      <c r="B461" s="9" t="s">
        <v>1926</v>
      </c>
      <c r="C461" s="9" t="s">
        <v>1128</v>
      </c>
      <c r="D461" s="9" t="s">
        <v>1927</v>
      </c>
      <c r="E461" s="9" t="s">
        <v>1008</v>
      </c>
      <c r="F461" s="10">
        <v>45616</v>
      </c>
      <c r="G461" s="9" t="s">
        <v>1019</v>
      </c>
      <c r="I461" s="9" t="s">
        <v>1042</v>
      </c>
      <c r="J461" s="9" t="s">
        <v>1048</v>
      </c>
      <c r="K461" s="8" t="s">
        <v>1006</v>
      </c>
      <c r="L461" s="8" t="s">
        <v>1007</v>
      </c>
      <c r="M461" s="8" t="s">
        <v>2933</v>
      </c>
      <c r="N461" s="8" t="s">
        <v>2937</v>
      </c>
      <c r="O461" s="1" t="s">
        <v>2934</v>
      </c>
      <c r="P461">
        <v>30</v>
      </c>
      <c r="Q461">
        <v>30</v>
      </c>
      <c r="R461">
        <v>0</v>
      </c>
      <c r="S461">
        <f t="shared" si="71"/>
        <v>30</v>
      </c>
      <c r="T461" s="1" t="s">
        <v>2935</v>
      </c>
      <c r="U461" s="1" t="s">
        <v>2932</v>
      </c>
      <c r="V461" s="3">
        <f t="shared" si="72"/>
        <v>40000</v>
      </c>
      <c r="W461" s="3">
        <f t="shared" si="73"/>
        <v>16000</v>
      </c>
      <c r="X461" s="3">
        <f t="shared" si="65"/>
        <v>1250</v>
      </c>
      <c r="Y461" s="3">
        <f t="shared" si="66"/>
        <v>1600</v>
      </c>
      <c r="Z461" s="3">
        <f t="shared" si="67"/>
        <v>1800</v>
      </c>
      <c r="AA461" s="3">
        <v>0</v>
      </c>
      <c r="AB461" s="3">
        <f>ROUND(U461 - (V461+W461+X461+Y461) - (U461/Q461 * 2),0)</f>
        <v>34483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f>SUM(V461+W461+X461+Y461+AB461)</f>
        <v>93333</v>
      </c>
      <c r="AK461" s="3">
        <f>SUM(AJ461-AA461)</f>
        <v>93333</v>
      </c>
      <c r="AL461" s="3">
        <f>IF(V461&lt;=15000,V461*12%,1800)</f>
        <v>1800</v>
      </c>
      <c r="AM461" s="3">
        <v>0</v>
      </c>
      <c r="AN461" s="3">
        <f t="shared" si="68"/>
        <v>1800</v>
      </c>
      <c r="AO461" s="12">
        <v>200</v>
      </c>
      <c r="AP461" s="12">
        <v>0</v>
      </c>
      <c r="AQ461" s="12">
        <v>0</v>
      </c>
      <c r="AR461" s="12">
        <v>0</v>
      </c>
      <c r="AS461" s="12">
        <v>0</v>
      </c>
      <c r="AT461" s="12">
        <v>0</v>
      </c>
      <c r="AU461" s="3">
        <f t="shared" si="70"/>
        <v>200</v>
      </c>
      <c r="AV461" s="3">
        <f>SUM(AJ461 - AN461 - AU461)</f>
        <v>91333</v>
      </c>
      <c r="AW461" s="11">
        <v>0</v>
      </c>
      <c r="AX461" s="11">
        <v>0</v>
      </c>
      <c r="AY461" s="11">
        <v>0</v>
      </c>
      <c r="AZ461" s="11">
        <v>0</v>
      </c>
      <c r="BA461" s="3">
        <f t="shared" si="69"/>
        <v>91333</v>
      </c>
    </row>
    <row r="462" spans="1:53" x14ac:dyDescent="0.25">
      <c r="A462" s="1" t="s">
        <v>460</v>
      </c>
      <c r="B462" s="9" t="s">
        <v>1924</v>
      </c>
      <c r="C462" s="9" t="s">
        <v>1128</v>
      </c>
      <c r="D462" s="9" t="s">
        <v>1925</v>
      </c>
      <c r="E462" s="9" t="s">
        <v>1008</v>
      </c>
      <c r="F462" s="10">
        <v>45616</v>
      </c>
      <c r="G462" s="9" t="s">
        <v>1013</v>
      </c>
      <c r="I462" s="9" t="s">
        <v>1042</v>
      </c>
      <c r="J462" s="9" t="s">
        <v>1048</v>
      </c>
      <c r="K462" s="8" t="s">
        <v>1006</v>
      </c>
      <c r="L462" s="8" t="s">
        <v>1007</v>
      </c>
      <c r="M462" s="8" t="s">
        <v>2933</v>
      </c>
      <c r="N462" s="8" t="s">
        <v>2937</v>
      </c>
      <c r="O462" s="1" t="s">
        <v>2934</v>
      </c>
      <c r="P462">
        <v>30</v>
      </c>
      <c r="Q462">
        <v>30</v>
      </c>
      <c r="R462">
        <v>0</v>
      </c>
      <c r="S462">
        <f t="shared" si="71"/>
        <v>30</v>
      </c>
      <c r="T462" s="1" t="s">
        <v>2935</v>
      </c>
      <c r="U462" s="1" t="s">
        <v>2932</v>
      </c>
      <c r="V462" s="3">
        <f t="shared" si="72"/>
        <v>40000</v>
      </c>
      <c r="W462" s="3">
        <f t="shared" si="73"/>
        <v>16000</v>
      </c>
      <c r="X462" s="3">
        <f t="shared" si="65"/>
        <v>1250</v>
      </c>
      <c r="Y462" s="3">
        <f t="shared" si="66"/>
        <v>1600</v>
      </c>
      <c r="Z462" s="3">
        <f t="shared" si="67"/>
        <v>1800</v>
      </c>
      <c r="AA462" s="3">
        <v>0</v>
      </c>
      <c r="AB462" s="3">
        <f>ROUND(U462 - (V462+W462+X462+Y462) - (U462/Q462 * 2),0)</f>
        <v>34483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f>SUM(V462+W462+X462+Y462+AB462)</f>
        <v>93333</v>
      </c>
      <c r="AK462" s="3">
        <f>SUM(AJ462-AA462)</f>
        <v>93333</v>
      </c>
      <c r="AL462" s="3">
        <f>IF(V462&lt;=15000,V462*12%,1800)</f>
        <v>1800</v>
      </c>
      <c r="AM462" s="3">
        <v>0</v>
      </c>
      <c r="AN462" s="3">
        <f t="shared" si="68"/>
        <v>1800</v>
      </c>
      <c r="AO462" s="12">
        <v>200</v>
      </c>
      <c r="AP462" s="12">
        <v>0</v>
      </c>
      <c r="AQ462" s="12">
        <v>0</v>
      </c>
      <c r="AR462" s="12">
        <v>0</v>
      </c>
      <c r="AS462" s="12">
        <v>0</v>
      </c>
      <c r="AT462" s="12">
        <v>0</v>
      </c>
      <c r="AU462" s="3">
        <f t="shared" si="70"/>
        <v>200</v>
      </c>
      <c r="AV462" s="3">
        <f>SUM(AJ462 - AN462 - AU462)</f>
        <v>91333</v>
      </c>
      <c r="AW462" s="11">
        <v>0</v>
      </c>
      <c r="AX462" s="11">
        <v>0</v>
      </c>
      <c r="AY462" s="11">
        <v>0</v>
      </c>
      <c r="AZ462" s="11">
        <v>0</v>
      </c>
      <c r="BA462" s="3">
        <f t="shared" si="69"/>
        <v>91333</v>
      </c>
    </row>
    <row r="463" spans="1:53" x14ac:dyDescent="0.25">
      <c r="A463" s="1" t="s">
        <v>461</v>
      </c>
      <c r="B463" s="9" t="s">
        <v>1579</v>
      </c>
      <c r="C463" s="9" t="s">
        <v>1128</v>
      </c>
      <c r="D463" s="9" t="s">
        <v>1980</v>
      </c>
      <c r="E463" s="9" t="s">
        <v>1008</v>
      </c>
      <c r="F463" s="10">
        <v>45616</v>
      </c>
      <c r="G463" s="9" t="s">
        <v>1019</v>
      </c>
      <c r="I463" s="9" t="s">
        <v>1042</v>
      </c>
      <c r="J463" s="9" t="s">
        <v>1048</v>
      </c>
      <c r="K463" s="8" t="s">
        <v>1006</v>
      </c>
      <c r="L463" s="8" t="s">
        <v>1007</v>
      </c>
      <c r="M463" s="8" t="s">
        <v>2933</v>
      </c>
      <c r="N463" s="8" t="s">
        <v>2937</v>
      </c>
      <c r="O463" s="1" t="s">
        <v>2934</v>
      </c>
      <c r="P463">
        <v>30</v>
      </c>
      <c r="Q463">
        <v>30</v>
      </c>
      <c r="R463">
        <v>0</v>
      </c>
      <c r="S463">
        <f t="shared" si="71"/>
        <v>30</v>
      </c>
      <c r="T463" s="1" t="s">
        <v>2935</v>
      </c>
      <c r="U463" s="1" t="s">
        <v>2932</v>
      </c>
      <c r="V463" s="3">
        <f t="shared" si="72"/>
        <v>40000</v>
      </c>
      <c r="W463" s="3">
        <f t="shared" si="73"/>
        <v>16000</v>
      </c>
      <c r="X463" s="3">
        <f t="shared" si="65"/>
        <v>1250</v>
      </c>
      <c r="Y463" s="3">
        <f t="shared" si="66"/>
        <v>1600</v>
      </c>
      <c r="Z463" s="3">
        <f t="shared" si="67"/>
        <v>1800</v>
      </c>
      <c r="AA463" s="3">
        <v>0</v>
      </c>
      <c r="AB463" s="3">
        <f>ROUND(U463 - (V463+W463+X463+Y463) - (U463/Q463 * 2),0)</f>
        <v>34483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f>SUM(V463+W463+X463+Y463+AB463)</f>
        <v>93333</v>
      </c>
      <c r="AK463" s="3">
        <f>SUM(AJ463-AA463)</f>
        <v>93333</v>
      </c>
      <c r="AL463" s="3">
        <f>IF(V463&lt;=15000,V463*12%,1800)</f>
        <v>1800</v>
      </c>
      <c r="AM463" s="3">
        <v>0</v>
      </c>
      <c r="AN463" s="3">
        <f t="shared" si="68"/>
        <v>1800</v>
      </c>
      <c r="AO463" s="12">
        <v>200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3">
        <f t="shared" si="70"/>
        <v>200</v>
      </c>
      <c r="AV463" s="3">
        <f>SUM(AJ463 - AN463 - AU463)</f>
        <v>91333</v>
      </c>
      <c r="AW463" s="11">
        <v>0</v>
      </c>
      <c r="AX463" s="11">
        <v>0</v>
      </c>
      <c r="AY463" s="11">
        <v>0</v>
      </c>
      <c r="AZ463" s="11">
        <v>0</v>
      </c>
      <c r="BA463" s="3">
        <f t="shared" si="69"/>
        <v>91333</v>
      </c>
    </row>
    <row r="464" spans="1:53" x14ac:dyDescent="0.25">
      <c r="A464" s="1" t="s">
        <v>462</v>
      </c>
      <c r="B464" s="9" t="s">
        <v>1978</v>
      </c>
      <c r="C464" s="9" t="s">
        <v>1128</v>
      </c>
      <c r="D464" s="9" t="s">
        <v>1979</v>
      </c>
      <c r="E464" s="9" t="s">
        <v>1008</v>
      </c>
      <c r="F464" s="10">
        <v>45616</v>
      </c>
      <c r="G464" s="9" t="s">
        <v>1019</v>
      </c>
      <c r="I464" s="9" t="s">
        <v>1042</v>
      </c>
      <c r="J464" s="9" t="s">
        <v>1048</v>
      </c>
      <c r="K464" s="8" t="s">
        <v>1006</v>
      </c>
      <c r="L464" s="8" t="s">
        <v>1007</v>
      </c>
      <c r="M464" s="8" t="s">
        <v>2933</v>
      </c>
      <c r="N464" s="8" t="s">
        <v>2937</v>
      </c>
      <c r="O464" s="1" t="s">
        <v>2934</v>
      </c>
      <c r="P464">
        <v>30</v>
      </c>
      <c r="Q464">
        <v>30</v>
      </c>
      <c r="R464">
        <v>0</v>
      </c>
      <c r="S464">
        <f t="shared" si="71"/>
        <v>30</v>
      </c>
      <c r="T464" s="1" t="s">
        <v>2935</v>
      </c>
      <c r="U464" s="1" t="s">
        <v>2932</v>
      </c>
      <c r="V464" s="3">
        <f t="shared" si="72"/>
        <v>40000</v>
      </c>
      <c r="W464" s="3">
        <f t="shared" si="73"/>
        <v>16000</v>
      </c>
      <c r="X464" s="3">
        <f t="shared" si="65"/>
        <v>1250</v>
      </c>
      <c r="Y464" s="3">
        <f t="shared" si="66"/>
        <v>1600</v>
      </c>
      <c r="Z464" s="3">
        <f t="shared" si="67"/>
        <v>1800</v>
      </c>
      <c r="AA464" s="3">
        <v>0</v>
      </c>
      <c r="AB464" s="3">
        <f>ROUND(U464 - (V464+W464+X464+Y464) - (U464/Q464 * 2),0)</f>
        <v>34483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f>SUM(V464+W464+X464+Y464+AB464)</f>
        <v>93333</v>
      </c>
      <c r="AK464" s="3">
        <f>SUM(AJ464-AA464)</f>
        <v>93333</v>
      </c>
      <c r="AL464" s="3">
        <f>IF(V464&lt;=15000,V464*12%,1800)</f>
        <v>1800</v>
      </c>
      <c r="AM464" s="3">
        <v>0</v>
      </c>
      <c r="AN464" s="3">
        <f t="shared" si="68"/>
        <v>1800</v>
      </c>
      <c r="AO464" s="12">
        <v>200</v>
      </c>
      <c r="AP464" s="12">
        <v>0</v>
      </c>
      <c r="AQ464" s="12">
        <v>0</v>
      </c>
      <c r="AR464" s="12">
        <v>0</v>
      </c>
      <c r="AS464" s="12">
        <v>0</v>
      </c>
      <c r="AT464" s="12">
        <v>0</v>
      </c>
      <c r="AU464" s="3">
        <f t="shared" si="70"/>
        <v>200</v>
      </c>
      <c r="AV464" s="3">
        <f>SUM(AJ464 - AN464 - AU464)</f>
        <v>91333</v>
      </c>
      <c r="AW464" s="11">
        <v>0</v>
      </c>
      <c r="AX464" s="11">
        <v>0</v>
      </c>
      <c r="AY464" s="11">
        <v>0</v>
      </c>
      <c r="AZ464" s="11">
        <v>0</v>
      </c>
      <c r="BA464" s="3">
        <f t="shared" si="69"/>
        <v>91333</v>
      </c>
    </row>
    <row r="465" spans="1:53" x14ac:dyDescent="0.25">
      <c r="A465" s="1" t="s">
        <v>463</v>
      </c>
      <c r="B465" s="9" t="s">
        <v>1823</v>
      </c>
      <c r="C465" s="9" t="s">
        <v>1026</v>
      </c>
      <c r="D465" s="9" t="s">
        <v>1977</v>
      </c>
      <c r="E465" s="9" t="s">
        <v>1008</v>
      </c>
      <c r="F465" s="10">
        <v>45602</v>
      </c>
      <c r="G465" s="9" t="s">
        <v>1019</v>
      </c>
      <c r="I465" s="9" t="s">
        <v>1014</v>
      </c>
      <c r="J465" s="9" t="s">
        <v>1015</v>
      </c>
      <c r="K465" s="8" t="s">
        <v>1006</v>
      </c>
      <c r="L465" s="8" t="s">
        <v>1007</v>
      </c>
      <c r="M465" s="8" t="s">
        <v>2933</v>
      </c>
      <c r="N465" s="8" t="s">
        <v>2937</v>
      </c>
      <c r="O465" s="1" t="s">
        <v>2934</v>
      </c>
      <c r="P465">
        <v>30</v>
      </c>
      <c r="Q465">
        <v>30</v>
      </c>
      <c r="R465">
        <v>0</v>
      </c>
      <c r="S465">
        <f t="shared" si="71"/>
        <v>30</v>
      </c>
      <c r="T465" s="1" t="s">
        <v>2935</v>
      </c>
      <c r="U465" s="1" t="s">
        <v>2932</v>
      </c>
      <c r="V465" s="3">
        <f t="shared" si="72"/>
        <v>40000</v>
      </c>
      <c r="W465" s="3">
        <f t="shared" si="73"/>
        <v>16000</v>
      </c>
      <c r="X465" s="3">
        <f t="shared" si="65"/>
        <v>1250</v>
      </c>
      <c r="Y465" s="3">
        <f t="shared" si="66"/>
        <v>1600</v>
      </c>
      <c r="Z465" s="3">
        <f t="shared" si="67"/>
        <v>1800</v>
      </c>
      <c r="AA465" s="3">
        <v>0</v>
      </c>
      <c r="AB465" s="3">
        <f>ROUND(U465 - (V465+W465+X465+Y465) - (U465/Q465 * 2),0)</f>
        <v>34483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f>SUM(V465+W465+X465+Y465+AB465)</f>
        <v>93333</v>
      </c>
      <c r="AK465" s="3">
        <f>SUM(AJ465-AA465)</f>
        <v>93333</v>
      </c>
      <c r="AL465" s="3">
        <f>IF(V465&lt;=15000,V465*12%,1800)</f>
        <v>1800</v>
      </c>
      <c r="AM465" s="3">
        <v>0</v>
      </c>
      <c r="AN465" s="3">
        <f t="shared" si="68"/>
        <v>1800</v>
      </c>
      <c r="AO465" s="12">
        <v>200</v>
      </c>
      <c r="AP465" s="12">
        <v>0</v>
      </c>
      <c r="AQ465" s="12">
        <v>0</v>
      </c>
      <c r="AR465" s="12">
        <v>0</v>
      </c>
      <c r="AS465" s="12">
        <v>0</v>
      </c>
      <c r="AT465" s="12">
        <v>0</v>
      </c>
      <c r="AU465" s="3">
        <f t="shared" si="70"/>
        <v>200</v>
      </c>
      <c r="AV465" s="3">
        <f>SUM(AJ465 - AN465 - AU465)</f>
        <v>91333</v>
      </c>
      <c r="AW465" s="11">
        <v>0</v>
      </c>
      <c r="AX465" s="11">
        <v>0</v>
      </c>
      <c r="AY465" s="11">
        <v>0</v>
      </c>
      <c r="AZ465" s="11">
        <v>0</v>
      </c>
      <c r="BA465" s="3">
        <f t="shared" si="69"/>
        <v>91333</v>
      </c>
    </row>
    <row r="466" spans="1:53" x14ac:dyDescent="0.25">
      <c r="A466" s="1" t="s">
        <v>464</v>
      </c>
      <c r="B466" s="9" t="s">
        <v>1975</v>
      </c>
      <c r="C466" s="9" t="s">
        <v>1063</v>
      </c>
      <c r="D466" s="9" t="s">
        <v>1976</v>
      </c>
      <c r="E466" s="9" t="s">
        <v>1012</v>
      </c>
      <c r="F466" s="10">
        <v>45607</v>
      </c>
      <c r="G466" s="9" t="s">
        <v>1013</v>
      </c>
      <c r="I466" s="9" t="s">
        <v>1014</v>
      </c>
      <c r="J466" s="9" t="s">
        <v>1015</v>
      </c>
      <c r="K466" s="8" t="s">
        <v>1006</v>
      </c>
      <c r="L466" s="8" t="s">
        <v>1007</v>
      </c>
      <c r="M466" s="8" t="s">
        <v>2933</v>
      </c>
      <c r="N466" s="8" t="s">
        <v>2937</v>
      </c>
      <c r="O466" s="1" t="s">
        <v>2934</v>
      </c>
      <c r="P466">
        <v>30</v>
      </c>
      <c r="Q466">
        <v>30</v>
      </c>
      <c r="R466">
        <v>0</v>
      </c>
      <c r="S466">
        <f t="shared" si="71"/>
        <v>30</v>
      </c>
      <c r="T466" s="1" t="s">
        <v>2935</v>
      </c>
      <c r="U466" s="1" t="s">
        <v>2932</v>
      </c>
      <c r="V466" s="3">
        <f t="shared" si="72"/>
        <v>40000</v>
      </c>
      <c r="W466" s="3">
        <f t="shared" si="73"/>
        <v>16000</v>
      </c>
      <c r="X466" s="3">
        <f t="shared" si="65"/>
        <v>1250</v>
      </c>
      <c r="Y466" s="3">
        <f t="shared" si="66"/>
        <v>1600</v>
      </c>
      <c r="Z466" s="3">
        <f t="shared" si="67"/>
        <v>1800</v>
      </c>
      <c r="AA466" s="3">
        <v>0</v>
      </c>
      <c r="AB466" s="3">
        <f>ROUND(U466 - (V466+W466+X466+Y466) - (U466/Q466 * 2),0)</f>
        <v>34483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f>SUM(V466+W466+X466+Y466+AB466)</f>
        <v>93333</v>
      </c>
      <c r="AK466" s="3">
        <f>SUM(AJ466-AA466)</f>
        <v>93333</v>
      </c>
      <c r="AL466" s="3">
        <f>IF(V466&lt;=15000,V466*12%,1800)</f>
        <v>1800</v>
      </c>
      <c r="AM466" s="3">
        <v>0</v>
      </c>
      <c r="AN466" s="3">
        <f t="shared" si="68"/>
        <v>1800</v>
      </c>
      <c r="AO466" s="12">
        <v>200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3">
        <f t="shared" si="70"/>
        <v>200</v>
      </c>
      <c r="AV466" s="3">
        <f>SUM(AJ466 - AN466 - AU466)</f>
        <v>91333</v>
      </c>
      <c r="AW466" s="11">
        <v>0</v>
      </c>
      <c r="AX466" s="11">
        <v>0</v>
      </c>
      <c r="AY466" s="11">
        <v>0</v>
      </c>
      <c r="AZ466" s="11">
        <v>0</v>
      </c>
      <c r="BA466" s="3">
        <f t="shared" si="69"/>
        <v>91333</v>
      </c>
    </row>
    <row r="467" spans="1:53" x14ac:dyDescent="0.25">
      <c r="A467" s="1" t="s">
        <v>465</v>
      </c>
      <c r="B467" s="9" t="s">
        <v>1973</v>
      </c>
      <c r="C467" s="9" t="s">
        <v>1023</v>
      </c>
      <c r="D467" s="9" t="s">
        <v>1974</v>
      </c>
      <c r="E467" s="9" t="s">
        <v>1008</v>
      </c>
      <c r="F467" s="10">
        <v>45609</v>
      </c>
      <c r="G467" s="9" t="s">
        <v>1013</v>
      </c>
      <c r="I467" s="9" t="s">
        <v>1014</v>
      </c>
      <c r="J467" s="9" t="s">
        <v>1021</v>
      </c>
      <c r="K467" s="8" t="s">
        <v>1006</v>
      </c>
      <c r="L467" s="8" t="s">
        <v>1007</v>
      </c>
      <c r="M467" s="8" t="s">
        <v>2933</v>
      </c>
      <c r="N467" s="8" t="s">
        <v>2937</v>
      </c>
      <c r="O467" s="1" t="s">
        <v>2934</v>
      </c>
      <c r="P467">
        <v>30</v>
      </c>
      <c r="Q467">
        <v>30</v>
      </c>
      <c r="R467">
        <v>0</v>
      </c>
      <c r="S467">
        <f t="shared" si="71"/>
        <v>30</v>
      </c>
      <c r="T467" s="1" t="s">
        <v>2935</v>
      </c>
      <c r="U467" s="1" t="s">
        <v>2932</v>
      </c>
      <c r="V467" s="3">
        <f t="shared" si="72"/>
        <v>40000</v>
      </c>
      <c r="W467" s="3">
        <f t="shared" si="73"/>
        <v>16000</v>
      </c>
      <c r="X467" s="3">
        <f t="shared" si="65"/>
        <v>1250</v>
      </c>
      <c r="Y467" s="3">
        <f t="shared" si="66"/>
        <v>1600</v>
      </c>
      <c r="Z467" s="3">
        <f t="shared" si="67"/>
        <v>1800</v>
      </c>
      <c r="AA467" s="3">
        <v>0</v>
      </c>
      <c r="AB467" s="3">
        <f>ROUND(U467 - (V467+W467+X467+Y467) - (U467/Q467 * 2),0)</f>
        <v>34483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f>SUM(V467+W467+X467+Y467+AB467)</f>
        <v>93333</v>
      </c>
      <c r="AK467" s="3">
        <f>SUM(AJ467-AA467)</f>
        <v>93333</v>
      </c>
      <c r="AL467" s="3">
        <f>IF(V467&lt;=15000,V467*12%,1800)</f>
        <v>1800</v>
      </c>
      <c r="AM467" s="3">
        <v>0</v>
      </c>
      <c r="AN467" s="3">
        <f t="shared" si="68"/>
        <v>1800</v>
      </c>
      <c r="AO467" s="12">
        <v>200</v>
      </c>
      <c r="AP467" s="12">
        <v>0</v>
      </c>
      <c r="AQ467" s="12">
        <v>0</v>
      </c>
      <c r="AR467" s="12">
        <v>0</v>
      </c>
      <c r="AS467" s="12">
        <v>0</v>
      </c>
      <c r="AT467" s="12">
        <v>0</v>
      </c>
      <c r="AU467" s="3">
        <f t="shared" si="70"/>
        <v>200</v>
      </c>
      <c r="AV467" s="3">
        <f>SUM(AJ467 - AN467 - AU467)</f>
        <v>91333</v>
      </c>
      <c r="AW467" s="11">
        <v>0</v>
      </c>
      <c r="AX467" s="11">
        <v>0</v>
      </c>
      <c r="AY467" s="11">
        <v>0</v>
      </c>
      <c r="AZ467" s="11">
        <v>0</v>
      </c>
      <c r="BA467" s="3">
        <f t="shared" si="69"/>
        <v>91333</v>
      </c>
    </row>
    <row r="468" spans="1:53" x14ac:dyDescent="0.25">
      <c r="A468" s="1" t="s">
        <v>466</v>
      </c>
      <c r="B468" s="9" t="s">
        <v>1971</v>
      </c>
      <c r="C468" s="9" t="s">
        <v>1026</v>
      </c>
      <c r="D468" s="9" t="s">
        <v>1972</v>
      </c>
      <c r="E468" s="9" t="s">
        <v>1008</v>
      </c>
      <c r="F468" s="10">
        <v>45610</v>
      </c>
      <c r="G468" s="9" t="s">
        <v>1019</v>
      </c>
      <c r="I468" s="9" t="s">
        <v>1014</v>
      </c>
      <c r="J468" s="9" t="s">
        <v>1015</v>
      </c>
      <c r="K468" s="8" t="s">
        <v>1006</v>
      </c>
      <c r="L468" s="8" t="s">
        <v>1007</v>
      </c>
      <c r="M468" s="8" t="s">
        <v>2933</v>
      </c>
      <c r="N468" s="8" t="s">
        <v>2937</v>
      </c>
      <c r="O468" s="1" t="s">
        <v>2934</v>
      </c>
      <c r="P468">
        <v>30</v>
      </c>
      <c r="Q468">
        <v>30</v>
      </c>
      <c r="R468">
        <v>0</v>
      </c>
      <c r="S468">
        <f t="shared" si="71"/>
        <v>30</v>
      </c>
      <c r="T468" s="1" t="s">
        <v>2935</v>
      </c>
      <c r="U468" s="1" t="s">
        <v>2932</v>
      </c>
      <c r="V468" s="3">
        <f t="shared" si="72"/>
        <v>40000</v>
      </c>
      <c r="W468" s="3">
        <f t="shared" si="73"/>
        <v>16000</v>
      </c>
      <c r="X468" s="3">
        <f t="shared" si="65"/>
        <v>1250</v>
      </c>
      <c r="Y468" s="3">
        <f t="shared" si="66"/>
        <v>1600</v>
      </c>
      <c r="Z468" s="3">
        <f t="shared" si="67"/>
        <v>1800</v>
      </c>
      <c r="AA468" s="3">
        <v>0</v>
      </c>
      <c r="AB468" s="3">
        <f>ROUND(U468 - (V468+W468+X468+Y468) - (U468/Q468 * 2),0)</f>
        <v>34483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f>SUM(V468+W468+X468+Y468+AB468)</f>
        <v>93333</v>
      </c>
      <c r="AK468" s="3">
        <f>SUM(AJ468-AA468)</f>
        <v>93333</v>
      </c>
      <c r="AL468" s="3">
        <f>IF(V468&lt;=15000,V468*12%,1800)</f>
        <v>1800</v>
      </c>
      <c r="AM468" s="3">
        <v>0</v>
      </c>
      <c r="AN468" s="3">
        <f t="shared" si="68"/>
        <v>1800</v>
      </c>
      <c r="AO468" s="12">
        <v>200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3">
        <f t="shared" si="70"/>
        <v>200</v>
      </c>
      <c r="AV468" s="3">
        <f>SUM(AJ468 - AN468 - AU468)</f>
        <v>91333</v>
      </c>
      <c r="AW468" s="11">
        <v>0</v>
      </c>
      <c r="AX468" s="11">
        <v>0</v>
      </c>
      <c r="AY468" s="11">
        <v>0</v>
      </c>
      <c r="AZ468" s="11">
        <v>0</v>
      </c>
      <c r="BA468" s="3">
        <f t="shared" si="69"/>
        <v>91333</v>
      </c>
    </row>
    <row r="469" spans="1:53" x14ac:dyDescent="0.25">
      <c r="A469" s="1" t="s">
        <v>467</v>
      </c>
      <c r="B469" s="9" t="s">
        <v>1969</v>
      </c>
      <c r="C469" s="9" t="s">
        <v>1063</v>
      </c>
      <c r="D469" s="9" t="s">
        <v>1970</v>
      </c>
      <c r="E469" s="9" t="s">
        <v>1012</v>
      </c>
      <c r="F469" s="10">
        <v>45614</v>
      </c>
      <c r="G469" s="9" t="s">
        <v>1019</v>
      </c>
      <c r="I469" s="9" t="s">
        <v>1014</v>
      </c>
      <c r="J469" s="9" t="s">
        <v>1015</v>
      </c>
      <c r="K469" s="8" t="s">
        <v>1006</v>
      </c>
      <c r="L469" s="8" t="s">
        <v>1007</v>
      </c>
      <c r="M469" s="8" t="s">
        <v>2933</v>
      </c>
      <c r="N469" s="8" t="s">
        <v>2937</v>
      </c>
      <c r="O469" s="1" t="s">
        <v>2934</v>
      </c>
      <c r="P469">
        <v>30</v>
      </c>
      <c r="Q469">
        <v>30</v>
      </c>
      <c r="R469">
        <v>0</v>
      </c>
      <c r="S469">
        <f t="shared" si="71"/>
        <v>30</v>
      </c>
      <c r="T469" s="1" t="s">
        <v>2935</v>
      </c>
      <c r="U469" s="1" t="s">
        <v>2932</v>
      </c>
      <c r="V469" s="3">
        <f t="shared" si="72"/>
        <v>40000</v>
      </c>
      <c r="W469" s="3">
        <f t="shared" si="73"/>
        <v>16000</v>
      </c>
      <c r="X469" s="3">
        <f t="shared" si="65"/>
        <v>1250</v>
      </c>
      <c r="Y469" s="3">
        <f t="shared" si="66"/>
        <v>1600</v>
      </c>
      <c r="Z469" s="3">
        <f t="shared" si="67"/>
        <v>1800</v>
      </c>
      <c r="AA469" s="3">
        <v>0</v>
      </c>
      <c r="AB469" s="3">
        <f>ROUND(U469 - (V469+W469+X469+Y469) - (U469/Q469 * 2),0)</f>
        <v>34483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f>SUM(V469+W469+X469+Y469+AB469)</f>
        <v>93333</v>
      </c>
      <c r="AK469" s="3">
        <f>SUM(AJ469-AA469)</f>
        <v>93333</v>
      </c>
      <c r="AL469" s="3">
        <f>IF(V469&lt;=15000,V469*12%,1800)</f>
        <v>1800</v>
      </c>
      <c r="AM469" s="3">
        <v>0</v>
      </c>
      <c r="AN469" s="3">
        <f t="shared" si="68"/>
        <v>1800</v>
      </c>
      <c r="AO469" s="12">
        <v>200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3">
        <f t="shared" si="70"/>
        <v>200</v>
      </c>
      <c r="AV469" s="3">
        <f>SUM(AJ469 - AN469 - AU469)</f>
        <v>91333</v>
      </c>
      <c r="AW469" s="11">
        <v>0</v>
      </c>
      <c r="AX469" s="11">
        <v>0</v>
      </c>
      <c r="AY469" s="11">
        <v>0</v>
      </c>
      <c r="AZ469" s="11">
        <v>0</v>
      </c>
      <c r="BA469" s="3">
        <f t="shared" si="69"/>
        <v>91333</v>
      </c>
    </row>
    <row r="470" spans="1:53" x14ac:dyDescent="0.25">
      <c r="A470" s="1" t="s">
        <v>468</v>
      </c>
      <c r="B470" s="9" t="s">
        <v>1967</v>
      </c>
      <c r="C470" s="9" t="s">
        <v>1026</v>
      </c>
      <c r="D470" s="9" t="s">
        <v>1968</v>
      </c>
      <c r="E470" s="9" t="s">
        <v>1008</v>
      </c>
      <c r="F470" s="10">
        <v>45616</v>
      </c>
      <c r="G470" s="9" t="s">
        <v>1019</v>
      </c>
      <c r="I470" s="9" t="s">
        <v>1014</v>
      </c>
      <c r="J470" s="9" t="s">
        <v>1015</v>
      </c>
      <c r="K470" s="8" t="s">
        <v>1006</v>
      </c>
      <c r="L470" s="8" t="s">
        <v>1007</v>
      </c>
      <c r="M470" s="8" t="s">
        <v>2933</v>
      </c>
      <c r="N470" s="8" t="s">
        <v>2937</v>
      </c>
      <c r="O470" s="1" t="s">
        <v>2934</v>
      </c>
      <c r="P470">
        <v>30</v>
      </c>
      <c r="Q470">
        <v>30</v>
      </c>
      <c r="R470">
        <v>0</v>
      </c>
      <c r="S470">
        <f t="shared" si="71"/>
        <v>30</v>
      </c>
      <c r="T470" s="1" t="s">
        <v>2935</v>
      </c>
      <c r="U470" s="1" t="s">
        <v>2932</v>
      </c>
      <c r="V470" s="3">
        <f t="shared" si="72"/>
        <v>40000</v>
      </c>
      <c r="W470" s="3">
        <f t="shared" si="73"/>
        <v>16000</v>
      </c>
      <c r="X470" s="3">
        <f t="shared" si="65"/>
        <v>1250</v>
      </c>
      <c r="Y470" s="3">
        <f t="shared" si="66"/>
        <v>1600</v>
      </c>
      <c r="Z470" s="3">
        <f t="shared" si="67"/>
        <v>1800</v>
      </c>
      <c r="AA470" s="3">
        <v>0</v>
      </c>
      <c r="AB470" s="3">
        <f>ROUND(U470 - (V470+W470+X470+Y470) - (U470/Q470 * 2),0)</f>
        <v>34483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f>SUM(V470+W470+X470+Y470+AB470)</f>
        <v>93333</v>
      </c>
      <c r="AK470" s="3">
        <f>SUM(AJ470-AA470)</f>
        <v>93333</v>
      </c>
      <c r="AL470" s="3">
        <f>IF(V470&lt;=15000,V470*12%,1800)</f>
        <v>1800</v>
      </c>
      <c r="AM470" s="3">
        <v>0</v>
      </c>
      <c r="AN470" s="3">
        <f t="shared" si="68"/>
        <v>1800</v>
      </c>
      <c r="AO470" s="12">
        <v>200</v>
      </c>
      <c r="AP470" s="12">
        <v>0</v>
      </c>
      <c r="AQ470" s="12">
        <v>0</v>
      </c>
      <c r="AR470" s="12">
        <v>0</v>
      </c>
      <c r="AS470" s="12">
        <v>0</v>
      </c>
      <c r="AT470" s="12">
        <v>0</v>
      </c>
      <c r="AU470" s="3">
        <f t="shared" si="70"/>
        <v>200</v>
      </c>
      <c r="AV470" s="3">
        <f>SUM(AJ470 - AN470 - AU470)</f>
        <v>91333</v>
      </c>
      <c r="AW470" s="11">
        <v>0</v>
      </c>
      <c r="AX470" s="11">
        <v>0</v>
      </c>
      <c r="AY470" s="11">
        <v>0</v>
      </c>
      <c r="AZ470" s="11">
        <v>0</v>
      </c>
      <c r="BA470" s="3">
        <f t="shared" si="69"/>
        <v>91333</v>
      </c>
    </row>
    <row r="471" spans="1:53" x14ac:dyDescent="0.25">
      <c r="A471" s="1" t="s">
        <v>469</v>
      </c>
      <c r="B471" s="9" t="s">
        <v>1965</v>
      </c>
      <c r="C471" s="9" t="s">
        <v>1128</v>
      </c>
      <c r="D471" s="9" t="s">
        <v>1966</v>
      </c>
      <c r="E471" s="9" t="s">
        <v>1008</v>
      </c>
      <c r="F471" s="10">
        <v>45677</v>
      </c>
      <c r="G471" s="9" t="s">
        <v>1013</v>
      </c>
      <c r="I471" s="9" t="s">
        <v>1035</v>
      </c>
      <c r="J471" s="9" t="s">
        <v>1048</v>
      </c>
      <c r="K471" s="8" t="s">
        <v>1006</v>
      </c>
      <c r="L471" s="8" t="s">
        <v>1007</v>
      </c>
      <c r="M471" s="8" t="s">
        <v>2933</v>
      </c>
      <c r="N471" s="8" t="s">
        <v>2937</v>
      </c>
      <c r="O471" s="1" t="s">
        <v>2934</v>
      </c>
      <c r="P471">
        <v>30</v>
      </c>
      <c r="Q471">
        <v>30</v>
      </c>
      <c r="R471">
        <v>0</v>
      </c>
      <c r="S471">
        <f t="shared" si="71"/>
        <v>30</v>
      </c>
      <c r="T471" s="1" t="s">
        <v>2935</v>
      </c>
      <c r="U471" s="1" t="s">
        <v>2932</v>
      </c>
      <c r="V471" s="3">
        <f t="shared" si="72"/>
        <v>40000</v>
      </c>
      <c r="W471" s="3">
        <f t="shared" si="73"/>
        <v>16000</v>
      </c>
      <c r="X471" s="3">
        <f t="shared" si="65"/>
        <v>1250</v>
      </c>
      <c r="Y471" s="3">
        <f t="shared" si="66"/>
        <v>1600</v>
      </c>
      <c r="Z471" s="3">
        <f t="shared" si="67"/>
        <v>1800</v>
      </c>
      <c r="AA471" s="3">
        <v>0</v>
      </c>
      <c r="AB471" s="3">
        <f>ROUND(U471 - (V471+W471+X471+Y471) - (U471/Q471 * 2),0)</f>
        <v>34483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f>SUM(V471+W471+X471+Y471+AB471)</f>
        <v>93333</v>
      </c>
      <c r="AK471" s="3">
        <f>SUM(AJ471-AA471)</f>
        <v>93333</v>
      </c>
      <c r="AL471" s="3">
        <f>IF(V471&lt;=15000,V471*12%,1800)</f>
        <v>1800</v>
      </c>
      <c r="AM471" s="3">
        <v>0</v>
      </c>
      <c r="AN471" s="3">
        <f t="shared" si="68"/>
        <v>1800</v>
      </c>
      <c r="AO471" s="12">
        <v>200</v>
      </c>
      <c r="AP471" s="12">
        <v>0</v>
      </c>
      <c r="AQ471" s="12">
        <v>0</v>
      </c>
      <c r="AR471" s="12">
        <v>0</v>
      </c>
      <c r="AS471" s="12">
        <v>0</v>
      </c>
      <c r="AT471" s="12">
        <v>0</v>
      </c>
      <c r="AU471" s="3">
        <f t="shared" si="70"/>
        <v>200</v>
      </c>
      <c r="AV471" s="3">
        <f>SUM(AJ471 - AN471 - AU471)</f>
        <v>91333</v>
      </c>
      <c r="AW471" s="11">
        <v>0</v>
      </c>
      <c r="AX471" s="11">
        <v>0</v>
      </c>
      <c r="AY471" s="11">
        <v>0</v>
      </c>
      <c r="AZ471" s="11">
        <v>0</v>
      </c>
      <c r="BA471" s="3">
        <f t="shared" si="69"/>
        <v>91333</v>
      </c>
    </row>
    <row r="472" spans="1:53" x14ac:dyDescent="0.25">
      <c r="A472" s="1" t="s">
        <v>470</v>
      </c>
      <c r="B472" s="9" t="s">
        <v>1962</v>
      </c>
      <c r="C472" s="9" t="s">
        <v>1963</v>
      </c>
      <c r="D472" s="9" t="s">
        <v>1964</v>
      </c>
      <c r="E472" s="9" t="s">
        <v>1012</v>
      </c>
      <c r="F472" s="10">
        <v>45621</v>
      </c>
      <c r="G472" s="9" t="s">
        <v>1013</v>
      </c>
      <c r="I472" s="9" t="s">
        <v>1035</v>
      </c>
      <c r="J472" s="9" t="s">
        <v>1048</v>
      </c>
      <c r="K472" s="8" t="s">
        <v>1006</v>
      </c>
      <c r="L472" s="8" t="s">
        <v>1007</v>
      </c>
      <c r="M472" s="8" t="s">
        <v>2933</v>
      </c>
      <c r="N472" s="8" t="s">
        <v>2937</v>
      </c>
      <c r="O472" s="1" t="s">
        <v>2934</v>
      </c>
      <c r="P472">
        <v>30</v>
      </c>
      <c r="Q472">
        <v>30</v>
      </c>
      <c r="R472">
        <v>0</v>
      </c>
      <c r="S472">
        <f t="shared" si="71"/>
        <v>30</v>
      </c>
      <c r="T472" s="1" t="s">
        <v>2935</v>
      </c>
      <c r="U472" s="1" t="s">
        <v>2932</v>
      </c>
      <c r="V472" s="3">
        <f t="shared" si="72"/>
        <v>40000</v>
      </c>
      <c r="W472" s="3">
        <f t="shared" si="73"/>
        <v>16000</v>
      </c>
      <c r="X472" s="3">
        <f t="shared" si="65"/>
        <v>1250</v>
      </c>
      <c r="Y472" s="3">
        <f t="shared" si="66"/>
        <v>1600</v>
      </c>
      <c r="Z472" s="3">
        <f t="shared" si="67"/>
        <v>1800</v>
      </c>
      <c r="AA472" s="3">
        <v>0</v>
      </c>
      <c r="AB472" s="3">
        <f>ROUND(U472 - (V472+W472+X472+Y472) - (U472/Q472 * 2),0)</f>
        <v>34483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f>SUM(V472+W472+X472+Y472+AB472)</f>
        <v>93333</v>
      </c>
      <c r="AK472" s="3">
        <f>SUM(AJ472-AA472)</f>
        <v>93333</v>
      </c>
      <c r="AL472" s="3">
        <f>IF(V472&lt;=15000,V472*12%,1800)</f>
        <v>1800</v>
      </c>
      <c r="AM472" s="3">
        <v>0</v>
      </c>
      <c r="AN472" s="3">
        <f t="shared" si="68"/>
        <v>1800</v>
      </c>
      <c r="AO472" s="12">
        <v>200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3">
        <f t="shared" si="70"/>
        <v>200</v>
      </c>
      <c r="AV472" s="3">
        <f>SUM(AJ472 - AN472 - AU472)</f>
        <v>91333</v>
      </c>
      <c r="AW472" s="11">
        <v>0</v>
      </c>
      <c r="AX472" s="11">
        <v>0</v>
      </c>
      <c r="AY472" s="11">
        <v>0</v>
      </c>
      <c r="AZ472" s="11">
        <v>0</v>
      </c>
      <c r="BA472" s="3">
        <f t="shared" si="69"/>
        <v>91333</v>
      </c>
    </row>
    <row r="473" spans="1:53" x14ac:dyDescent="0.25">
      <c r="A473" s="1" t="s">
        <v>471</v>
      </c>
      <c r="B473" s="9" t="s">
        <v>1960</v>
      </c>
      <c r="C473" s="9" t="s">
        <v>1324</v>
      </c>
      <c r="D473" s="9" t="s">
        <v>1961</v>
      </c>
      <c r="E473" s="9" t="s">
        <v>1012</v>
      </c>
      <c r="F473" s="10">
        <v>45621</v>
      </c>
      <c r="G473" s="9" t="s">
        <v>1019</v>
      </c>
      <c r="I473" s="9" t="s">
        <v>1014</v>
      </c>
      <c r="J473" s="9" t="s">
        <v>1048</v>
      </c>
      <c r="K473" s="8" t="s">
        <v>1006</v>
      </c>
      <c r="L473" s="8" t="s">
        <v>1007</v>
      </c>
      <c r="M473" s="8" t="s">
        <v>2933</v>
      </c>
      <c r="N473" s="8" t="s">
        <v>2937</v>
      </c>
      <c r="O473" s="1" t="s">
        <v>2934</v>
      </c>
      <c r="P473">
        <v>30</v>
      </c>
      <c r="Q473">
        <v>30</v>
      </c>
      <c r="R473">
        <v>0</v>
      </c>
      <c r="S473">
        <f t="shared" si="71"/>
        <v>30</v>
      </c>
      <c r="T473" s="1" t="s">
        <v>2935</v>
      </c>
      <c r="U473" s="1" t="s">
        <v>2932</v>
      </c>
      <c r="V473" s="3">
        <f t="shared" si="72"/>
        <v>40000</v>
      </c>
      <c r="W473" s="3">
        <f t="shared" si="73"/>
        <v>16000</v>
      </c>
      <c r="X473" s="3">
        <f t="shared" si="65"/>
        <v>1250</v>
      </c>
      <c r="Y473" s="3">
        <f t="shared" si="66"/>
        <v>1600</v>
      </c>
      <c r="Z473" s="3">
        <f t="shared" si="67"/>
        <v>1800</v>
      </c>
      <c r="AA473" s="3">
        <v>0</v>
      </c>
      <c r="AB473" s="3">
        <f>ROUND(U473 - (V473+W473+X473+Y473) - (U473/Q473 * 2),0)</f>
        <v>34483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f>SUM(V473+W473+X473+Y473+AB473)</f>
        <v>93333</v>
      </c>
      <c r="AK473" s="3">
        <f>SUM(AJ473-AA473)</f>
        <v>93333</v>
      </c>
      <c r="AL473" s="3">
        <f>IF(V473&lt;=15000,V473*12%,1800)</f>
        <v>1800</v>
      </c>
      <c r="AM473" s="3">
        <v>0</v>
      </c>
      <c r="AN473" s="3">
        <f t="shared" si="68"/>
        <v>1800</v>
      </c>
      <c r="AO473" s="12">
        <v>200</v>
      </c>
      <c r="AP473" s="12">
        <v>0</v>
      </c>
      <c r="AQ473" s="12">
        <v>0</v>
      </c>
      <c r="AR473" s="12">
        <v>0</v>
      </c>
      <c r="AS473" s="12">
        <v>0</v>
      </c>
      <c r="AT473" s="12">
        <v>0</v>
      </c>
      <c r="AU473" s="3">
        <f t="shared" si="70"/>
        <v>200</v>
      </c>
      <c r="AV473" s="3">
        <f>SUM(AJ473 - AN473 - AU473)</f>
        <v>91333</v>
      </c>
      <c r="AW473" s="11">
        <v>0</v>
      </c>
      <c r="AX473" s="11">
        <v>0</v>
      </c>
      <c r="AY473" s="11">
        <v>0</v>
      </c>
      <c r="AZ473" s="11">
        <v>0</v>
      </c>
      <c r="BA473" s="3">
        <f t="shared" si="69"/>
        <v>91333</v>
      </c>
    </row>
    <row r="474" spans="1:53" x14ac:dyDescent="0.25">
      <c r="A474" s="1" t="s">
        <v>472</v>
      </c>
      <c r="B474" s="9" t="s">
        <v>1958</v>
      </c>
      <c r="C474" s="9" t="s">
        <v>1026</v>
      </c>
      <c r="D474" s="9" t="s">
        <v>1959</v>
      </c>
      <c r="E474" s="9" t="s">
        <v>1012</v>
      </c>
      <c r="F474" s="10">
        <v>45628</v>
      </c>
      <c r="G474" s="9" t="s">
        <v>1019</v>
      </c>
      <c r="I474" s="9" t="s">
        <v>1014</v>
      </c>
      <c r="J474" s="9" t="s">
        <v>1015</v>
      </c>
      <c r="K474" s="8" t="s">
        <v>1006</v>
      </c>
      <c r="L474" s="8" t="s">
        <v>1007</v>
      </c>
      <c r="M474" s="8" t="s">
        <v>2933</v>
      </c>
      <c r="N474" s="8" t="s">
        <v>2937</v>
      </c>
      <c r="O474" s="1" t="s">
        <v>2934</v>
      </c>
      <c r="P474">
        <v>30</v>
      </c>
      <c r="Q474">
        <v>30</v>
      </c>
      <c r="R474">
        <v>0</v>
      </c>
      <c r="S474">
        <f t="shared" si="71"/>
        <v>30</v>
      </c>
      <c r="T474" s="1" t="s">
        <v>2935</v>
      </c>
      <c r="U474" s="1" t="s">
        <v>2932</v>
      </c>
      <c r="V474" s="3">
        <f t="shared" si="72"/>
        <v>40000</v>
      </c>
      <c r="W474" s="3">
        <f t="shared" si="73"/>
        <v>16000</v>
      </c>
      <c r="X474" s="3">
        <f t="shared" si="65"/>
        <v>1250</v>
      </c>
      <c r="Y474" s="3">
        <f t="shared" si="66"/>
        <v>1600</v>
      </c>
      <c r="Z474" s="3">
        <f t="shared" si="67"/>
        <v>1800</v>
      </c>
      <c r="AA474" s="3">
        <v>0</v>
      </c>
      <c r="AB474" s="3">
        <f>ROUND(U474 - (V474+W474+X474+Y474) - (U474/Q474 * 2),0)</f>
        <v>34483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f>SUM(V474+W474+X474+Y474+AB474)</f>
        <v>93333</v>
      </c>
      <c r="AK474" s="3">
        <f>SUM(AJ474-AA474)</f>
        <v>93333</v>
      </c>
      <c r="AL474" s="3">
        <f>IF(V474&lt;=15000,V474*12%,1800)</f>
        <v>1800</v>
      </c>
      <c r="AM474" s="3">
        <v>0</v>
      </c>
      <c r="AN474" s="3">
        <f t="shared" si="68"/>
        <v>1800</v>
      </c>
      <c r="AO474" s="12">
        <v>200</v>
      </c>
      <c r="AP474" s="12">
        <v>0</v>
      </c>
      <c r="AQ474" s="12">
        <v>0</v>
      </c>
      <c r="AR474" s="12">
        <v>0</v>
      </c>
      <c r="AS474" s="12">
        <v>0</v>
      </c>
      <c r="AT474" s="12">
        <v>0</v>
      </c>
      <c r="AU474" s="3">
        <f t="shared" si="70"/>
        <v>200</v>
      </c>
      <c r="AV474" s="3">
        <f>SUM(AJ474 - AN474 - AU474)</f>
        <v>91333</v>
      </c>
      <c r="AW474" s="11">
        <v>0</v>
      </c>
      <c r="AX474" s="11">
        <v>0</v>
      </c>
      <c r="AY474" s="11">
        <v>0</v>
      </c>
      <c r="AZ474" s="11">
        <v>0</v>
      </c>
      <c r="BA474" s="3">
        <f t="shared" si="69"/>
        <v>91333</v>
      </c>
    </row>
    <row r="475" spans="1:53" x14ac:dyDescent="0.25">
      <c r="A475" s="1" t="s">
        <v>473</v>
      </c>
      <c r="B475" s="9" t="s">
        <v>1956</v>
      </c>
      <c r="C475" s="9" t="s">
        <v>1128</v>
      </c>
      <c r="D475" s="9" t="s">
        <v>1957</v>
      </c>
      <c r="E475" s="9" t="s">
        <v>1008</v>
      </c>
      <c r="F475" s="10">
        <v>45677</v>
      </c>
      <c r="G475" s="9" t="s">
        <v>1019</v>
      </c>
      <c r="I475" s="9" t="s">
        <v>1035</v>
      </c>
      <c r="J475" s="9" t="s">
        <v>1048</v>
      </c>
      <c r="K475" s="8" t="s">
        <v>1006</v>
      </c>
      <c r="L475" s="8" t="s">
        <v>1007</v>
      </c>
      <c r="M475" s="8" t="s">
        <v>2933</v>
      </c>
      <c r="N475" s="8" t="s">
        <v>2937</v>
      </c>
      <c r="O475" s="1" t="s">
        <v>2934</v>
      </c>
      <c r="P475">
        <v>30</v>
      </c>
      <c r="Q475">
        <v>30</v>
      </c>
      <c r="R475">
        <v>0</v>
      </c>
      <c r="S475">
        <f t="shared" si="71"/>
        <v>30</v>
      </c>
      <c r="T475" s="1" t="s">
        <v>2935</v>
      </c>
      <c r="U475" s="1" t="s">
        <v>2932</v>
      </c>
      <c r="V475" s="3">
        <f t="shared" si="72"/>
        <v>40000</v>
      </c>
      <c r="W475" s="3">
        <f t="shared" si="73"/>
        <v>16000</v>
      </c>
      <c r="X475" s="3">
        <f t="shared" si="65"/>
        <v>1250</v>
      </c>
      <c r="Y475" s="3">
        <f t="shared" si="66"/>
        <v>1600</v>
      </c>
      <c r="Z475" s="3">
        <f t="shared" si="67"/>
        <v>1800</v>
      </c>
      <c r="AA475" s="3">
        <v>0</v>
      </c>
      <c r="AB475" s="3">
        <f>ROUND(U475 - (V475+W475+X475+Y475) - (U475/Q475 * 2),0)</f>
        <v>34483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f>SUM(V475+W475+X475+Y475+AB475)</f>
        <v>93333</v>
      </c>
      <c r="AK475" s="3">
        <f>SUM(AJ475-AA475)</f>
        <v>93333</v>
      </c>
      <c r="AL475" s="3">
        <f>IF(V475&lt;=15000,V475*12%,1800)</f>
        <v>1800</v>
      </c>
      <c r="AM475" s="3">
        <v>0</v>
      </c>
      <c r="AN475" s="3">
        <f t="shared" si="68"/>
        <v>1800</v>
      </c>
      <c r="AO475" s="12">
        <v>200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3">
        <f t="shared" si="70"/>
        <v>200</v>
      </c>
      <c r="AV475" s="3">
        <f>SUM(AJ475 - AN475 - AU475)</f>
        <v>91333</v>
      </c>
      <c r="AW475" s="11">
        <v>0</v>
      </c>
      <c r="AX475" s="11">
        <v>0</v>
      </c>
      <c r="AY475" s="11">
        <v>0</v>
      </c>
      <c r="AZ475" s="11">
        <v>0</v>
      </c>
      <c r="BA475" s="3">
        <f t="shared" si="69"/>
        <v>91333</v>
      </c>
    </row>
    <row r="476" spans="1:53" x14ac:dyDescent="0.25">
      <c r="A476" s="1" t="s">
        <v>474</v>
      </c>
      <c r="B476" s="9" t="s">
        <v>1954</v>
      </c>
      <c r="C476" s="9" t="s">
        <v>1026</v>
      </c>
      <c r="D476" s="9" t="s">
        <v>1955</v>
      </c>
      <c r="E476" s="9" t="s">
        <v>1008</v>
      </c>
      <c r="F476" s="10">
        <v>44585</v>
      </c>
      <c r="G476" s="9" t="s">
        <v>1013</v>
      </c>
      <c r="I476" s="9" t="s">
        <v>1014</v>
      </c>
      <c r="J476" s="9" t="s">
        <v>1015</v>
      </c>
      <c r="K476" s="8" t="s">
        <v>1006</v>
      </c>
      <c r="L476" s="8" t="s">
        <v>1007</v>
      </c>
      <c r="M476" s="8" t="s">
        <v>2933</v>
      </c>
      <c r="N476" s="8" t="s">
        <v>2937</v>
      </c>
      <c r="O476" s="1" t="s">
        <v>2934</v>
      </c>
      <c r="P476">
        <v>30</v>
      </c>
      <c r="Q476">
        <v>30</v>
      </c>
      <c r="R476">
        <v>0</v>
      </c>
      <c r="S476">
        <f t="shared" si="71"/>
        <v>30</v>
      </c>
      <c r="T476" s="1" t="s">
        <v>2935</v>
      </c>
      <c r="U476" s="1" t="s">
        <v>2932</v>
      </c>
      <c r="V476" s="3">
        <f t="shared" si="72"/>
        <v>40000</v>
      </c>
      <c r="W476" s="3">
        <f t="shared" si="73"/>
        <v>16000</v>
      </c>
      <c r="X476" s="3">
        <f t="shared" si="65"/>
        <v>1250</v>
      </c>
      <c r="Y476" s="3">
        <f t="shared" si="66"/>
        <v>1600</v>
      </c>
      <c r="Z476" s="3">
        <f t="shared" si="67"/>
        <v>1800</v>
      </c>
      <c r="AA476" s="3">
        <v>0</v>
      </c>
      <c r="AB476" s="3">
        <f>ROUND(U476 - (V476+W476+X476+Y476) - (U476/Q476 * 2),0)</f>
        <v>34483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f>SUM(V476+W476+X476+Y476+AB476)</f>
        <v>93333</v>
      </c>
      <c r="AK476" s="3">
        <f>SUM(AJ476-AA476)</f>
        <v>93333</v>
      </c>
      <c r="AL476" s="3">
        <f>IF(V476&lt;=15000,V476*12%,1800)</f>
        <v>1800</v>
      </c>
      <c r="AM476" s="3">
        <v>0</v>
      </c>
      <c r="AN476" s="3">
        <f t="shared" si="68"/>
        <v>1800</v>
      </c>
      <c r="AO476" s="12">
        <v>200</v>
      </c>
      <c r="AP476" s="12">
        <v>0</v>
      </c>
      <c r="AQ476" s="12">
        <v>0</v>
      </c>
      <c r="AR476" s="12">
        <v>0</v>
      </c>
      <c r="AS476" s="12">
        <v>0</v>
      </c>
      <c r="AT476" s="12">
        <v>0</v>
      </c>
      <c r="AU476" s="3">
        <f t="shared" si="70"/>
        <v>200</v>
      </c>
      <c r="AV476" s="3">
        <f>SUM(AJ476 - AN476 - AU476)</f>
        <v>91333</v>
      </c>
      <c r="AW476" s="11">
        <v>0</v>
      </c>
      <c r="AX476" s="11">
        <v>0</v>
      </c>
      <c r="AY476" s="11">
        <v>0</v>
      </c>
      <c r="AZ476" s="11">
        <v>0</v>
      </c>
      <c r="BA476" s="3">
        <f t="shared" si="69"/>
        <v>91333</v>
      </c>
    </row>
    <row r="477" spans="1:53" x14ac:dyDescent="0.25">
      <c r="A477" s="1" t="s">
        <v>475</v>
      </c>
      <c r="B477" s="9" t="s">
        <v>1952</v>
      </c>
      <c r="C477" s="9" t="s">
        <v>1063</v>
      </c>
      <c r="D477" s="9" t="s">
        <v>1953</v>
      </c>
      <c r="E477" s="9" t="s">
        <v>1012</v>
      </c>
      <c r="F477" s="10">
        <v>44601</v>
      </c>
      <c r="G477" s="9" t="s">
        <v>1013</v>
      </c>
      <c r="I477" s="9" t="s">
        <v>1014</v>
      </c>
      <c r="J477" s="9" t="s">
        <v>1015</v>
      </c>
      <c r="K477" s="8" t="s">
        <v>1006</v>
      </c>
      <c r="L477" s="8" t="s">
        <v>1007</v>
      </c>
      <c r="M477" s="8" t="s">
        <v>2933</v>
      </c>
      <c r="N477" s="8" t="s">
        <v>2937</v>
      </c>
      <c r="O477" s="1" t="s">
        <v>2934</v>
      </c>
      <c r="P477">
        <v>30</v>
      </c>
      <c r="Q477">
        <v>30</v>
      </c>
      <c r="R477">
        <v>0</v>
      </c>
      <c r="S477">
        <f t="shared" si="71"/>
        <v>30</v>
      </c>
      <c r="T477" s="1" t="s">
        <v>2935</v>
      </c>
      <c r="U477" s="1" t="s">
        <v>2932</v>
      </c>
      <c r="V477" s="3">
        <f t="shared" si="72"/>
        <v>40000</v>
      </c>
      <c r="W477" s="3">
        <f t="shared" si="73"/>
        <v>16000</v>
      </c>
      <c r="X477" s="3">
        <f t="shared" si="65"/>
        <v>1250</v>
      </c>
      <c r="Y477" s="3">
        <f t="shared" si="66"/>
        <v>1600</v>
      </c>
      <c r="Z477" s="3">
        <f t="shared" si="67"/>
        <v>1800</v>
      </c>
      <c r="AA477" s="3">
        <v>0</v>
      </c>
      <c r="AB477" s="3">
        <f>ROUND(U477 - (V477+W477+X477+Y477) - (U477/Q477 * 2),0)</f>
        <v>34483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f>SUM(V477+W477+X477+Y477+AB477)</f>
        <v>93333</v>
      </c>
      <c r="AK477" s="3">
        <f>SUM(AJ477-AA477)</f>
        <v>93333</v>
      </c>
      <c r="AL477" s="3">
        <f>IF(V477&lt;=15000,V477*12%,1800)</f>
        <v>1800</v>
      </c>
      <c r="AM477" s="3">
        <v>0</v>
      </c>
      <c r="AN477" s="3">
        <f t="shared" si="68"/>
        <v>1800</v>
      </c>
      <c r="AO477" s="12">
        <v>200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3">
        <f t="shared" si="70"/>
        <v>200</v>
      </c>
      <c r="AV477" s="3">
        <f>SUM(AJ477 - AN477 - AU477)</f>
        <v>91333</v>
      </c>
      <c r="AW477" s="11">
        <v>0</v>
      </c>
      <c r="AX477" s="11">
        <v>0</v>
      </c>
      <c r="AY477" s="11">
        <v>0</v>
      </c>
      <c r="AZ477" s="11">
        <v>0</v>
      </c>
      <c r="BA477" s="3">
        <f t="shared" si="69"/>
        <v>91333</v>
      </c>
    </row>
    <row r="478" spans="1:53" x14ac:dyDescent="0.25">
      <c r="A478" s="1" t="s">
        <v>476</v>
      </c>
      <c r="B478" s="9" t="s">
        <v>1638</v>
      </c>
      <c r="C478" s="9" t="s">
        <v>1023</v>
      </c>
      <c r="D478" s="9">
        <v>0</v>
      </c>
      <c r="E478" s="9" t="s">
        <v>1012</v>
      </c>
      <c r="F478" s="10">
        <v>44601</v>
      </c>
      <c r="G478" s="9" t="s">
        <v>1019</v>
      </c>
      <c r="I478" s="9" t="s">
        <v>1014</v>
      </c>
      <c r="J478" s="9" t="s">
        <v>1021</v>
      </c>
      <c r="K478" s="8" t="s">
        <v>1006</v>
      </c>
      <c r="L478" s="8" t="s">
        <v>1007</v>
      </c>
      <c r="M478" s="8" t="s">
        <v>2933</v>
      </c>
      <c r="N478" s="8" t="s">
        <v>2937</v>
      </c>
      <c r="O478" s="1" t="s">
        <v>2934</v>
      </c>
      <c r="P478">
        <v>30</v>
      </c>
      <c r="Q478">
        <v>30</v>
      </c>
      <c r="R478">
        <v>0</v>
      </c>
      <c r="S478">
        <f t="shared" si="71"/>
        <v>30</v>
      </c>
      <c r="T478" s="1" t="s">
        <v>2935</v>
      </c>
      <c r="U478" s="1" t="s">
        <v>2932</v>
      </c>
      <c r="V478" s="3">
        <f t="shared" si="72"/>
        <v>40000</v>
      </c>
      <c r="W478" s="3">
        <f t="shared" si="73"/>
        <v>16000</v>
      </c>
      <c r="X478" s="3">
        <f t="shared" si="65"/>
        <v>1250</v>
      </c>
      <c r="Y478" s="3">
        <f t="shared" si="66"/>
        <v>1600</v>
      </c>
      <c r="Z478" s="3">
        <f t="shared" si="67"/>
        <v>1800</v>
      </c>
      <c r="AA478" s="3">
        <v>0</v>
      </c>
      <c r="AB478" s="3">
        <f>ROUND(U478 - (V478+W478+X478+Y478) - (U478/Q478 * 2),0)</f>
        <v>34483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f>SUM(V478+W478+X478+Y478+AB478)</f>
        <v>93333</v>
      </c>
      <c r="AK478" s="3">
        <f>SUM(AJ478-AA478)</f>
        <v>93333</v>
      </c>
      <c r="AL478" s="3">
        <f>IF(V478&lt;=15000,V478*12%,1800)</f>
        <v>1800</v>
      </c>
      <c r="AM478" s="3">
        <v>0</v>
      </c>
      <c r="AN478" s="3">
        <f t="shared" si="68"/>
        <v>1800</v>
      </c>
      <c r="AO478" s="12">
        <v>200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3">
        <f t="shared" si="70"/>
        <v>200</v>
      </c>
      <c r="AV478" s="3">
        <f>SUM(AJ478 - AN478 - AU478)</f>
        <v>91333</v>
      </c>
      <c r="AW478" s="11">
        <v>0</v>
      </c>
      <c r="AX478" s="11">
        <v>0</v>
      </c>
      <c r="AY478" s="11">
        <v>0</v>
      </c>
      <c r="AZ478" s="11">
        <v>0</v>
      </c>
      <c r="BA478" s="3">
        <f t="shared" si="69"/>
        <v>91333</v>
      </c>
    </row>
    <row r="479" spans="1:53" x14ac:dyDescent="0.25">
      <c r="A479" s="1" t="s">
        <v>477</v>
      </c>
      <c r="B479" s="9" t="s">
        <v>1596</v>
      </c>
      <c r="C479" s="9" t="s">
        <v>1010</v>
      </c>
      <c r="D479" s="9" t="s">
        <v>2006</v>
      </c>
      <c r="E479" s="9" t="s">
        <v>1012</v>
      </c>
      <c r="F479" s="10">
        <v>44582</v>
      </c>
      <c r="G479" s="9" t="s">
        <v>1013</v>
      </c>
      <c r="I479" s="9" t="s">
        <v>1014</v>
      </c>
      <c r="J479" s="9" t="s">
        <v>1015</v>
      </c>
      <c r="K479" s="8" t="s">
        <v>1006</v>
      </c>
      <c r="L479" s="8" t="s">
        <v>1007</v>
      </c>
      <c r="M479" s="8" t="s">
        <v>2933</v>
      </c>
      <c r="N479" s="8" t="s">
        <v>2937</v>
      </c>
      <c r="O479" s="1" t="s">
        <v>2934</v>
      </c>
      <c r="P479">
        <v>30</v>
      </c>
      <c r="Q479">
        <v>30</v>
      </c>
      <c r="R479">
        <v>0</v>
      </c>
      <c r="S479">
        <f t="shared" si="71"/>
        <v>30</v>
      </c>
      <c r="T479" s="1" t="s">
        <v>2935</v>
      </c>
      <c r="U479" s="1" t="s">
        <v>2932</v>
      </c>
      <c r="V479" s="3">
        <f t="shared" si="72"/>
        <v>40000</v>
      </c>
      <c r="W479" s="3">
        <f t="shared" si="73"/>
        <v>16000</v>
      </c>
      <c r="X479" s="3">
        <f t="shared" si="65"/>
        <v>1250</v>
      </c>
      <c r="Y479" s="3">
        <f t="shared" si="66"/>
        <v>1600</v>
      </c>
      <c r="Z479" s="3">
        <f t="shared" si="67"/>
        <v>1800</v>
      </c>
      <c r="AA479" s="3">
        <v>0</v>
      </c>
      <c r="AB479" s="3">
        <f>ROUND(U479 - (V479+W479+X479+Y479) - (U479/Q479 * 2),0)</f>
        <v>34483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f>SUM(V479+W479+X479+Y479+AB479)</f>
        <v>93333</v>
      </c>
      <c r="AK479" s="3">
        <f>SUM(AJ479-AA479)</f>
        <v>93333</v>
      </c>
      <c r="AL479" s="3">
        <f>IF(V479&lt;=15000,V479*12%,1800)</f>
        <v>1800</v>
      </c>
      <c r="AM479" s="3">
        <v>0</v>
      </c>
      <c r="AN479" s="3">
        <f t="shared" si="68"/>
        <v>1800</v>
      </c>
      <c r="AO479" s="12">
        <v>200</v>
      </c>
      <c r="AP479" s="12">
        <v>0</v>
      </c>
      <c r="AQ479" s="12">
        <v>0</v>
      </c>
      <c r="AR479" s="12">
        <v>0</v>
      </c>
      <c r="AS479" s="12">
        <v>0</v>
      </c>
      <c r="AT479" s="12">
        <v>0</v>
      </c>
      <c r="AU479" s="3">
        <f t="shared" si="70"/>
        <v>200</v>
      </c>
      <c r="AV479" s="3">
        <f>SUM(AJ479 - AN479 - AU479)</f>
        <v>91333</v>
      </c>
      <c r="AW479" s="11">
        <v>0</v>
      </c>
      <c r="AX479" s="11">
        <v>0</v>
      </c>
      <c r="AY479" s="11">
        <v>0</v>
      </c>
      <c r="AZ479" s="11">
        <v>0</v>
      </c>
      <c r="BA479" s="3">
        <f t="shared" si="69"/>
        <v>91333</v>
      </c>
    </row>
    <row r="480" spans="1:53" x14ac:dyDescent="0.25">
      <c r="A480" s="1" t="s">
        <v>478</v>
      </c>
      <c r="B480" s="9" t="s">
        <v>2004</v>
      </c>
      <c r="C480" s="9" t="s">
        <v>1063</v>
      </c>
      <c r="D480" s="9" t="s">
        <v>2005</v>
      </c>
      <c r="E480" s="9" t="s">
        <v>1008</v>
      </c>
      <c r="F480" s="10">
        <v>44580</v>
      </c>
      <c r="G480" s="9" t="s">
        <v>1013</v>
      </c>
      <c r="I480" s="9" t="s">
        <v>1014</v>
      </c>
      <c r="J480" s="9" t="s">
        <v>1015</v>
      </c>
      <c r="K480" s="8" t="s">
        <v>1006</v>
      </c>
      <c r="L480" s="8" t="s">
        <v>1007</v>
      </c>
      <c r="M480" s="8" t="s">
        <v>2933</v>
      </c>
      <c r="N480" s="8" t="s">
        <v>2937</v>
      </c>
      <c r="O480" s="1" t="s">
        <v>2934</v>
      </c>
      <c r="P480">
        <v>30</v>
      </c>
      <c r="Q480">
        <v>30</v>
      </c>
      <c r="R480">
        <v>0</v>
      </c>
      <c r="S480">
        <f t="shared" si="71"/>
        <v>30</v>
      </c>
      <c r="T480" s="1" t="s">
        <v>2935</v>
      </c>
      <c r="U480" s="1" t="s">
        <v>2932</v>
      </c>
      <c r="V480" s="3">
        <f t="shared" si="72"/>
        <v>40000</v>
      </c>
      <c r="W480" s="3">
        <f t="shared" si="73"/>
        <v>16000</v>
      </c>
      <c r="X480" s="3">
        <f t="shared" si="65"/>
        <v>1250</v>
      </c>
      <c r="Y480" s="3">
        <f t="shared" si="66"/>
        <v>1600</v>
      </c>
      <c r="Z480" s="3">
        <f t="shared" si="67"/>
        <v>1800</v>
      </c>
      <c r="AA480" s="3">
        <v>0</v>
      </c>
      <c r="AB480" s="3">
        <f>ROUND(U480 - (V480+W480+X480+Y480) - (U480/Q480 * 2),0)</f>
        <v>34483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f>SUM(V480+W480+X480+Y480+AB480)</f>
        <v>93333</v>
      </c>
      <c r="AK480" s="3">
        <f>SUM(AJ480-AA480)</f>
        <v>93333</v>
      </c>
      <c r="AL480" s="3">
        <f>IF(V480&lt;=15000,V480*12%,1800)</f>
        <v>1800</v>
      </c>
      <c r="AM480" s="3">
        <v>0</v>
      </c>
      <c r="AN480" s="3">
        <f t="shared" si="68"/>
        <v>1800</v>
      </c>
      <c r="AO480" s="12">
        <v>200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3">
        <f t="shared" si="70"/>
        <v>200</v>
      </c>
      <c r="AV480" s="3">
        <f>SUM(AJ480 - AN480 - AU480)</f>
        <v>91333</v>
      </c>
      <c r="AW480" s="11">
        <v>0</v>
      </c>
      <c r="AX480" s="11">
        <v>0</v>
      </c>
      <c r="AY480" s="11">
        <v>0</v>
      </c>
      <c r="AZ480" s="11">
        <v>0</v>
      </c>
      <c r="BA480" s="3">
        <f t="shared" si="69"/>
        <v>91333</v>
      </c>
    </row>
    <row r="481" spans="1:53" x14ac:dyDescent="0.25">
      <c r="A481" s="1" t="s">
        <v>479</v>
      </c>
      <c r="B481" s="9" t="s">
        <v>2002</v>
      </c>
      <c r="C481" s="9" t="s">
        <v>1023</v>
      </c>
      <c r="D481" s="9" t="s">
        <v>2003</v>
      </c>
      <c r="E481" s="9" t="s">
        <v>1012</v>
      </c>
      <c r="F481" s="10">
        <v>44585</v>
      </c>
      <c r="G481" s="9" t="s">
        <v>1019</v>
      </c>
      <c r="I481" s="9" t="s">
        <v>1035</v>
      </c>
      <c r="J481" s="9" t="s">
        <v>1021</v>
      </c>
      <c r="K481" s="8" t="s">
        <v>1006</v>
      </c>
      <c r="L481" s="8" t="s">
        <v>1007</v>
      </c>
      <c r="M481" s="8" t="s">
        <v>2933</v>
      </c>
      <c r="N481" s="8" t="s">
        <v>2937</v>
      </c>
      <c r="O481" s="1" t="s">
        <v>2934</v>
      </c>
      <c r="P481">
        <v>30</v>
      </c>
      <c r="Q481">
        <v>30</v>
      </c>
      <c r="R481">
        <v>0</v>
      </c>
      <c r="S481">
        <f t="shared" si="71"/>
        <v>30</v>
      </c>
      <c r="T481" s="1" t="s">
        <v>2935</v>
      </c>
      <c r="U481" s="1" t="s">
        <v>2932</v>
      </c>
      <c r="V481" s="3">
        <f t="shared" si="72"/>
        <v>40000</v>
      </c>
      <c r="W481" s="3">
        <f t="shared" si="73"/>
        <v>16000</v>
      </c>
      <c r="X481" s="3">
        <f t="shared" si="65"/>
        <v>1250</v>
      </c>
      <c r="Y481" s="3">
        <f t="shared" si="66"/>
        <v>1600</v>
      </c>
      <c r="Z481" s="3">
        <f t="shared" si="67"/>
        <v>1800</v>
      </c>
      <c r="AA481" s="3">
        <v>0</v>
      </c>
      <c r="AB481" s="3">
        <f>ROUND(U481 - (V481+W481+X481+Y481) - (U481/Q481 * 2),0)</f>
        <v>34483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f>SUM(V481+W481+X481+Y481+AB481)</f>
        <v>93333</v>
      </c>
      <c r="AK481" s="3">
        <f>SUM(AJ481-AA481)</f>
        <v>93333</v>
      </c>
      <c r="AL481" s="3">
        <f>IF(V481&lt;=15000,V481*12%,1800)</f>
        <v>1800</v>
      </c>
      <c r="AM481" s="3">
        <v>0</v>
      </c>
      <c r="AN481" s="3">
        <f t="shared" si="68"/>
        <v>1800</v>
      </c>
      <c r="AO481" s="12">
        <v>200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3">
        <f t="shared" si="70"/>
        <v>200</v>
      </c>
      <c r="AV481" s="3">
        <f>SUM(AJ481 - AN481 - AU481)</f>
        <v>91333</v>
      </c>
      <c r="AW481" s="11">
        <v>0</v>
      </c>
      <c r="AX481" s="11">
        <v>0</v>
      </c>
      <c r="AY481" s="11">
        <v>0</v>
      </c>
      <c r="AZ481" s="11">
        <v>0</v>
      </c>
      <c r="BA481" s="3">
        <f t="shared" si="69"/>
        <v>91333</v>
      </c>
    </row>
    <row r="482" spans="1:53" x14ac:dyDescent="0.25">
      <c r="A482" s="1" t="s">
        <v>480</v>
      </c>
      <c r="B482" s="9" t="s">
        <v>2000</v>
      </c>
      <c r="C482" s="9" t="s">
        <v>1444</v>
      </c>
      <c r="D482" s="9" t="s">
        <v>2001</v>
      </c>
      <c r="E482" s="9" t="s">
        <v>1008</v>
      </c>
      <c r="F482" s="10">
        <v>44594</v>
      </c>
      <c r="G482" s="9" t="s">
        <v>1019</v>
      </c>
      <c r="I482" s="9" t="s">
        <v>1042</v>
      </c>
      <c r="J482" s="9" t="s">
        <v>1052</v>
      </c>
      <c r="K482" s="8" t="s">
        <v>1006</v>
      </c>
      <c r="L482" s="8" t="s">
        <v>1007</v>
      </c>
      <c r="M482" s="8" t="s">
        <v>2933</v>
      </c>
      <c r="N482" s="8" t="s">
        <v>2937</v>
      </c>
      <c r="O482" s="1" t="s">
        <v>2934</v>
      </c>
      <c r="P482">
        <v>30</v>
      </c>
      <c r="Q482">
        <v>30</v>
      </c>
      <c r="R482">
        <v>0</v>
      </c>
      <c r="S482">
        <f t="shared" si="71"/>
        <v>30</v>
      </c>
      <c r="T482" s="1" t="s">
        <v>2935</v>
      </c>
      <c r="U482" s="1" t="s">
        <v>2932</v>
      </c>
      <c r="V482" s="3">
        <f t="shared" si="72"/>
        <v>40000</v>
      </c>
      <c r="W482" s="3">
        <f t="shared" si="73"/>
        <v>16000</v>
      </c>
      <c r="X482" s="3">
        <f t="shared" si="65"/>
        <v>1250</v>
      </c>
      <c r="Y482" s="3">
        <f t="shared" si="66"/>
        <v>1600</v>
      </c>
      <c r="Z482" s="3">
        <f t="shared" si="67"/>
        <v>1800</v>
      </c>
      <c r="AA482" s="3">
        <v>0</v>
      </c>
      <c r="AB482" s="3">
        <f>ROUND(U482 - (V482+W482+X482+Y482) - (U482/Q482 * 2),0)</f>
        <v>34483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f>SUM(V482+W482+X482+Y482+AB482)</f>
        <v>93333</v>
      </c>
      <c r="AK482" s="3">
        <f>SUM(AJ482-AA482)</f>
        <v>93333</v>
      </c>
      <c r="AL482" s="3">
        <f>IF(V482&lt;=15000,V482*12%,1800)</f>
        <v>1800</v>
      </c>
      <c r="AM482" s="3">
        <v>0</v>
      </c>
      <c r="AN482" s="3">
        <f t="shared" si="68"/>
        <v>1800</v>
      </c>
      <c r="AO482" s="12">
        <v>200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3">
        <f t="shared" si="70"/>
        <v>200</v>
      </c>
      <c r="AV482" s="3">
        <f>SUM(AJ482 - AN482 - AU482)</f>
        <v>91333</v>
      </c>
      <c r="AW482" s="11">
        <v>0</v>
      </c>
      <c r="AX482" s="11">
        <v>0</v>
      </c>
      <c r="AY482" s="11">
        <v>0</v>
      </c>
      <c r="AZ482" s="11">
        <v>0</v>
      </c>
      <c r="BA482" s="3">
        <f t="shared" si="69"/>
        <v>91333</v>
      </c>
    </row>
    <row r="483" spans="1:53" x14ac:dyDescent="0.25">
      <c r="A483" s="1" t="s">
        <v>481</v>
      </c>
      <c r="B483" s="9" t="s">
        <v>1998</v>
      </c>
      <c r="C483" s="9" t="s">
        <v>1663</v>
      </c>
      <c r="D483" s="9" t="s">
        <v>1999</v>
      </c>
      <c r="E483" s="9" t="s">
        <v>1012</v>
      </c>
      <c r="F483" s="10">
        <v>44594</v>
      </c>
      <c r="G483" s="9" t="s">
        <v>1019</v>
      </c>
      <c r="I483" s="9" t="s">
        <v>1035</v>
      </c>
      <c r="J483" s="9" t="s">
        <v>1440</v>
      </c>
      <c r="K483" s="8" t="s">
        <v>1006</v>
      </c>
      <c r="L483" s="8" t="s">
        <v>1007</v>
      </c>
      <c r="M483" s="8" t="s">
        <v>2933</v>
      </c>
      <c r="N483" s="8" t="s">
        <v>2937</v>
      </c>
      <c r="O483" s="1" t="s">
        <v>2934</v>
      </c>
      <c r="P483">
        <v>30</v>
      </c>
      <c r="Q483">
        <v>30</v>
      </c>
      <c r="R483">
        <v>0</v>
      </c>
      <c r="S483">
        <f t="shared" si="71"/>
        <v>30</v>
      </c>
      <c r="T483" s="1" t="s">
        <v>2935</v>
      </c>
      <c r="U483" s="1" t="s">
        <v>2932</v>
      </c>
      <c r="V483" s="3">
        <f t="shared" si="72"/>
        <v>40000</v>
      </c>
      <c r="W483" s="3">
        <f t="shared" si="73"/>
        <v>16000</v>
      </c>
      <c r="X483" s="3">
        <f t="shared" si="65"/>
        <v>1250</v>
      </c>
      <c r="Y483" s="3">
        <f t="shared" si="66"/>
        <v>1600</v>
      </c>
      <c r="Z483" s="3">
        <f t="shared" si="67"/>
        <v>1800</v>
      </c>
      <c r="AA483" s="3">
        <v>0</v>
      </c>
      <c r="AB483" s="3">
        <f>ROUND(U483 - (V483+W483+X483+Y483) - (U483/Q483 * 2),0)</f>
        <v>34483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f>SUM(V483+W483+X483+Y483+AB483)</f>
        <v>93333</v>
      </c>
      <c r="AK483" s="3">
        <f>SUM(AJ483-AA483)</f>
        <v>93333</v>
      </c>
      <c r="AL483" s="3">
        <f>IF(V483&lt;=15000,V483*12%,1800)</f>
        <v>1800</v>
      </c>
      <c r="AM483" s="3">
        <v>0</v>
      </c>
      <c r="AN483" s="3">
        <f t="shared" si="68"/>
        <v>1800</v>
      </c>
      <c r="AO483" s="12">
        <v>200</v>
      </c>
      <c r="AP483" s="12">
        <v>0</v>
      </c>
      <c r="AQ483" s="12">
        <v>0</v>
      </c>
      <c r="AR483" s="12">
        <v>0</v>
      </c>
      <c r="AS483" s="12">
        <v>0</v>
      </c>
      <c r="AT483" s="12">
        <v>0</v>
      </c>
      <c r="AU483" s="3">
        <f t="shared" si="70"/>
        <v>200</v>
      </c>
      <c r="AV483" s="3">
        <f>SUM(AJ483 - AN483 - AU483)</f>
        <v>91333</v>
      </c>
      <c r="AW483" s="11">
        <v>0</v>
      </c>
      <c r="AX483" s="11">
        <v>0</v>
      </c>
      <c r="AY483" s="11">
        <v>0</v>
      </c>
      <c r="AZ483" s="11">
        <v>0</v>
      </c>
      <c r="BA483" s="3">
        <f t="shared" si="69"/>
        <v>91333</v>
      </c>
    </row>
    <row r="484" spans="1:53" x14ac:dyDescent="0.25">
      <c r="A484" s="1" t="s">
        <v>482</v>
      </c>
      <c r="B484" s="9" t="s">
        <v>1996</v>
      </c>
      <c r="C484" s="9" t="s">
        <v>1115</v>
      </c>
      <c r="D484" s="9" t="s">
        <v>1997</v>
      </c>
      <c r="E484" s="9" t="s">
        <v>1012</v>
      </c>
      <c r="F484" s="10">
        <v>44594</v>
      </c>
      <c r="G484" s="9" t="s">
        <v>1019</v>
      </c>
      <c r="I484" s="9" t="s">
        <v>1035</v>
      </c>
      <c r="J484" s="9" t="s">
        <v>1048</v>
      </c>
      <c r="K484" s="8" t="s">
        <v>1006</v>
      </c>
      <c r="L484" s="8" t="s">
        <v>1007</v>
      </c>
      <c r="M484" s="8" t="s">
        <v>2933</v>
      </c>
      <c r="N484" s="8" t="s">
        <v>2937</v>
      </c>
      <c r="O484" s="1" t="s">
        <v>2934</v>
      </c>
      <c r="P484">
        <v>30</v>
      </c>
      <c r="Q484">
        <v>30</v>
      </c>
      <c r="R484">
        <v>0</v>
      </c>
      <c r="S484">
        <f t="shared" si="71"/>
        <v>30</v>
      </c>
      <c r="T484" s="1" t="s">
        <v>2935</v>
      </c>
      <c r="U484" s="1" t="s">
        <v>2932</v>
      </c>
      <c r="V484" s="3">
        <f t="shared" si="72"/>
        <v>40000</v>
      </c>
      <c r="W484" s="3">
        <f t="shared" si="73"/>
        <v>16000</v>
      </c>
      <c r="X484" s="3">
        <f t="shared" si="65"/>
        <v>1250</v>
      </c>
      <c r="Y484" s="3">
        <f t="shared" si="66"/>
        <v>1600</v>
      </c>
      <c r="Z484" s="3">
        <f t="shared" si="67"/>
        <v>1800</v>
      </c>
      <c r="AA484" s="3">
        <v>0</v>
      </c>
      <c r="AB484" s="3">
        <f>ROUND(U484 - (V484+W484+X484+Y484) - (U484/Q484 * 2),0)</f>
        <v>34483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f>SUM(V484+W484+X484+Y484+AB484)</f>
        <v>93333</v>
      </c>
      <c r="AK484" s="3">
        <f>SUM(AJ484-AA484)</f>
        <v>93333</v>
      </c>
      <c r="AL484" s="3">
        <f>IF(V484&lt;=15000,V484*12%,1800)</f>
        <v>1800</v>
      </c>
      <c r="AM484" s="3">
        <v>0</v>
      </c>
      <c r="AN484" s="3">
        <f t="shared" si="68"/>
        <v>1800</v>
      </c>
      <c r="AO484" s="12">
        <v>200</v>
      </c>
      <c r="AP484" s="12">
        <v>0</v>
      </c>
      <c r="AQ484" s="12">
        <v>0</v>
      </c>
      <c r="AR484" s="12">
        <v>0</v>
      </c>
      <c r="AS484" s="12">
        <v>0</v>
      </c>
      <c r="AT484" s="12">
        <v>0</v>
      </c>
      <c r="AU484" s="3">
        <f t="shared" si="70"/>
        <v>200</v>
      </c>
      <c r="AV484" s="3">
        <f>SUM(AJ484 - AN484 - AU484)</f>
        <v>91333</v>
      </c>
      <c r="AW484" s="11">
        <v>0</v>
      </c>
      <c r="AX484" s="11">
        <v>0</v>
      </c>
      <c r="AY484" s="11">
        <v>0</v>
      </c>
      <c r="AZ484" s="11">
        <v>0</v>
      </c>
      <c r="BA484" s="3">
        <f t="shared" si="69"/>
        <v>91333</v>
      </c>
    </row>
    <row r="485" spans="1:53" x14ac:dyDescent="0.25">
      <c r="A485" s="1" t="s">
        <v>483</v>
      </c>
      <c r="B485" s="9" t="s">
        <v>1994</v>
      </c>
      <c r="C485" s="9" t="s">
        <v>1023</v>
      </c>
      <c r="D485" s="9" t="s">
        <v>1995</v>
      </c>
      <c r="E485" s="9" t="s">
        <v>1012</v>
      </c>
      <c r="F485" s="10">
        <v>44594</v>
      </c>
      <c r="G485" s="9" t="s">
        <v>1013</v>
      </c>
      <c r="I485" s="9" t="s">
        <v>1014</v>
      </c>
      <c r="J485" s="9" t="s">
        <v>1021</v>
      </c>
      <c r="K485" s="8" t="s">
        <v>1006</v>
      </c>
      <c r="L485" s="8" t="s">
        <v>1007</v>
      </c>
      <c r="M485" s="8" t="s">
        <v>2933</v>
      </c>
      <c r="N485" s="8" t="s">
        <v>2937</v>
      </c>
      <c r="O485" s="1" t="s">
        <v>2934</v>
      </c>
      <c r="P485">
        <v>30</v>
      </c>
      <c r="Q485">
        <v>30</v>
      </c>
      <c r="R485">
        <v>0</v>
      </c>
      <c r="S485">
        <f t="shared" si="71"/>
        <v>30</v>
      </c>
      <c r="T485" s="1" t="s">
        <v>2935</v>
      </c>
      <c r="U485" s="1" t="s">
        <v>2932</v>
      </c>
      <c r="V485" s="3">
        <f t="shared" si="72"/>
        <v>40000</v>
      </c>
      <c r="W485" s="3">
        <f t="shared" si="73"/>
        <v>16000</v>
      </c>
      <c r="X485" s="3">
        <f t="shared" si="65"/>
        <v>1250</v>
      </c>
      <c r="Y485" s="3">
        <f t="shared" si="66"/>
        <v>1600</v>
      </c>
      <c r="Z485" s="3">
        <f t="shared" si="67"/>
        <v>1800</v>
      </c>
      <c r="AA485" s="3">
        <v>0</v>
      </c>
      <c r="AB485" s="3">
        <f>ROUND(U485 - (V485+W485+X485+Y485) - (U485/Q485 * 2),0)</f>
        <v>34483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f>SUM(V485+W485+X485+Y485+AB485)</f>
        <v>93333</v>
      </c>
      <c r="AK485" s="3">
        <f>SUM(AJ485-AA485)</f>
        <v>93333</v>
      </c>
      <c r="AL485" s="3">
        <f>IF(V485&lt;=15000,V485*12%,1800)</f>
        <v>1800</v>
      </c>
      <c r="AM485" s="3">
        <v>0</v>
      </c>
      <c r="AN485" s="3">
        <f t="shared" si="68"/>
        <v>1800</v>
      </c>
      <c r="AO485" s="12">
        <v>200</v>
      </c>
      <c r="AP485" s="12">
        <v>0</v>
      </c>
      <c r="AQ485" s="12">
        <v>0</v>
      </c>
      <c r="AR485" s="12">
        <v>0</v>
      </c>
      <c r="AS485" s="12">
        <v>0</v>
      </c>
      <c r="AT485" s="12">
        <v>0</v>
      </c>
      <c r="AU485" s="3">
        <f t="shared" si="70"/>
        <v>200</v>
      </c>
      <c r="AV485" s="3">
        <f>SUM(AJ485 - AN485 - AU485)</f>
        <v>91333</v>
      </c>
      <c r="AW485" s="11">
        <v>0</v>
      </c>
      <c r="AX485" s="11">
        <v>0</v>
      </c>
      <c r="AY485" s="11">
        <v>0</v>
      </c>
      <c r="AZ485" s="11">
        <v>0</v>
      </c>
      <c r="BA485" s="3">
        <f t="shared" si="69"/>
        <v>91333</v>
      </c>
    </row>
    <row r="486" spans="1:53" x14ac:dyDescent="0.25">
      <c r="A486" s="1" t="s">
        <v>484</v>
      </c>
      <c r="B486" s="9" t="s">
        <v>1993</v>
      </c>
      <c r="C486" s="9" t="s">
        <v>1063</v>
      </c>
      <c r="D486" s="9">
        <v>0</v>
      </c>
      <c r="E486" s="9" t="s">
        <v>1012</v>
      </c>
      <c r="F486" s="10">
        <v>44596</v>
      </c>
      <c r="G486" s="9" t="s">
        <v>1019</v>
      </c>
      <c r="I486" s="9" t="s">
        <v>1014</v>
      </c>
      <c r="J486" s="9" t="s">
        <v>1015</v>
      </c>
      <c r="K486" s="8" t="s">
        <v>1006</v>
      </c>
      <c r="L486" s="8" t="s">
        <v>1007</v>
      </c>
      <c r="M486" s="8" t="s">
        <v>2933</v>
      </c>
      <c r="N486" s="8" t="s">
        <v>2937</v>
      </c>
      <c r="O486" s="1" t="s">
        <v>2934</v>
      </c>
      <c r="P486">
        <v>30</v>
      </c>
      <c r="Q486">
        <v>30</v>
      </c>
      <c r="R486">
        <v>0</v>
      </c>
      <c r="S486">
        <f t="shared" si="71"/>
        <v>30</v>
      </c>
      <c r="T486" s="1" t="s">
        <v>2935</v>
      </c>
      <c r="U486" s="1" t="s">
        <v>2932</v>
      </c>
      <c r="V486" s="3">
        <f t="shared" si="72"/>
        <v>40000</v>
      </c>
      <c r="W486" s="3">
        <f t="shared" si="73"/>
        <v>16000</v>
      </c>
      <c r="X486" s="3">
        <f t="shared" si="65"/>
        <v>1250</v>
      </c>
      <c r="Y486" s="3">
        <f t="shared" si="66"/>
        <v>1600</v>
      </c>
      <c r="Z486" s="3">
        <f t="shared" si="67"/>
        <v>1800</v>
      </c>
      <c r="AA486" s="3">
        <v>0</v>
      </c>
      <c r="AB486" s="3">
        <f>ROUND(U486 - (V486+W486+X486+Y486) - (U486/Q486 * 2),0)</f>
        <v>34483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f>SUM(V486+W486+X486+Y486+AB486)</f>
        <v>93333</v>
      </c>
      <c r="AK486" s="3">
        <f>SUM(AJ486-AA486)</f>
        <v>93333</v>
      </c>
      <c r="AL486" s="3">
        <f>IF(V486&lt;=15000,V486*12%,1800)</f>
        <v>1800</v>
      </c>
      <c r="AM486" s="3">
        <v>0</v>
      </c>
      <c r="AN486" s="3">
        <f t="shared" si="68"/>
        <v>1800</v>
      </c>
      <c r="AO486" s="12">
        <v>200</v>
      </c>
      <c r="AP486" s="12">
        <v>0</v>
      </c>
      <c r="AQ486" s="12">
        <v>0</v>
      </c>
      <c r="AR486" s="12">
        <v>0</v>
      </c>
      <c r="AS486" s="12">
        <v>0</v>
      </c>
      <c r="AT486" s="12">
        <v>0</v>
      </c>
      <c r="AU486" s="3">
        <f t="shared" si="70"/>
        <v>200</v>
      </c>
      <c r="AV486" s="3">
        <f>SUM(AJ486 - AN486 - AU486)</f>
        <v>91333</v>
      </c>
      <c r="AW486" s="11">
        <v>0</v>
      </c>
      <c r="AX486" s="11">
        <v>0</v>
      </c>
      <c r="AY486" s="11">
        <v>0</v>
      </c>
      <c r="AZ486" s="11">
        <v>0</v>
      </c>
      <c r="BA486" s="3">
        <f t="shared" si="69"/>
        <v>91333</v>
      </c>
    </row>
    <row r="487" spans="1:53" x14ac:dyDescent="0.25">
      <c r="A487" s="1" t="s">
        <v>485</v>
      </c>
      <c r="B487" s="9" t="s">
        <v>1991</v>
      </c>
      <c r="C487" s="9" t="s">
        <v>1063</v>
      </c>
      <c r="D487" s="9" t="s">
        <v>1992</v>
      </c>
      <c r="E487" s="9" t="s">
        <v>1012</v>
      </c>
      <c r="F487" s="10">
        <v>44599</v>
      </c>
      <c r="G487" s="9" t="s">
        <v>1013</v>
      </c>
      <c r="I487" s="9" t="s">
        <v>1014</v>
      </c>
      <c r="J487" s="9" t="s">
        <v>1015</v>
      </c>
      <c r="K487" s="8" t="s">
        <v>1006</v>
      </c>
      <c r="L487" s="8" t="s">
        <v>1007</v>
      </c>
      <c r="M487" s="8" t="s">
        <v>2933</v>
      </c>
      <c r="N487" s="8" t="s">
        <v>2937</v>
      </c>
      <c r="O487" s="1" t="s">
        <v>2934</v>
      </c>
      <c r="P487">
        <v>30</v>
      </c>
      <c r="Q487">
        <v>30</v>
      </c>
      <c r="R487">
        <v>0</v>
      </c>
      <c r="S487">
        <f t="shared" si="71"/>
        <v>30</v>
      </c>
      <c r="T487" s="1" t="s">
        <v>2935</v>
      </c>
      <c r="U487" s="1" t="s">
        <v>2932</v>
      </c>
      <c r="V487" s="3">
        <f t="shared" si="72"/>
        <v>40000</v>
      </c>
      <c r="W487" s="3">
        <f t="shared" si="73"/>
        <v>16000</v>
      </c>
      <c r="X487" s="3">
        <f t="shared" si="65"/>
        <v>1250</v>
      </c>
      <c r="Y487" s="3">
        <f t="shared" si="66"/>
        <v>1600</v>
      </c>
      <c r="Z487" s="3">
        <f t="shared" si="67"/>
        <v>1800</v>
      </c>
      <c r="AA487" s="3">
        <v>0</v>
      </c>
      <c r="AB487" s="3">
        <f>ROUND(U487 - (V487+W487+X487+Y487) - (U487/Q487 * 2),0)</f>
        <v>34483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f>SUM(V487+W487+X487+Y487+AB487)</f>
        <v>93333</v>
      </c>
      <c r="AK487" s="3">
        <f>SUM(AJ487-AA487)</f>
        <v>93333</v>
      </c>
      <c r="AL487" s="3">
        <f>IF(V487&lt;=15000,V487*12%,1800)</f>
        <v>1800</v>
      </c>
      <c r="AM487" s="3">
        <v>0</v>
      </c>
      <c r="AN487" s="3">
        <f t="shared" si="68"/>
        <v>1800</v>
      </c>
      <c r="AO487" s="12">
        <v>200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3">
        <f t="shared" si="70"/>
        <v>200</v>
      </c>
      <c r="AV487" s="3">
        <f>SUM(AJ487 - AN487 - AU487)</f>
        <v>91333</v>
      </c>
      <c r="AW487" s="11">
        <v>0</v>
      </c>
      <c r="AX487" s="11">
        <v>0</v>
      </c>
      <c r="AY487" s="11">
        <v>0</v>
      </c>
      <c r="AZ487" s="11">
        <v>0</v>
      </c>
      <c r="BA487" s="3">
        <f t="shared" si="69"/>
        <v>91333</v>
      </c>
    </row>
    <row r="488" spans="1:53" x14ac:dyDescent="0.25">
      <c r="A488" s="1" t="s">
        <v>486</v>
      </c>
      <c r="B488" s="9" t="s">
        <v>1989</v>
      </c>
      <c r="C488" s="9" t="s">
        <v>1063</v>
      </c>
      <c r="D488" s="9" t="s">
        <v>1990</v>
      </c>
      <c r="E488" s="9" t="s">
        <v>1012</v>
      </c>
      <c r="F488" s="10">
        <v>44599</v>
      </c>
      <c r="G488" s="9" t="s">
        <v>1013</v>
      </c>
      <c r="I488" s="9" t="s">
        <v>1014</v>
      </c>
      <c r="J488" s="9" t="s">
        <v>1015</v>
      </c>
      <c r="K488" s="8" t="s">
        <v>1006</v>
      </c>
      <c r="L488" s="8" t="s">
        <v>1007</v>
      </c>
      <c r="M488" s="8" t="s">
        <v>2933</v>
      </c>
      <c r="N488" s="8" t="s">
        <v>2937</v>
      </c>
      <c r="O488" s="1" t="s">
        <v>2934</v>
      </c>
      <c r="P488">
        <v>30</v>
      </c>
      <c r="Q488">
        <v>30</v>
      </c>
      <c r="R488">
        <v>0</v>
      </c>
      <c r="S488">
        <f t="shared" si="71"/>
        <v>30</v>
      </c>
      <c r="T488" s="1" t="s">
        <v>2935</v>
      </c>
      <c r="U488" s="1" t="s">
        <v>2932</v>
      </c>
      <c r="V488" s="3">
        <f t="shared" si="72"/>
        <v>40000</v>
      </c>
      <c r="W488" s="3">
        <f t="shared" si="73"/>
        <v>16000</v>
      </c>
      <c r="X488" s="3">
        <f t="shared" si="65"/>
        <v>1250</v>
      </c>
      <c r="Y488" s="3">
        <f t="shared" si="66"/>
        <v>1600</v>
      </c>
      <c r="Z488" s="3">
        <f t="shared" si="67"/>
        <v>1800</v>
      </c>
      <c r="AA488" s="3">
        <v>0</v>
      </c>
      <c r="AB488" s="3">
        <f>ROUND(U488 - (V488+W488+X488+Y488) - (U488/Q488 * 2),0)</f>
        <v>34483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f>SUM(V488+W488+X488+Y488+AB488)</f>
        <v>93333</v>
      </c>
      <c r="AK488" s="3">
        <f>SUM(AJ488-AA488)</f>
        <v>93333</v>
      </c>
      <c r="AL488" s="3">
        <f>IF(V488&lt;=15000,V488*12%,1800)</f>
        <v>1800</v>
      </c>
      <c r="AM488" s="3">
        <v>0</v>
      </c>
      <c r="AN488" s="3">
        <f t="shared" si="68"/>
        <v>1800</v>
      </c>
      <c r="AO488" s="12">
        <v>200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3">
        <f t="shared" si="70"/>
        <v>200</v>
      </c>
      <c r="AV488" s="3">
        <f>SUM(AJ488 - AN488 - AU488)</f>
        <v>91333</v>
      </c>
      <c r="AW488" s="11">
        <v>0</v>
      </c>
      <c r="AX488" s="11">
        <v>0</v>
      </c>
      <c r="AY488" s="11">
        <v>0</v>
      </c>
      <c r="AZ488" s="11">
        <v>0</v>
      </c>
      <c r="BA488" s="3">
        <f t="shared" si="69"/>
        <v>91333</v>
      </c>
    </row>
    <row r="489" spans="1:53" x14ac:dyDescent="0.25">
      <c r="A489" s="1" t="s">
        <v>487</v>
      </c>
      <c r="B489" s="9" t="s">
        <v>1988</v>
      </c>
      <c r="C489" s="9" t="s">
        <v>1063</v>
      </c>
      <c r="D489" s="9">
        <v>0</v>
      </c>
      <c r="E489" s="9" t="s">
        <v>1012</v>
      </c>
      <c r="F489" s="10">
        <v>44594</v>
      </c>
      <c r="G489" s="9" t="s">
        <v>1013</v>
      </c>
      <c r="I489" s="9" t="s">
        <v>1014</v>
      </c>
      <c r="J489" s="9" t="s">
        <v>1015</v>
      </c>
      <c r="K489" s="8" t="s">
        <v>1006</v>
      </c>
      <c r="L489" s="8" t="s">
        <v>1007</v>
      </c>
      <c r="M489" s="8" t="s">
        <v>2933</v>
      </c>
      <c r="N489" s="8" t="s">
        <v>2937</v>
      </c>
      <c r="O489" s="1" t="s">
        <v>2934</v>
      </c>
      <c r="P489">
        <v>30</v>
      </c>
      <c r="Q489">
        <v>30</v>
      </c>
      <c r="R489">
        <v>0</v>
      </c>
      <c r="S489">
        <f t="shared" si="71"/>
        <v>30</v>
      </c>
      <c r="T489" s="1" t="s">
        <v>2935</v>
      </c>
      <c r="U489" s="1" t="s">
        <v>2932</v>
      </c>
      <c r="V489" s="3">
        <f t="shared" si="72"/>
        <v>40000</v>
      </c>
      <c r="W489" s="3">
        <f t="shared" si="73"/>
        <v>16000</v>
      </c>
      <c r="X489" s="3">
        <f t="shared" si="65"/>
        <v>1250</v>
      </c>
      <c r="Y489" s="3">
        <f t="shared" si="66"/>
        <v>1600</v>
      </c>
      <c r="Z489" s="3">
        <f t="shared" si="67"/>
        <v>1800</v>
      </c>
      <c r="AA489" s="3">
        <v>0</v>
      </c>
      <c r="AB489" s="3">
        <f>ROUND(U489 - (V489+W489+X489+Y489) - (U489/Q489 * 2),0)</f>
        <v>34483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f>SUM(V489+W489+X489+Y489+AB489)</f>
        <v>93333</v>
      </c>
      <c r="AK489" s="3">
        <f>SUM(AJ489-AA489)</f>
        <v>93333</v>
      </c>
      <c r="AL489" s="3">
        <f>IF(V489&lt;=15000,V489*12%,1800)</f>
        <v>1800</v>
      </c>
      <c r="AM489" s="3">
        <v>0</v>
      </c>
      <c r="AN489" s="3">
        <f t="shared" si="68"/>
        <v>1800</v>
      </c>
      <c r="AO489" s="12">
        <v>200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3">
        <f t="shared" si="70"/>
        <v>200</v>
      </c>
      <c r="AV489" s="3">
        <f>SUM(AJ489 - AN489 - AU489)</f>
        <v>91333</v>
      </c>
      <c r="AW489" s="11">
        <v>0</v>
      </c>
      <c r="AX489" s="11">
        <v>0</v>
      </c>
      <c r="AY489" s="11">
        <v>0</v>
      </c>
      <c r="AZ489" s="11">
        <v>0</v>
      </c>
      <c r="BA489" s="3">
        <f t="shared" si="69"/>
        <v>91333</v>
      </c>
    </row>
    <row r="490" spans="1:53" x14ac:dyDescent="0.25">
      <c r="A490" s="1" t="s">
        <v>488</v>
      </c>
      <c r="B490" s="9" t="s">
        <v>1986</v>
      </c>
      <c r="C490" s="9" t="s">
        <v>1063</v>
      </c>
      <c r="D490" s="9" t="s">
        <v>1987</v>
      </c>
      <c r="E490" s="9" t="s">
        <v>1012</v>
      </c>
      <c r="F490" s="10">
        <v>44595</v>
      </c>
      <c r="G490" s="9" t="s">
        <v>1013</v>
      </c>
      <c r="I490" s="9" t="s">
        <v>1014</v>
      </c>
      <c r="J490" s="9" t="s">
        <v>1015</v>
      </c>
      <c r="K490" s="8" t="s">
        <v>1006</v>
      </c>
      <c r="L490" s="8" t="s">
        <v>1007</v>
      </c>
      <c r="M490" s="8" t="s">
        <v>2933</v>
      </c>
      <c r="N490" s="8" t="s">
        <v>2937</v>
      </c>
      <c r="O490" s="1" t="s">
        <v>2934</v>
      </c>
      <c r="P490">
        <v>30</v>
      </c>
      <c r="Q490">
        <v>30</v>
      </c>
      <c r="R490">
        <v>0</v>
      </c>
      <c r="S490">
        <f t="shared" si="71"/>
        <v>30</v>
      </c>
      <c r="T490" s="1" t="s">
        <v>2935</v>
      </c>
      <c r="U490" s="1" t="s">
        <v>2932</v>
      </c>
      <c r="V490" s="3">
        <f t="shared" si="72"/>
        <v>40000</v>
      </c>
      <c r="W490" s="3">
        <f t="shared" si="73"/>
        <v>16000</v>
      </c>
      <c r="X490" s="3">
        <f t="shared" si="65"/>
        <v>1250</v>
      </c>
      <c r="Y490" s="3">
        <f t="shared" si="66"/>
        <v>1600</v>
      </c>
      <c r="Z490" s="3">
        <f t="shared" si="67"/>
        <v>1800</v>
      </c>
      <c r="AA490" s="3">
        <v>0</v>
      </c>
      <c r="AB490" s="3">
        <f>ROUND(U490 - (V490+W490+X490+Y490) - (U490/Q490 * 2),0)</f>
        <v>34483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f>SUM(V490+W490+X490+Y490+AB490)</f>
        <v>93333</v>
      </c>
      <c r="AK490" s="3">
        <f>SUM(AJ490-AA490)</f>
        <v>93333</v>
      </c>
      <c r="AL490" s="3">
        <f>IF(V490&lt;=15000,V490*12%,1800)</f>
        <v>1800</v>
      </c>
      <c r="AM490" s="3">
        <v>0</v>
      </c>
      <c r="AN490" s="3">
        <f t="shared" si="68"/>
        <v>1800</v>
      </c>
      <c r="AO490" s="12">
        <v>200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3">
        <f t="shared" si="70"/>
        <v>200</v>
      </c>
      <c r="AV490" s="3">
        <f>SUM(AJ490 - AN490 - AU490)</f>
        <v>91333</v>
      </c>
      <c r="AW490" s="11">
        <v>0</v>
      </c>
      <c r="AX490" s="11">
        <v>0</v>
      </c>
      <c r="AY490" s="11">
        <v>0</v>
      </c>
      <c r="AZ490" s="11">
        <v>0</v>
      </c>
      <c r="BA490" s="3">
        <f t="shared" si="69"/>
        <v>91333</v>
      </c>
    </row>
    <row r="491" spans="1:53" x14ac:dyDescent="0.25">
      <c r="A491" s="1" t="s">
        <v>489</v>
      </c>
      <c r="B491" s="9" t="s">
        <v>1985</v>
      </c>
      <c r="C491" s="9" t="s">
        <v>1115</v>
      </c>
      <c r="D491" s="9">
        <v>0</v>
      </c>
      <c r="E491" s="9" t="s">
        <v>1012</v>
      </c>
      <c r="F491" s="10">
        <v>44606</v>
      </c>
      <c r="G491" s="9" t="s">
        <v>1019</v>
      </c>
      <c r="I491" s="9" t="s">
        <v>1035</v>
      </c>
      <c r="J491" s="9" t="s">
        <v>1048</v>
      </c>
      <c r="K491" s="8" t="s">
        <v>1006</v>
      </c>
      <c r="L491" s="8" t="s">
        <v>1007</v>
      </c>
      <c r="M491" s="8" t="s">
        <v>2933</v>
      </c>
      <c r="N491" s="8" t="s">
        <v>2937</v>
      </c>
      <c r="O491" s="1" t="s">
        <v>2934</v>
      </c>
      <c r="P491">
        <v>30</v>
      </c>
      <c r="Q491">
        <v>30</v>
      </c>
      <c r="R491">
        <v>0</v>
      </c>
      <c r="S491">
        <f t="shared" si="71"/>
        <v>30</v>
      </c>
      <c r="T491" s="1" t="s">
        <v>2935</v>
      </c>
      <c r="U491" s="1" t="s">
        <v>2932</v>
      </c>
      <c r="V491" s="3">
        <f t="shared" si="72"/>
        <v>40000</v>
      </c>
      <c r="W491" s="3">
        <f t="shared" si="73"/>
        <v>16000</v>
      </c>
      <c r="X491" s="3">
        <f t="shared" si="65"/>
        <v>1250</v>
      </c>
      <c r="Y491" s="3">
        <f t="shared" si="66"/>
        <v>1600</v>
      </c>
      <c r="Z491" s="3">
        <f t="shared" si="67"/>
        <v>1800</v>
      </c>
      <c r="AA491" s="3">
        <v>0</v>
      </c>
      <c r="AB491" s="3">
        <f>ROUND(U491 - (V491+W491+X491+Y491) - (U491/Q491 * 2),0)</f>
        <v>34483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f>SUM(V491+W491+X491+Y491+AB491)</f>
        <v>93333</v>
      </c>
      <c r="AK491" s="3">
        <f>SUM(AJ491-AA491)</f>
        <v>93333</v>
      </c>
      <c r="AL491" s="3">
        <f>IF(V491&lt;=15000,V491*12%,1800)</f>
        <v>1800</v>
      </c>
      <c r="AM491" s="3">
        <v>0</v>
      </c>
      <c r="AN491" s="3">
        <f t="shared" si="68"/>
        <v>1800</v>
      </c>
      <c r="AO491" s="12">
        <v>200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3">
        <f t="shared" si="70"/>
        <v>200</v>
      </c>
      <c r="AV491" s="3">
        <f>SUM(AJ491 - AN491 - AU491)</f>
        <v>91333</v>
      </c>
      <c r="AW491" s="11">
        <v>0</v>
      </c>
      <c r="AX491" s="11">
        <v>0</v>
      </c>
      <c r="AY491" s="11">
        <v>0</v>
      </c>
      <c r="AZ491" s="11">
        <v>0</v>
      </c>
      <c r="BA491" s="3">
        <f t="shared" si="69"/>
        <v>91333</v>
      </c>
    </row>
    <row r="492" spans="1:53" x14ac:dyDescent="0.25">
      <c r="A492" s="1" t="s">
        <v>490</v>
      </c>
      <c r="B492" s="9" t="s">
        <v>1983</v>
      </c>
      <c r="C492" s="9" t="s">
        <v>1173</v>
      </c>
      <c r="D492" s="9" t="s">
        <v>1984</v>
      </c>
      <c r="E492" s="9" t="s">
        <v>1012</v>
      </c>
      <c r="F492" s="10">
        <v>44606</v>
      </c>
      <c r="G492" s="9" t="s">
        <v>1019</v>
      </c>
      <c r="I492" s="9" t="s">
        <v>1035</v>
      </c>
      <c r="J492" s="9" t="s">
        <v>1048</v>
      </c>
      <c r="K492" s="8" t="s">
        <v>1006</v>
      </c>
      <c r="L492" s="8" t="s">
        <v>1007</v>
      </c>
      <c r="M492" s="8" t="s">
        <v>2933</v>
      </c>
      <c r="N492" s="8" t="s">
        <v>2937</v>
      </c>
      <c r="O492" s="1" t="s">
        <v>2934</v>
      </c>
      <c r="P492">
        <v>30</v>
      </c>
      <c r="Q492">
        <v>30</v>
      </c>
      <c r="R492">
        <v>0</v>
      </c>
      <c r="S492">
        <f t="shared" si="71"/>
        <v>30</v>
      </c>
      <c r="T492" s="1" t="s">
        <v>2935</v>
      </c>
      <c r="U492" s="1" t="s">
        <v>2932</v>
      </c>
      <c r="V492" s="3">
        <f t="shared" si="72"/>
        <v>40000</v>
      </c>
      <c r="W492" s="3">
        <f t="shared" si="73"/>
        <v>16000</v>
      </c>
      <c r="X492" s="3">
        <f t="shared" si="65"/>
        <v>1250</v>
      </c>
      <c r="Y492" s="3">
        <f t="shared" si="66"/>
        <v>1600</v>
      </c>
      <c r="Z492" s="3">
        <f t="shared" si="67"/>
        <v>1800</v>
      </c>
      <c r="AA492" s="3">
        <v>0</v>
      </c>
      <c r="AB492" s="3">
        <f>ROUND(U492 - (V492+W492+X492+Y492) - (U492/Q492 * 2),0)</f>
        <v>34483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f>SUM(V492+W492+X492+Y492+AB492)</f>
        <v>93333</v>
      </c>
      <c r="AK492" s="3">
        <f>SUM(AJ492-AA492)</f>
        <v>93333</v>
      </c>
      <c r="AL492" s="3">
        <f>IF(V492&lt;=15000,V492*12%,1800)</f>
        <v>1800</v>
      </c>
      <c r="AM492" s="3">
        <v>0</v>
      </c>
      <c r="AN492" s="3">
        <f t="shared" si="68"/>
        <v>1800</v>
      </c>
      <c r="AO492" s="12">
        <v>200</v>
      </c>
      <c r="AP492" s="12">
        <v>0</v>
      </c>
      <c r="AQ492" s="12">
        <v>0</v>
      </c>
      <c r="AR492" s="12">
        <v>0</v>
      </c>
      <c r="AS492" s="12">
        <v>0</v>
      </c>
      <c r="AT492" s="12">
        <v>0</v>
      </c>
      <c r="AU492" s="3">
        <f t="shared" si="70"/>
        <v>200</v>
      </c>
      <c r="AV492" s="3">
        <f>SUM(AJ492 - AN492 - AU492)</f>
        <v>91333</v>
      </c>
      <c r="AW492" s="11">
        <v>0</v>
      </c>
      <c r="AX492" s="11">
        <v>0</v>
      </c>
      <c r="AY492" s="11">
        <v>0</v>
      </c>
      <c r="AZ492" s="11">
        <v>0</v>
      </c>
      <c r="BA492" s="3">
        <f t="shared" si="69"/>
        <v>91333</v>
      </c>
    </row>
    <row r="493" spans="1:53" x14ac:dyDescent="0.25">
      <c r="A493" s="1" t="s">
        <v>491</v>
      </c>
      <c r="B493" s="9" t="s">
        <v>1982</v>
      </c>
      <c r="C493" s="9" t="s">
        <v>1115</v>
      </c>
      <c r="D493" s="9">
        <v>0</v>
      </c>
      <c r="E493" s="9" t="s">
        <v>1012</v>
      </c>
      <c r="F493" s="10">
        <v>44606</v>
      </c>
      <c r="G493" s="9" t="s">
        <v>1019</v>
      </c>
      <c r="I493" s="9" t="s">
        <v>1035</v>
      </c>
      <c r="J493" s="9" t="s">
        <v>1048</v>
      </c>
      <c r="K493" s="8" t="s">
        <v>1006</v>
      </c>
      <c r="L493" s="8" t="s">
        <v>1007</v>
      </c>
      <c r="M493" s="8" t="s">
        <v>2933</v>
      </c>
      <c r="N493" s="8" t="s">
        <v>2937</v>
      </c>
      <c r="O493" s="1" t="s">
        <v>2934</v>
      </c>
      <c r="P493">
        <v>30</v>
      </c>
      <c r="Q493">
        <v>30</v>
      </c>
      <c r="R493">
        <v>0</v>
      </c>
      <c r="S493">
        <f t="shared" si="71"/>
        <v>30</v>
      </c>
      <c r="T493" s="1" t="s">
        <v>2935</v>
      </c>
      <c r="U493" s="1" t="s">
        <v>2932</v>
      </c>
      <c r="V493" s="3">
        <f t="shared" si="72"/>
        <v>40000</v>
      </c>
      <c r="W493" s="3">
        <f t="shared" si="73"/>
        <v>16000</v>
      </c>
      <c r="X493" s="3">
        <f t="shared" si="65"/>
        <v>1250</v>
      </c>
      <c r="Y493" s="3">
        <f t="shared" si="66"/>
        <v>1600</v>
      </c>
      <c r="Z493" s="3">
        <f t="shared" si="67"/>
        <v>1800</v>
      </c>
      <c r="AA493" s="3">
        <v>0</v>
      </c>
      <c r="AB493" s="3">
        <f>ROUND(U493 - (V493+W493+X493+Y493) - (U493/Q493 * 2),0)</f>
        <v>34483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f>SUM(V493+W493+X493+Y493+AB493)</f>
        <v>93333</v>
      </c>
      <c r="AK493" s="3">
        <f>SUM(AJ493-AA493)</f>
        <v>93333</v>
      </c>
      <c r="AL493" s="3">
        <f>IF(V493&lt;=15000,V493*12%,1800)</f>
        <v>1800</v>
      </c>
      <c r="AM493" s="3">
        <v>0</v>
      </c>
      <c r="AN493" s="3">
        <f t="shared" si="68"/>
        <v>1800</v>
      </c>
      <c r="AO493" s="12">
        <v>200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3">
        <f t="shared" si="70"/>
        <v>200</v>
      </c>
      <c r="AV493" s="3">
        <f>SUM(AJ493 - AN493 - AU493)</f>
        <v>91333</v>
      </c>
      <c r="AW493" s="11">
        <v>0</v>
      </c>
      <c r="AX493" s="11">
        <v>0</v>
      </c>
      <c r="AY493" s="11">
        <v>0</v>
      </c>
      <c r="AZ493" s="11">
        <v>0</v>
      </c>
      <c r="BA493" s="3">
        <f t="shared" si="69"/>
        <v>91333</v>
      </c>
    </row>
    <row r="494" spans="1:53" x14ac:dyDescent="0.25">
      <c r="A494" s="1" t="s">
        <v>492</v>
      </c>
      <c r="B494" s="9" t="s">
        <v>1981</v>
      </c>
      <c r="C494" s="9" t="s">
        <v>1115</v>
      </c>
      <c r="D494" s="9">
        <v>0</v>
      </c>
      <c r="E494" s="9" t="s">
        <v>1012</v>
      </c>
      <c r="F494" s="10">
        <v>44606</v>
      </c>
      <c r="G494" s="9" t="s">
        <v>1019</v>
      </c>
      <c r="I494" s="9" t="s">
        <v>1035</v>
      </c>
      <c r="J494" s="9" t="s">
        <v>1048</v>
      </c>
      <c r="K494" s="8" t="s">
        <v>1006</v>
      </c>
      <c r="L494" s="8" t="s">
        <v>1007</v>
      </c>
      <c r="M494" s="8" t="s">
        <v>2933</v>
      </c>
      <c r="N494" s="8" t="s">
        <v>2937</v>
      </c>
      <c r="O494" s="1" t="s">
        <v>2934</v>
      </c>
      <c r="P494">
        <v>30</v>
      </c>
      <c r="Q494">
        <v>30</v>
      </c>
      <c r="R494">
        <v>0</v>
      </c>
      <c r="S494">
        <f t="shared" si="71"/>
        <v>30</v>
      </c>
      <c r="T494" s="1" t="s">
        <v>2935</v>
      </c>
      <c r="U494" s="1" t="s">
        <v>2932</v>
      </c>
      <c r="V494" s="3">
        <f t="shared" si="72"/>
        <v>40000</v>
      </c>
      <c r="W494" s="3">
        <f t="shared" si="73"/>
        <v>16000</v>
      </c>
      <c r="X494" s="3">
        <f t="shared" si="65"/>
        <v>1250</v>
      </c>
      <c r="Y494" s="3">
        <f t="shared" si="66"/>
        <v>1600</v>
      </c>
      <c r="Z494" s="3">
        <f t="shared" si="67"/>
        <v>1800</v>
      </c>
      <c r="AA494" s="3">
        <v>0</v>
      </c>
      <c r="AB494" s="3">
        <f>ROUND(U494 - (V494+W494+X494+Y494) - (U494/Q494 * 2),0)</f>
        <v>34483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f>SUM(V494+W494+X494+Y494+AB494)</f>
        <v>93333</v>
      </c>
      <c r="AK494" s="3">
        <f>SUM(AJ494-AA494)</f>
        <v>93333</v>
      </c>
      <c r="AL494" s="3">
        <f>IF(V494&lt;=15000,V494*12%,1800)</f>
        <v>1800</v>
      </c>
      <c r="AM494" s="3">
        <v>0</v>
      </c>
      <c r="AN494" s="3">
        <f t="shared" si="68"/>
        <v>1800</v>
      </c>
      <c r="AO494" s="12">
        <v>200</v>
      </c>
      <c r="AP494" s="12">
        <v>0</v>
      </c>
      <c r="AQ494" s="12">
        <v>0</v>
      </c>
      <c r="AR494" s="12">
        <v>0</v>
      </c>
      <c r="AS494" s="12">
        <v>0</v>
      </c>
      <c r="AT494" s="12">
        <v>0</v>
      </c>
      <c r="AU494" s="3">
        <f t="shared" si="70"/>
        <v>200</v>
      </c>
      <c r="AV494" s="3">
        <f>SUM(AJ494 - AN494 - AU494)</f>
        <v>91333</v>
      </c>
      <c r="AW494" s="11">
        <v>0</v>
      </c>
      <c r="AX494" s="11">
        <v>0</v>
      </c>
      <c r="AY494" s="11">
        <v>0</v>
      </c>
      <c r="AZ494" s="11">
        <v>0</v>
      </c>
      <c r="BA494" s="3">
        <f t="shared" si="69"/>
        <v>91333</v>
      </c>
    </row>
    <row r="495" spans="1:53" x14ac:dyDescent="0.25">
      <c r="A495" s="1" t="s">
        <v>493</v>
      </c>
      <c r="B495" s="9" t="s">
        <v>2034</v>
      </c>
      <c r="C495" s="9" t="s">
        <v>1242</v>
      </c>
      <c r="D495" s="9" t="s">
        <v>2035</v>
      </c>
      <c r="E495" s="9" t="s">
        <v>1012</v>
      </c>
      <c r="F495" s="10">
        <v>44609</v>
      </c>
      <c r="G495" s="9" t="s">
        <v>1019</v>
      </c>
      <c r="I495" s="9" t="s">
        <v>1014</v>
      </c>
      <c r="J495" s="9" t="s">
        <v>1015</v>
      </c>
      <c r="K495" s="8" t="s">
        <v>1006</v>
      </c>
      <c r="L495" s="8" t="s">
        <v>1007</v>
      </c>
      <c r="M495" s="8" t="s">
        <v>2933</v>
      </c>
      <c r="N495" s="8" t="s">
        <v>2937</v>
      </c>
      <c r="O495" s="1" t="s">
        <v>2934</v>
      </c>
      <c r="P495">
        <v>30</v>
      </c>
      <c r="Q495">
        <v>30</v>
      </c>
      <c r="R495">
        <v>0</v>
      </c>
      <c r="S495">
        <f t="shared" si="71"/>
        <v>30</v>
      </c>
      <c r="T495" s="1" t="s">
        <v>2935</v>
      </c>
      <c r="U495" s="1" t="s">
        <v>2932</v>
      </c>
      <c r="V495" s="3">
        <f t="shared" si="72"/>
        <v>40000</v>
      </c>
      <c r="W495" s="3">
        <f t="shared" si="73"/>
        <v>16000</v>
      </c>
      <c r="X495" s="3">
        <f t="shared" si="65"/>
        <v>1250</v>
      </c>
      <c r="Y495" s="3">
        <f t="shared" si="66"/>
        <v>1600</v>
      </c>
      <c r="Z495" s="3">
        <f t="shared" si="67"/>
        <v>1800</v>
      </c>
      <c r="AA495" s="3">
        <v>0</v>
      </c>
      <c r="AB495" s="3">
        <f>ROUND(U495 - (V495+W495+X495+Y495) - (U495/Q495 * 2),0)</f>
        <v>34483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f>SUM(V495+W495+X495+Y495+AB495)</f>
        <v>93333</v>
      </c>
      <c r="AK495" s="3">
        <f>SUM(AJ495-AA495)</f>
        <v>93333</v>
      </c>
      <c r="AL495" s="3">
        <f>IF(V495&lt;=15000,V495*12%,1800)</f>
        <v>1800</v>
      </c>
      <c r="AM495" s="3">
        <v>0</v>
      </c>
      <c r="AN495" s="3">
        <f t="shared" si="68"/>
        <v>1800</v>
      </c>
      <c r="AO495" s="12">
        <v>200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3">
        <f t="shared" si="70"/>
        <v>200</v>
      </c>
      <c r="AV495" s="3">
        <f>SUM(AJ495 - AN495 - AU495)</f>
        <v>91333</v>
      </c>
      <c r="AW495" s="11">
        <v>0</v>
      </c>
      <c r="AX495" s="11">
        <v>0</v>
      </c>
      <c r="AY495" s="11">
        <v>0</v>
      </c>
      <c r="AZ495" s="11">
        <v>0</v>
      </c>
      <c r="BA495" s="3">
        <f t="shared" si="69"/>
        <v>91333</v>
      </c>
    </row>
    <row r="496" spans="1:53" x14ac:dyDescent="0.25">
      <c r="A496" s="1" t="s">
        <v>494</v>
      </c>
      <c r="B496" s="9" t="s">
        <v>2032</v>
      </c>
      <c r="C496" s="9" t="s">
        <v>1026</v>
      </c>
      <c r="D496" s="9" t="s">
        <v>2033</v>
      </c>
      <c r="E496" s="9" t="s">
        <v>1008</v>
      </c>
      <c r="F496" s="10">
        <v>44608</v>
      </c>
      <c r="G496" s="9" t="s">
        <v>1019</v>
      </c>
      <c r="I496" s="9" t="s">
        <v>1014</v>
      </c>
      <c r="J496" s="9" t="s">
        <v>1015</v>
      </c>
      <c r="K496" s="8" t="s">
        <v>1006</v>
      </c>
      <c r="L496" s="8" t="s">
        <v>1007</v>
      </c>
      <c r="M496" s="8" t="s">
        <v>2933</v>
      </c>
      <c r="N496" s="8" t="s">
        <v>2937</v>
      </c>
      <c r="O496" s="1" t="s">
        <v>2934</v>
      </c>
      <c r="P496">
        <v>30</v>
      </c>
      <c r="Q496">
        <v>30</v>
      </c>
      <c r="R496">
        <v>0</v>
      </c>
      <c r="S496">
        <f t="shared" si="71"/>
        <v>30</v>
      </c>
      <c r="T496" s="1" t="s">
        <v>2935</v>
      </c>
      <c r="U496" s="1" t="s">
        <v>2932</v>
      </c>
      <c r="V496" s="3">
        <f t="shared" si="72"/>
        <v>40000</v>
      </c>
      <c r="W496" s="3">
        <f t="shared" si="73"/>
        <v>16000</v>
      </c>
      <c r="X496" s="3">
        <f t="shared" si="65"/>
        <v>1250</v>
      </c>
      <c r="Y496" s="3">
        <f t="shared" si="66"/>
        <v>1600</v>
      </c>
      <c r="Z496" s="3">
        <f t="shared" si="67"/>
        <v>1800</v>
      </c>
      <c r="AA496" s="3">
        <v>0</v>
      </c>
      <c r="AB496" s="3">
        <f>ROUND(U496 - (V496+W496+X496+Y496) - (U496/Q496 * 2),0)</f>
        <v>34483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f>SUM(V496+W496+X496+Y496+AB496)</f>
        <v>93333</v>
      </c>
      <c r="AK496" s="3">
        <f>SUM(AJ496-AA496)</f>
        <v>93333</v>
      </c>
      <c r="AL496" s="3">
        <f>IF(V496&lt;=15000,V496*12%,1800)</f>
        <v>1800</v>
      </c>
      <c r="AM496" s="3">
        <v>0</v>
      </c>
      <c r="AN496" s="3">
        <f t="shared" si="68"/>
        <v>1800</v>
      </c>
      <c r="AO496" s="12">
        <v>200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3">
        <f t="shared" si="70"/>
        <v>200</v>
      </c>
      <c r="AV496" s="3">
        <f>SUM(AJ496 - AN496 - AU496)</f>
        <v>91333</v>
      </c>
      <c r="AW496" s="11">
        <v>0</v>
      </c>
      <c r="AX496" s="11">
        <v>0</v>
      </c>
      <c r="AY496" s="11">
        <v>0</v>
      </c>
      <c r="AZ496" s="11">
        <v>0</v>
      </c>
      <c r="BA496" s="3">
        <f t="shared" si="69"/>
        <v>91333</v>
      </c>
    </row>
    <row r="497" spans="1:53" x14ac:dyDescent="0.25">
      <c r="A497" s="1" t="s">
        <v>495</v>
      </c>
      <c r="B497" s="9" t="s">
        <v>2030</v>
      </c>
      <c r="C497" s="9" t="s">
        <v>1063</v>
      </c>
      <c r="D497" s="9" t="s">
        <v>2031</v>
      </c>
      <c r="E497" s="9" t="s">
        <v>1012</v>
      </c>
      <c r="F497" s="10">
        <v>44608</v>
      </c>
      <c r="G497" s="9" t="s">
        <v>1019</v>
      </c>
      <c r="I497" s="9" t="s">
        <v>1014</v>
      </c>
      <c r="J497" s="9" t="s">
        <v>1015</v>
      </c>
      <c r="K497" s="8" t="s">
        <v>1006</v>
      </c>
      <c r="L497" s="8" t="s">
        <v>1007</v>
      </c>
      <c r="M497" s="8" t="s">
        <v>2933</v>
      </c>
      <c r="N497" s="8" t="s">
        <v>2937</v>
      </c>
      <c r="O497" s="1" t="s">
        <v>2934</v>
      </c>
      <c r="P497">
        <v>30</v>
      </c>
      <c r="Q497">
        <v>30</v>
      </c>
      <c r="R497">
        <v>0</v>
      </c>
      <c r="S497">
        <f t="shared" si="71"/>
        <v>30</v>
      </c>
      <c r="T497" s="1" t="s">
        <v>2935</v>
      </c>
      <c r="U497" s="1" t="s">
        <v>2932</v>
      </c>
      <c r="V497" s="3">
        <f t="shared" si="72"/>
        <v>40000</v>
      </c>
      <c r="W497" s="3">
        <f t="shared" si="73"/>
        <v>16000</v>
      </c>
      <c r="X497" s="3">
        <f t="shared" si="65"/>
        <v>1250</v>
      </c>
      <c r="Y497" s="3">
        <f t="shared" si="66"/>
        <v>1600</v>
      </c>
      <c r="Z497" s="3">
        <f t="shared" si="67"/>
        <v>1800</v>
      </c>
      <c r="AA497" s="3">
        <v>0</v>
      </c>
      <c r="AB497" s="3">
        <f>ROUND(U497 - (V497+W497+X497+Y497) - (U497/Q497 * 2),0)</f>
        <v>34483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f>SUM(V497+W497+X497+Y497+AB497)</f>
        <v>93333</v>
      </c>
      <c r="AK497" s="3">
        <f>SUM(AJ497-AA497)</f>
        <v>93333</v>
      </c>
      <c r="AL497" s="3">
        <f>IF(V497&lt;=15000,V497*12%,1800)</f>
        <v>1800</v>
      </c>
      <c r="AM497" s="3">
        <v>0</v>
      </c>
      <c r="AN497" s="3">
        <f t="shared" si="68"/>
        <v>1800</v>
      </c>
      <c r="AO497" s="12">
        <v>200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3">
        <f t="shared" si="70"/>
        <v>200</v>
      </c>
      <c r="AV497" s="3">
        <f>SUM(AJ497 - AN497 - AU497)</f>
        <v>91333</v>
      </c>
      <c r="AW497" s="11">
        <v>0</v>
      </c>
      <c r="AX497" s="11">
        <v>0</v>
      </c>
      <c r="AY497" s="11">
        <v>0</v>
      </c>
      <c r="AZ497" s="11">
        <v>0</v>
      </c>
      <c r="BA497" s="3">
        <f t="shared" si="69"/>
        <v>91333</v>
      </c>
    </row>
    <row r="498" spans="1:53" x14ac:dyDescent="0.25">
      <c r="A498" s="1" t="s">
        <v>496</v>
      </c>
      <c r="B498" s="9" t="s">
        <v>1405</v>
      </c>
      <c r="C498" s="9" t="s">
        <v>1010</v>
      </c>
      <c r="D498" s="9" t="s">
        <v>2029</v>
      </c>
      <c r="E498" s="9" t="s">
        <v>1012</v>
      </c>
      <c r="F498" s="10">
        <v>44608</v>
      </c>
      <c r="G498" s="9" t="s">
        <v>1019</v>
      </c>
      <c r="I498" s="9" t="s">
        <v>1014</v>
      </c>
      <c r="J498" s="9" t="s">
        <v>1015</v>
      </c>
      <c r="K498" s="8" t="s">
        <v>1006</v>
      </c>
      <c r="L498" s="8" t="s">
        <v>1007</v>
      </c>
      <c r="M498" s="8" t="s">
        <v>2933</v>
      </c>
      <c r="N498" s="8" t="s">
        <v>2937</v>
      </c>
      <c r="O498" s="1" t="s">
        <v>2934</v>
      </c>
      <c r="P498">
        <v>30</v>
      </c>
      <c r="Q498">
        <v>30</v>
      </c>
      <c r="R498">
        <v>0</v>
      </c>
      <c r="S498">
        <f t="shared" si="71"/>
        <v>30</v>
      </c>
      <c r="T498" s="1" t="s">
        <v>2935</v>
      </c>
      <c r="U498" s="1" t="s">
        <v>2932</v>
      </c>
      <c r="V498" s="3">
        <f t="shared" si="72"/>
        <v>40000</v>
      </c>
      <c r="W498" s="3">
        <f t="shared" si="73"/>
        <v>16000</v>
      </c>
      <c r="X498" s="3">
        <f t="shared" si="65"/>
        <v>1250</v>
      </c>
      <c r="Y498" s="3">
        <f t="shared" si="66"/>
        <v>1600</v>
      </c>
      <c r="Z498" s="3">
        <f t="shared" si="67"/>
        <v>1800</v>
      </c>
      <c r="AA498" s="3">
        <v>0</v>
      </c>
      <c r="AB498" s="3">
        <f>ROUND(U498 - (V498+W498+X498+Y498) - (U498/Q498 * 2),0)</f>
        <v>34483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f>SUM(V498+W498+X498+Y498+AB498)</f>
        <v>93333</v>
      </c>
      <c r="AK498" s="3">
        <f>SUM(AJ498-AA498)</f>
        <v>93333</v>
      </c>
      <c r="AL498" s="3">
        <f>IF(V498&lt;=15000,V498*12%,1800)</f>
        <v>1800</v>
      </c>
      <c r="AM498" s="3">
        <v>0</v>
      </c>
      <c r="AN498" s="3">
        <f t="shared" si="68"/>
        <v>1800</v>
      </c>
      <c r="AO498" s="12">
        <v>200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3">
        <f t="shared" si="70"/>
        <v>200</v>
      </c>
      <c r="AV498" s="3">
        <f>SUM(AJ498 - AN498 - AU498)</f>
        <v>91333</v>
      </c>
      <c r="AW498" s="11">
        <v>0</v>
      </c>
      <c r="AX498" s="11">
        <v>0</v>
      </c>
      <c r="AY498" s="11">
        <v>0</v>
      </c>
      <c r="AZ498" s="11">
        <v>0</v>
      </c>
      <c r="BA498" s="3">
        <f t="shared" si="69"/>
        <v>91333</v>
      </c>
    </row>
    <row r="499" spans="1:53" x14ac:dyDescent="0.25">
      <c r="A499" s="1" t="s">
        <v>497</v>
      </c>
      <c r="B499" s="9" t="s">
        <v>1077</v>
      </c>
      <c r="C499" s="9" t="s">
        <v>1063</v>
      </c>
      <c r="D499" s="9" t="s">
        <v>2028</v>
      </c>
      <c r="E499" s="9" t="s">
        <v>1012</v>
      </c>
      <c r="F499" s="10">
        <v>44608</v>
      </c>
      <c r="G499" s="9" t="s">
        <v>1019</v>
      </c>
      <c r="I499" s="9" t="s">
        <v>1014</v>
      </c>
      <c r="J499" s="9" t="s">
        <v>1015</v>
      </c>
      <c r="K499" s="8" t="s">
        <v>1006</v>
      </c>
      <c r="L499" s="8" t="s">
        <v>1007</v>
      </c>
      <c r="M499" s="8" t="s">
        <v>2933</v>
      </c>
      <c r="N499" s="8" t="s">
        <v>2937</v>
      </c>
      <c r="O499" s="1" t="s">
        <v>2934</v>
      </c>
      <c r="P499">
        <v>30</v>
      </c>
      <c r="Q499">
        <v>30</v>
      </c>
      <c r="R499">
        <v>0</v>
      </c>
      <c r="S499">
        <f t="shared" si="71"/>
        <v>30</v>
      </c>
      <c r="T499" s="1" t="s">
        <v>2935</v>
      </c>
      <c r="U499" s="1" t="s">
        <v>2932</v>
      </c>
      <c r="V499" s="3">
        <f t="shared" si="72"/>
        <v>40000</v>
      </c>
      <c r="W499" s="3">
        <f t="shared" si="73"/>
        <v>16000</v>
      </c>
      <c r="X499" s="3">
        <f t="shared" si="65"/>
        <v>1250</v>
      </c>
      <c r="Y499" s="3">
        <f t="shared" si="66"/>
        <v>1600</v>
      </c>
      <c r="Z499" s="3">
        <f t="shared" si="67"/>
        <v>1800</v>
      </c>
      <c r="AA499" s="3">
        <v>0</v>
      </c>
      <c r="AB499" s="3">
        <f>ROUND(U499 - (V499+W499+X499+Y499) - (U499/Q499 * 2),0)</f>
        <v>34483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f>SUM(V499+W499+X499+Y499+AB499)</f>
        <v>93333</v>
      </c>
      <c r="AK499" s="3">
        <f>SUM(AJ499-AA499)</f>
        <v>93333</v>
      </c>
      <c r="AL499" s="3">
        <f>IF(V499&lt;=15000,V499*12%,1800)</f>
        <v>1800</v>
      </c>
      <c r="AM499" s="3">
        <v>0</v>
      </c>
      <c r="AN499" s="3">
        <f t="shared" si="68"/>
        <v>1800</v>
      </c>
      <c r="AO499" s="12">
        <v>200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3">
        <f t="shared" si="70"/>
        <v>200</v>
      </c>
      <c r="AV499" s="3">
        <f>SUM(AJ499 - AN499 - AU499)</f>
        <v>91333</v>
      </c>
      <c r="AW499" s="11">
        <v>0</v>
      </c>
      <c r="AX499" s="11">
        <v>0</v>
      </c>
      <c r="AY499" s="11">
        <v>0</v>
      </c>
      <c r="AZ499" s="11">
        <v>0</v>
      </c>
      <c r="BA499" s="3">
        <f t="shared" si="69"/>
        <v>91333</v>
      </c>
    </row>
    <row r="500" spans="1:53" x14ac:dyDescent="0.25">
      <c r="A500" s="1" t="s">
        <v>498</v>
      </c>
      <c r="B500" s="9" t="s">
        <v>2026</v>
      </c>
      <c r="C500" s="9" t="s">
        <v>1029</v>
      </c>
      <c r="D500" s="9" t="s">
        <v>2027</v>
      </c>
      <c r="E500" s="9" t="s">
        <v>1012</v>
      </c>
      <c r="F500" s="10">
        <v>44615</v>
      </c>
      <c r="G500" s="9" t="s">
        <v>1013</v>
      </c>
      <c r="I500" s="9" t="s">
        <v>1035</v>
      </c>
      <c r="J500" s="9" t="s">
        <v>1031</v>
      </c>
      <c r="K500" s="8" t="s">
        <v>1006</v>
      </c>
      <c r="L500" s="8" t="s">
        <v>1007</v>
      </c>
      <c r="M500" s="8" t="s">
        <v>2933</v>
      </c>
      <c r="N500" s="8" t="s">
        <v>2937</v>
      </c>
      <c r="O500" s="1" t="s">
        <v>2934</v>
      </c>
      <c r="P500">
        <v>30</v>
      </c>
      <c r="Q500">
        <v>30</v>
      </c>
      <c r="R500">
        <v>0</v>
      </c>
      <c r="S500">
        <f t="shared" si="71"/>
        <v>30</v>
      </c>
      <c r="T500" s="1" t="s">
        <v>2935</v>
      </c>
      <c r="U500" s="1" t="s">
        <v>2932</v>
      </c>
      <c r="V500" s="3">
        <f t="shared" si="72"/>
        <v>40000</v>
      </c>
      <c r="W500" s="3">
        <f t="shared" si="73"/>
        <v>16000</v>
      </c>
      <c r="X500" s="3">
        <f t="shared" si="65"/>
        <v>1250</v>
      </c>
      <c r="Y500" s="3">
        <f t="shared" si="66"/>
        <v>1600</v>
      </c>
      <c r="Z500" s="3">
        <f t="shared" si="67"/>
        <v>1800</v>
      </c>
      <c r="AA500" s="3">
        <v>0</v>
      </c>
      <c r="AB500" s="3">
        <f>ROUND(U500 - (V500+W500+X500+Y500) - (U500/Q500 * 2),0)</f>
        <v>34483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f>SUM(V500+W500+X500+Y500+AB500)</f>
        <v>93333</v>
      </c>
      <c r="AK500" s="3">
        <f>SUM(AJ500-AA500)</f>
        <v>93333</v>
      </c>
      <c r="AL500" s="3">
        <f>IF(V500&lt;=15000,V500*12%,1800)</f>
        <v>1800</v>
      </c>
      <c r="AM500" s="3">
        <v>0</v>
      </c>
      <c r="AN500" s="3">
        <f t="shared" si="68"/>
        <v>1800</v>
      </c>
      <c r="AO500" s="12">
        <v>200</v>
      </c>
      <c r="AP500" s="12">
        <v>0</v>
      </c>
      <c r="AQ500" s="12">
        <v>0</v>
      </c>
      <c r="AR500" s="12">
        <v>0</v>
      </c>
      <c r="AS500" s="12">
        <v>0</v>
      </c>
      <c r="AT500" s="12">
        <v>0</v>
      </c>
      <c r="AU500" s="3">
        <f t="shared" si="70"/>
        <v>200</v>
      </c>
      <c r="AV500" s="3">
        <f>SUM(AJ500 - AN500 - AU500)</f>
        <v>91333</v>
      </c>
      <c r="AW500" s="11">
        <v>0</v>
      </c>
      <c r="AX500" s="11">
        <v>0</v>
      </c>
      <c r="AY500" s="11">
        <v>0</v>
      </c>
      <c r="AZ500" s="11">
        <v>0</v>
      </c>
      <c r="BA500" s="3">
        <f t="shared" si="69"/>
        <v>91333</v>
      </c>
    </row>
    <row r="501" spans="1:53" x14ac:dyDescent="0.25">
      <c r="A501" s="1" t="s">
        <v>499</v>
      </c>
      <c r="B501" s="9" t="s">
        <v>2024</v>
      </c>
      <c r="C501" s="9" t="s">
        <v>1063</v>
      </c>
      <c r="D501" s="9" t="s">
        <v>2025</v>
      </c>
      <c r="E501" s="9" t="s">
        <v>1012</v>
      </c>
      <c r="F501" s="10">
        <v>44615</v>
      </c>
      <c r="G501" s="9" t="s">
        <v>1019</v>
      </c>
      <c r="I501" s="9" t="s">
        <v>1014</v>
      </c>
      <c r="J501" s="9" t="s">
        <v>1015</v>
      </c>
      <c r="K501" s="8" t="s">
        <v>1006</v>
      </c>
      <c r="L501" s="8" t="s">
        <v>1007</v>
      </c>
      <c r="M501" s="8" t="s">
        <v>2933</v>
      </c>
      <c r="N501" s="8" t="s">
        <v>2937</v>
      </c>
      <c r="O501" s="1" t="s">
        <v>2934</v>
      </c>
      <c r="P501">
        <v>30</v>
      </c>
      <c r="Q501">
        <v>30</v>
      </c>
      <c r="R501">
        <v>0</v>
      </c>
      <c r="S501">
        <f t="shared" si="71"/>
        <v>30</v>
      </c>
      <c r="T501" s="1" t="s">
        <v>2935</v>
      </c>
      <c r="U501" s="1" t="s">
        <v>2932</v>
      </c>
      <c r="V501" s="3">
        <f t="shared" si="72"/>
        <v>40000</v>
      </c>
      <c r="W501" s="3">
        <f t="shared" si="73"/>
        <v>16000</v>
      </c>
      <c r="X501" s="3">
        <f t="shared" si="65"/>
        <v>1250</v>
      </c>
      <c r="Y501" s="3">
        <f t="shared" si="66"/>
        <v>1600</v>
      </c>
      <c r="Z501" s="3">
        <f t="shared" si="67"/>
        <v>1800</v>
      </c>
      <c r="AA501" s="3">
        <v>0</v>
      </c>
      <c r="AB501" s="3">
        <f>ROUND(U501 - (V501+W501+X501+Y501) - (U501/Q501 * 2),0)</f>
        <v>34483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f>SUM(V501+W501+X501+Y501+AB501)</f>
        <v>93333</v>
      </c>
      <c r="AK501" s="3">
        <f>SUM(AJ501-AA501)</f>
        <v>93333</v>
      </c>
      <c r="AL501" s="3">
        <f>IF(V501&lt;=15000,V501*12%,1800)</f>
        <v>1800</v>
      </c>
      <c r="AM501" s="3">
        <v>0</v>
      </c>
      <c r="AN501" s="3">
        <f t="shared" si="68"/>
        <v>1800</v>
      </c>
      <c r="AO501" s="12">
        <v>200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3">
        <f t="shared" si="70"/>
        <v>200</v>
      </c>
      <c r="AV501" s="3">
        <f>SUM(AJ501 - AN501 - AU501)</f>
        <v>91333</v>
      </c>
      <c r="AW501" s="11">
        <v>0</v>
      </c>
      <c r="AX501" s="11">
        <v>0</v>
      </c>
      <c r="AY501" s="11">
        <v>0</v>
      </c>
      <c r="AZ501" s="11">
        <v>0</v>
      </c>
      <c r="BA501" s="3">
        <f t="shared" si="69"/>
        <v>91333</v>
      </c>
    </row>
    <row r="502" spans="1:53" x14ac:dyDescent="0.25">
      <c r="A502" s="1" t="s">
        <v>500</v>
      </c>
      <c r="B502" s="9" t="s">
        <v>2022</v>
      </c>
      <c r="C502" s="9" t="s">
        <v>1063</v>
      </c>
      <c r="D502" s="9" t="s">
        <v>2023</v>
      </c>
      <c r="E502" s="9" t="s">
        <v>1012</v>
      </c>
      <c r="F502" s="10">
        <v>44613</v>
      </c>
      <c r="G502" s="9" t="s">
        <v>1013</v>
      </c>
      <c r="I502" s="9" t="s">
        <v>1014</v>
      </c>
      <c r="J502" s="9" t="s">
        <v>1015</v>
      </c>
      <c r="K502" s="8" t="s">
        <v>1006</v>
      </c>
      <c r="L502" s="8" t="s">
        <v>1007</v>
      </c>
      <c r="M502" s="8" t="s">
        <v>2933</v>
      </c>
      <c r="N502" s="8" t="s">
        <v>2937</v>
      </c>
      <c r="O502" s="1" t="s">
        <v>2934</v>
      </c>
      <c r="P502">
        <v>30</v>
      </c>
      <c r="Q502">
        <v>30</v>
      </c>
      <c r="R502">
        <v>0</v>
      </c>
      <c r="S502">
        <f t="shared" si="71"/>
        <v>30</v>
      </c>
      <c r="T502" s="1" t="s">
        <v>2935</v>
      </c>
      <c r="U502" s="1" t="s">
        <v>2932</v>
      </c>
      <c r="V502" s="3">
        <f t="shared" si="72"/>
        <v>40000</v>
      </c>
      <c r="W502" s="3">
        <f t="shared" si="73"/>
        <v>16000</v>
      </c>
      <c r="X502" s="3">
        <f t="shared" si="65"/>
        <v>1250</v>
      </c>
      <c r="Y502" s="3">
        <f t="shared" si="66"/>
        <v>1600</v>
      </c>
      <c r="Z502" s="3">
        <f t="shared" si="67"/>
        <v>1800</v>
      </c>
      <c r="AA502" s="3">
        <v>0</v>
      </c>
      <c r="AB502" s="3">
        <f>ROUND(U502 - (V502+W502+X502+Y502) - (U502/Q502 * 2),0)</f>
        <v>34483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f>SUM(V502+W502+X502+Y502+AB502)</f>
        <v>93333</v>
      </c>
      <c r="AK502" s="3">
        <f>SUM(AJ502-AA502)</f>
        <v>93333</v>
      </c>
      <c r="AL502" s="3">
        <f>IF(V502&lt;=15000,V502*12%,1800)</f>
        <v>1800</v>
      </c>
      <c r="AM502" s="3">
        <v>0</v>
      </c>
      <c r="AN502" s="3">
        <f t="shared" si="68"/>
        <v>1800</v>
      </c>
      <c r="AO502" s="12">
        <v>200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3">
        <f t="shared" si="70"/>
        <v>200</v>
      </c>
      <c r="AV502" s="3">
        <f>SUM(AJ502 - AN502 - AU502)</f>
        <v>91333</v>
      </c>
      <c r="AW502" s="11">
        <v>0</v>
      </c>
      <c r="AX502" s="11">
        <v>0</v>
      </c>
      <c r="AY502" s="11">
        <v>0</v>
      </c>
      <c r="AZ502" s="11">
        <v>0</v>
      </c>
      <c r="BA502" s="3">
        <f t="shared" si="69"/>
        <v>91333</v>
      </c>
    </row>
    <row r="503" spans="1:53" x14ac:dyDescent="0.25">
      <c r="A503" s="1" t="s">
        <v>501</v>
      </c>
      <c r="B503" s="9" t="s">
        <v>1682</v>
      </c>
      <c r="C503" s="9" t="s">
        <v>1063</v>
      </c>
      <c r="D503" s="9" t="s">
        <v>2021</v>
      </c>
      <c r="E503" s="9" t="s">
        <v>1012</v>
      </c>
      <c r="F503" s="10">
        <v>44613</v>
      </c>
      <c r="G503" s="9" t="s">
        <v>1019</v>
      </c>
      <c r="I503" s="9" t="s">
        <v>1014</v>
      </c>
      <c r="J503" s="9" t="s">
        <v>1015</v>
      </c>
      <c r="K503" s="8" t="s">
        <v>1006</v>
      </c>
      <c r="L503" s="8" t="s">
        <v>1007</v>
      </c>
      <c r="M503" s="8" t="s">
        <v>2933</v>
      </c>
      <c r="N503" s="8" t="s">
        <v>2937</v>
      </c>
      <c r="O503" s="1" t="s">
        <v>2934</v>
      </c>
      <c r="P503">
        <v>30</v>
      </c>
      <c r="Q503">
        <v>30</v>
      </c>
      <c r="R503">
        <v>0</v>
      </c>
      <c r="S503">
        <f t="shared" si="71"/>
        <v>30</v>
      </c>
      <c r="T503" s="1" t="s">
        <v>2935</v>
      </c>
      <c r="U503" s="1" t="s">
        <v>2932</v>
      </c>
      <c r="V503" s="3">
        <f t="shared" si="72"/>
        <v>40000</v>
      </c>
      <c r="W503" s="3">
        <f t="shared" si="73"/>
        <v>16000</v>
      </c>
      <c r="X503" s="3">
        <f t="shared" si="65"/>
        <v>1250</v>
      </c>
      <c r="Y503" s="3">
        <f t="shared" si="66"/>
        <v>1600</v>
      </c>
      <c r="Z503" s="3">
        <f t="shared" si="67"/>
        <v>1800</v>
      </c>
      <c r="AA503" s="3">
        <v>0</v>
      </c>
      <c r="AB503" s="3">
        <f>ROUND(U503 - (V503+W503+X503+Y503) - (U503/Q503 * 2),0)</f>
        <v>34483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f>SUM(V503+W503+X503+Y503+AB503)</f>
        <v>93333</v>
      </c>
      <c r="AK503" s="3">
        <f>SUM(AJ503-AA503)</f>
        <v>93333</v>
      </c>
      <c r="AL503" s="3">
        <f>IF(V503&lt;=15000,V503*12%,1800)</f>
        <v>1800</v>
      </c>
      <c r="AM503" s="3">
        <v>0</v>
      </c>
      <c r="AN503" s="3">
        <f t="shared" si="68"/>
        <v>1800</v>
      </c>
      <c r="AO503" s="12">
        <v>200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3">
        <f t="shared" si="70"/>
        <v>200</v>
      </c>
      <c r="AV503" s="3">
        <f>SUM(AJ503 - AN503 - AU503)</f>
        <v>91333</v>
      </c>
      <c r="AW503" s="11">
        <v>0</v>
      </c>
      <c r="AX503" s="11">
        <v>0</v>
      </c>
      <c r="AY503" s="11">
        <v>0</v>
      </c>
      <c r="AZ503" s="11">
        <v>0</v>
      </c>
      <c r="BA503" s="3">
        <f t="shared" si="69"/>
        <v>91333</v>
      </c>
    </row>
    <row r="504" spans="1:53" x14ac:dyDescent="0.25">
      <c r="A504" s="1" t="s">
        <v>502</v>
      </c>
      <c r="B504" s="9" t="s">
        <v>2019</v>
      </c>
      <c r="C504" s="9" t="s">
        <v>1063</v>
      </c>
      <c r="D504" s="9" t="s">
        <v>2020</v>
      </c>
      <c r="E504" s="9" t="s">
        <v>1012</v>
      </c>
      <c r="F504" s="10">
        <v>44615</v>
      </c>
      <c r="G504" s="9" t="s">
        <v>1019</v>
      </c>
      <c r="I504" s="9" t="s">
        <v>1014</v>
      </c>
      <c r="J504" s="9" t="s">
        <v>1015</v>
      </c>
      <c r="K504" s="8" t="s">
        <v>1006</v>
      </c>
      <c r="L504" s="8" t="s">
        <v>1007</v>
      </c>
      <c r="M504" s="8" t="s">
        <v>2933</v>
      </c>
      <c r="N504" s="8" t="s">
        <v>2937</v>
      </c>
      <c r="O504" s="1" t="s">
        <v>2934</v>
      </c>
      <c r="P504">
        <v>30</v>
      </c>
      <c r="Q504">
        <v>30</v>
      </c>
      <c r="R504">
        <v>0</v>
      </c>
      <c r="S504">
        <f t="shared" si="71"/>
        <v>30</v>
      </c>
      <c r="T504" s="1" t="s">
        <v>2935</v>
      </c>
      <c r="U504" s="1" t="s">
        <v>2932</v>
      </c>
      <c r="V504" s="3">
        <f t="shared" si="72"/>
        <v>40000</v>
      </c>
      <c r="W504" s="3">
        <f t="shared" si="73"/>
        <v>16000</v>
      </c>
      <c r="X504" s="3">
        <f t="shared" si="65"/>
        <v>1250</v>
      </c>
      <c r="Y504" s="3">
        <f t="shared" si="66"/>
        <v>1600</v>
      </c>
      <c r="Z504" s="3">
        <f t="shared" si="67"/>
        <v>1800</v>
      </c>
      <c r="AA504" s="3">
        <v>0</v>
      </c>
      <c r="AB504" s="3">
        <f>ROUND(U504 - (V504+W504+X504+Y504) - (U504/Q504 * 2),0)</f>
        <v>34483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f>SUM(V504+W504+X504+Y504+AB504)</f>
        <v>93333</v>
      </c>
      <c r="AK504" s="3">
        <f>SUM(AJ504-AA504)</f>
        <v>93333</v>
      </c>
      <c r="AL504" s="3">
        <f>IF(V504&lt;=15000,V504*12%,1800)</f>
        <v>1800</v>
      </c>
      <c r="AM504" s="3">
        <v>0</v>
      </c>
      <c r="AN504" s="3">
        <f t="shared" si="68"/>
        <v>1800</v>
      </c>
      <c r="AO504" s="12">
        <v>200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3">
        <f t="shared" si="70"/>
        <v>200</v>
      </c>
      <c r="AV504" s="3">
        <f>SUM(AJ504 - AN504 - AU504)</f>
        <v>91333</v>
      </c>
      <c r="AW504" s="11">
        <v>0</v>
      </c>
      <c r="AX504" s="11">
        <v>0</v>
      </c>
      <c r="AY504" s="11">
        <v>0</v>
      </c>
      <c r="AZ504" s="11">
        <v>0</v>
      </c>
      <c r="BA504" s="3">
        <f t="shared" si="69"/>
        <v>91333</v>
      </c>
    </row>
    <row r="505" spans="1:53" x14ac:dyDescent="0.25">
      <c r="A505" s="1" t="s">
        <v>503</v>
      </c>
      <c r="B505" s="9" t="s">
        <v>2017</v>
      </c>
      <c r="C505" s="9" t="s">
        <v>1063</v>
      </c>
      <c r="D505" s="9" t="s">
        <v>2018</v>
      </c>
      <c r="E505" s="9" t="s">
        <v>1012</v>
      </c>
      <c r="F505" s="10">
        <v>44615</v>
      </c>
      <c r="G505" s="9" t="s">
        <v>1019</v>
      </c>
      <c r="I505" s="9" t="s">
        <v>1014</v>
      </c>
      <c r="J505" s="9" t="s">
        <v>1015</v>
      </c>
      <c r="K505" s="8" t="s">
        <v>1006</v>
      </c>
      <c r="L505" s="8" t="s">
        <v>1007</v>
      </c>
      <c r="M505" s="8" t="s">
        <v>2933</v>
      </c>
      <c r="N505" s="8" t="s">
        <v>2937</v>
      </c>
      <c r="O505" s="1" t="s">
        <v>2934</v>
      </c>
      <c r="P505">
        <v>30</v>
      </c>
      <c r="Q505">
        <v>30</v>
      </c>
      <c r="R505">
        <v>0</v>
      </c>
      <c r="S505">
        <f t="shared" si="71"/>
        <v>30</v>
      </c>
      <c r="T505" s="1" t="s">
        <v>2935</v>
      </c>
      <c r="U505" s="1" t="s">
        <v>2932</v>
      </c>
      <c r="V505" s="3">
        <f t="shared" si="72"/>
        <v>40000</v>
      </c>
      <c r="W505" s="3">
        <f t="shared" si="73"/>
        <v>16000</v>
      </c>
      <c r="X505" s="3">
        <f t="shared" si="65"/>
        <v>1250</v>
      </c>
      <c r="Y505" s="3">
        <f t="shared" si="66"/>
        <v>1600</v>
      </c>
      <c r="Z505" s="3">
        <f t="shared" si="67"/>
        <v>1800</v>
      </c>
      <c r="AA505" s="3">
        <v>0</v>
      </c>
      <c r="AB505" s="3">
        <f>ROUND(U505 - (V505+W505+X505+Y505) - (U505/Q505 * 2),0)</f>
        <v>34483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f>SUM(V505+W505+X505+Y505+AB505)</f>
        <v>93333</v>
      </c>
      <c r="AK505" s="3">
        <f>SUM(AJ505-AA505)</f>
        <v>93333</v>
      </c>
      <c r="AL505" s="3">
        <f>IF(V505&lt;=15000,V505*12%,1800)</f>
        <v>1800</v>
      </c>
      <c r="AM505" s="3">
        <v>0</v>
      </c>
      <c r="AN505" s="3">
        <f t="shared" si="68"/>
        <v>1800</v>
      </c>
      <c r="AO505" s="12">
        <v>200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3">
        <f t="shared" si="70"/>
        <v>200</v>
      </c>
      <c r="AV505" s="3">
        <f>SUM(AJ505 - AN505 - AU505)</f>
        <v>91333</v>
      </c>
      <c r="AW505" s="11">
        <v>0</v>
      </c>
      <c r="AX505" s="11">
        <v>0</v>
      </c>
      <c r="AY505" s="11">
        <v>0</v>
      </c>
      <c r="AZ505" s="11">
        <v>0</v>
      </c>
      <c r="BA505" s="3">
        <f t="shared" si="69"/>
        <v>91333</v>
      </c>
    </row>
    <row r="506" spans="1:53" x14ac:dyDescent="0.25">
      <c r="A506" s="1" t="s">
        <v>504</v>
      </c>
      <c r="B506" s="9" t="s">
        <v>1426</v>
      </c>
      <c r="C506" s="9" t="s">
        <v>1063</v>
      </c>
      <c r="D506" s="9" t="s">
        <v>2016</v>
      </c>
      <c r="E506" s="9" t="s">
        <v>1012</v>
      </c>
      <c r="F506" s="10">
        <v>44615</v>
      </c>
      <c r="G506" s="9" t="s">
        <v>1019</v>
      </c>
      <c r="I506" s="9" t="s">
        <v>1014</v>
      </c>
      <c r="J506" s="9" t="s">
        <v>1015</v>
      </c>
      <c r="K506" s="8" t="s">
        <v>1006</v>
      </c>
      <c r="L506" s="8" t="s">
        <v>1007</v>
      </c>
      <c r="M506" s="8" t="s">
        <v>2933</v>
      </c>
      <c r="N506" s="8" t="s">
        <v>2937</v>
      </c>
      <c r="O506" s="1" t="s">
        <v>2934</v>
      </c>
      <c r="P506">
        <v>30</v>
      </c>
      <c r="Q506">
        <v>30</v>
      </c>
      <c r="R506">
        <v>0</v>
      </c>
      <c r="S506">
        <f t="shared" si="71"/>
        <v>30</v>
      </c>
      <c r="T506" s="1" t="s">
        <v>2935</v>
      </c>
      <c r="U506" s="1" t="s">
        <v>2932</v>
      </c>
      <c r="V506" s="3">
        <f t="shared" si="72"/>
        <v>40000</v>
      </c>
      <c r="W506" s="3">
        <f t="shared" si="73"/>
        <v>16000</v>
      </c>
      <c r="X506" s="3">
        <f t="shared" si="65"/>
        <v>1250</v>
      </c>
      <c r="Y506" s="3">
        <f t="shared" si="66"/>
        <v>1600</v>
      </c>
      <c r="Z506" s="3">
        <f t="shared" si="67"/>
        <v>1800</v>
      </c>
      <c r="AA506" s="3">
        <v>0</v>
      </c>
      <c r="AB506" s="3">
        <f>ROUND(U506 - (V506+W506+X506+Y506) - (U506/Q506 * 2),0)</f>
        <v>34483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f>SUM(V506+W506+X506+Y506+AB506)</f>
        <v>93333</v>
      </c>
      <c r="AK506" s="3">
        <f>SUM(AJ506-AA506)</f>
        <v>93333</v>
      </c>
      <c r="AL506" s="3">
        <f>IF(V506&lt;=15000,V506*12%,1800)</f>
        <v>1800</v>
      </c>
      <c r="AM506" s="3">
        <v>0</v>
      </c>
      <c r="AN506" s="3">
        <f t="shared" si="68"/>
        <v>1800</v>
      </c>
      <c r="AO506" s="12">
        <v>200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3">
        <f t="shared" si="70"/>
        <v>200</v>
      </c>
      <c r="AV506" s="3">
        <f>SUM(AJ506 - AN506 - AU506)</f>
        <v>91333</v>
      </c>
      <c r="AW506" s="11">
        <v>0</v>
      </c>
      <c r="AX506" s="11">
        <v>0</v>
      </c>
      <c r="AY506" s="11">
        <v>0</v>
      </c>
      <c r="AZ506" s="11">
        <v>0</v>
      </c>
      <c r="BA506" s="3">
        <f t="shared" si="69"/>
        <v>91333</v>
      </c>
    </row>
    <row r="507" spans="1:53" x14ac:dyDescent="0.25">
      <c r="A507" s="1" t="s">
        <v>505</v>
      </c>
      <c r="B507" s="9" t="s">
        <v>2014</v>
      </c>
      <c r="C507" s="9" t="s">
        <v>1063</v>
      </c>
      <c r="D507" s="9" t="s">
        <v>2015</v>
      </c>
      <c r="E507" s="9" t="s">
        <v>1012</v>
      </c>
      <c r="F507" s="10">
        <v>44615</v>
      </c>
      <c r="G507" s="9" t="s">
        <v>1019</v>
      </c>
      <c r="I507" s="9" t="s">
        <v>1014</v>
      </c>
      <c r="J507" s="9" t="s">
        <v>1015</v>
      </c>
      <c r="K507" s="8" t="s">
        <v>1006</v>
      </c>
      <c r="L507" s="8" t="s">
        <v>1007</v>
      </c>
      <c r="M507" s="8" t="s">
        <v>2933</v>
      </c>
      <c r="N507" s="8" t="s">
        <v>2937</v>
      </c>
      <c r="O507" s="1" t="s">
        <v>2934</v>
      </c>
      <c r="P507">
        <v>30</v>
      </c>
      <c r="Q507">
        <v>30</v>
      </c>
      <c r="R507">
        <v>0</v>
      </c>
      <c r="S507">
        <f t="shared" si="71"/>
        <v>30</v>
      </c>
      <c r="T507" s="1" t="s">
        <v>2935</v>
      </c>
      <c r="U507" s="1" t="s">
        <v>2932</v>
      </c>
      <c r="V507" s="3">
        <f t="shared" si="72"/>
        <v>40000</v>
      </c>
      <c r="W507" s="3">
        <f t="shared" si="73"/>
        <v>16000</v>
      </c>
      <c r="X507" s="3">
        <f t="shared" si="65"/>
        <v>1250</v>
      </c>
      <c r="Y507" s="3">
        <f t="shared" si="66"/>
        <v>1600</v>
      </c>
      <c r="Z507" s="3">
        <f t="shared" si="67"/>
        <v>1800</v>
      </c>
      <c r="AA507" s="3">
        <v>0</v>
      </c>
      <c r="AB507" s="3">
        <f>ROUND(U507 - (V507+W507+X507+Y507) - (U507/Q507 * 2),0)</f>
        <v>34483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f>SUM(V507+W507+X507+Y507+AB507)</f>
        <v>93333</v>
      </c>
      <c r="AK507" s="3">
        <f>SUM(AJ507-AA507)</f>
        <v>93333</v>
      </c>
      <c r="AL507" s="3">
        <f>IF(V507&lt;=15000,V507*12%,1800)</f>
        <v>1800</v>
      </c>
      <c r="AM507" s="3">
        <v>0</v>
      </c>
      <c r="AN507" s="3">
        <f t="shared" si="68"/>
        <v>1800</v>
      </c>
      <c r="AO507" s="12">
        <v>200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3">
        <f t="shared" si="70"/>
        <v>200</v>
      </c>
      <c r="AV507" s="3">
        <f>SUM(AJ507 - AN507 - AU507)</f>
        <v>91333</v>
      </c>
      <c r="AW507" s="11">
        <v>0</v>
      </c>
      <c r="AX507" s="11">
        <v>0</v>
      </c>
      <c r="AY507" s="11">
        <v>0</v>
      </c>
      <c r="AZ507" s="11">
        <v>0</v>
      </c>
      <c r="BA507" s="3">
        <f t="shared" si="69"/>
        <v>91333</v>
      </c>
    </row>
    <row r="508" spans="1:53" x14ac:dyDescent="0.25">
      <c r="A508" s="1" t="s">
        <v>506</v>
      </c>
      <c r="B508" s="9" t="s">
        <v>2012</v>
      </c>
      <c r="C508" s="9" t="s">
        <v>1063</v>
      </c>
      <c r="D508" s="9" t="s">
        <v>2013</v>
      </c>
      <c r="E508" s="9" t="s">
        <v>1012</v>
      </c>
      <c r="F508" s="10">
        <v>44615</v>
      </c>
      <c r="G508" s="9" t="s">
        <v>1019</v>
      </c>
      <c r="I508" s="9" t="s">
        <v>1014</v>
      </c>
      <c r="J508" s="9" t="s">
        <v>1015</v>
      </c>
      <c r="K508" s="8" t="s">
        <v>1006</v>
      </c>
      <c r="L508" s="8" t="s">
        <v>1007</v>
      </c>
      <c r="M508" s="8" t="s">
        <v>2933</v>
      </c>
      <c r="N508" s="8" t="s">
        <v>2937</v>
      </c>
      <c r="O508" s="1" t="s">
        <v>2934</v>
      </c>
      <c r="P508">
        <v>30</v>
      </c>
      <c r="Q508">
        <v>30</v>
      </c>
      <c r="R508">
        <v>0</v>
      </c>
      <c r="S508">
        <f t="shared" si="71"/>
        <v>30</v>
      </c>
      <c r="T508" s="1" t="s">
        <v>2935</v>
      </c>
      <c r="U508" s="1" t="s">
        <v>2932</v>
      </c>
      <c r="V508" s="3">
        <f t="shared" si="72"/>
        <v>40000</v>
      </c>
      <c r="W508" s="3">
        <f t="shared" si="73"/>
        <v>16000</v>
      </c>
      <c r="X508" s="3">
        <f t="shared" si="65"/>
        <v>1250</v>
      </c>
      <c r="Y508" s="3">
        <f t="shared" si="66"/>
        <v>1600</v>
      </c>
      <c r="Z508" s="3">
        <f t="shared" si="67"/>
        <v>1800</v>
      </c>
      <c r="AA508" s="3">
        <v>0</v>
      </c>
      <c r="AB508" s="3">
        <f>ROUND(U508 - (V508+W508+X508+Y508) - (U508/Q508 * 2),0)</f>
        <v>34483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f>SUM(V508+W508+X508+Y508+AB508)</f>
        <v>93333</v>
      </c>
      <c r="AK508" s="3">
        <f>SUM(AJ508-AA508)</f>
        <v>93333</v>
      </c>
      <c r="AL508" s="3">
        <f>IF(V508&lt;=15000,V508*12%,1800)</f>
        <v>1800</v>
      </c>
      <c r="AM508" s="3">
        <v>0</v>
      </c>
      <c r="AN508" s="3">
        <f t="shared" si="68"/>
        <v>1800</v>
      </c>
      <c r="AO508" s="12">
        <v>200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3">
        <f t="shared" si="70"/>
        <v>200</v>
      </c>
      <c r="AV508" s="3">
        <f>SUM(AJ508 - AN508 - AU508)</f>
        <v>91333</v>
      </c>
      <c r="AW508" s="11">
        <v>0</v>
      </c>
      <c r="AX508" s="11">
        <v>0</v>
      </c>
      <c r="AY508" s="11">
        <v>0</v>
      </c>
      <c r="AZ508" s="11">
        <v>0</v>
      </c>
      <c r="BA508" s="3">
        <f t="shared" si="69"/>
        <v>91333</v>
      </c>
    </row>
    <row r="509" spans="1:53" x14ac:dyDescent="0.25">
      <c r="A509" s="1" t="s">
        <v>507</v>
      </c>
      <c r="B509" s="9" t="s">
        <v>2010</v>
      </c>
      <c r="C509" s="9" t="s">
        <v>1663</v>
      </c>
      <c r="D509" s="9" t="s">
        <v>2011</v>
      </c>
      <c r="E509" s="9" t="s">
        <v>1012</v>
      </c>
      <c r="F509" s="10">
        <v>44622</v>
      </c>
      <c r="G509" s="9" t="s">
        <v>1013</v>
      </c>
      <c r="I509" s="9" t="s">
        <v>1042</v>
      </c>
      <c r="J509" s="9" t="s">
        <v>1440</v>
      </c>
      <c r="K509" s="8" t="s">
        <v>1006</v>
      </c>
      <c r="L509" s="8" t="s">
        <v>1007</v>
      </c>
      <c r="M509" s="8" t="s">
        <v>2933</v>
      </c>
      <c r="N509" s="8" t="s">
        <v>2937</v>
      </c>
      <c r="O509" s="1" t="s">
        <v>2934</v>
      </c>
      <c r="P509">
        <v>30</v>
      </c>
      <c r="Q509">
        <v>30</v>
      </c>
      <c r="R509">
        <v>0</v>
      </c>
      <c r="S509">
        <f t="shared" si="71"/>
        <v>30</v>
      </c>
      <c r="T509" s="1" t="s">
        <v>2935</v>
      </c>
      <c r="U509" s="1" t="s">
        <v>2932</v>
      </c>
      <c r="V509" s="3">
        <f t="shared" si="72"/>
        <v>40000</v>
      </c>
      <c r="W509" s="3">
        <f t="shared" si="73"/>
        <v>16000</v>
      </c>
      <c r="X509" s="3">
        <f t="shared" si="65"/>
        <v>1250</v>
      </c>
      <c r="Y509" s="3">
        <f t="shared" si="66"/>
        <v>1600</v>
      </c>
      <c r="Z509" s="3">
        <f t="shared" si="67"/>
        <v>1800</v>
      </c>
      <c r="AA509" s="3">
        <v>0</v>
      </c>
      <c r="AB509" s="3">
        <f>ROUND(U509 - (V509+W509+X509+Y509) - (U509/Q509 * 2),0)</f>
        <v>34483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f>SUM(V509+W509+X509+Y509+AB509)</f>
        <v>93333</v>
      </c>
      <c r="AK509" s="3">
        <f>SUM(AJ509-AA509)</f>
        <v>93333</v>
      </c>
      <c r="AL509" s="3">
        <f>IF(V509&lt;=15000,V509*12%,1800)</f>
        <v>1800</v>
      </c>
      <c r="AM509" s="3">
        <v>0</v>
      </c>
      <c r="AN509" s="3">
        <f t="shared" si="68"/>
        <v>1800</v>
      </c>
      <c r="AO509" s="12">
        <v>200</v>
      </c>
      <c r="AP509" s="12">
        <v>0</v>
      </c>
      <c r="AQ509" s="12">
        <v>0</v>
      </c>
      <c r="AR509" s="12">
        <v>0</v>
      </c>
      <c r="AS509" s="12">
        <v>0</v>
      </c>
      <c r="AT509" s="12">
        <v>0</v>
      </c>
      <c r="AU509" s="3">
        <f t="shared" si="70"/>
        <v>200</v>
      </c>
      <c r="AV509" s="3">
        <f>SUM(AJ509 - AN509 - AU509)</f>
        <v>91333</v>
      </c>
      <c r="AW509" s="11">
        <v>0</v>
      </c>
      <c r="AX509" s="11">
        <v>0</v>
      </c>
      <c r="AY509" s="11">
        <v>0</v>
      </c>
      <c r="AZ509" s="11">
        <v>0</v>
      </c>
      <c r="BA509" s="3">
        <f t="shared" si="69"/>
        <v>91333</v>
      </c>
    </row>
    <row r="510" spans="1:53" x14ac:dyDescent="0.25">
      <c r="A510" s="1" t="s">
        <v>508</v>
      </c>
      <c r="B510" s="9" t="s">
        <v>2007</v>
      </c>
      <c r="C510" s="9" t="s">
        <v>1023</v>
      </c>
      <c r="D510" s="9" t="s">
        <v>2008</v>
      </c>
      <c r="E510" s="9" t="s">
        <v>1012</v>
      </c>
      <c r="F510" s="10">
        <v>44622</v>
      </c>
      <c r="G510" s="9" t="s">
        <v>1013</v>
      </c>
      <c r="I510" s="9" t="s">
        <v>2009</v>
      </c>
      <c r="J510" s="9" t="s">
        <v>1021</v>
      </c>
      <c r="K510" s="8" t="s">
        <v>1006</v>
      </c>
      <c r="L510" s="8" t="s">
        <v>1007</v>
      </c>
      <c r="M510" s="8" t="s">
        <v>2933</v>
      </c>
      <c r="N510" s="8" t="s">
        <v>2937</v>
      </c>
      <c r="O510" s="1" t="s">
        <v>2934</v>
      </c>
      <c r="P510">
        <v>30</v>
      </c>
      <c r="Q510">
        <v>30</v>
      </c>
      <c r="R510">
        <v>0</v>
      </c>
      <c r="S510">
        <f t="shared" si="71"/>
        <v>30</v>
      </c>
      <c r="T510" s="1" t="s">
        <v>2935</v>
      </c>
      <c r="U510" s="1" t="s">
        <v>2932</v>
      </c>
      <c r="V510" s="3">
        <f t="shared" si="72"/>
        <v>40000</v>
      </c>
      <c r="W510" s="3">
        <f t="shared" si="73"/>
        <v>16000</v>
      </c>
      <c r="X510" s="3">
        <f t="shared" si="65"/>
        <v>1250</v>
      </c>
      <c r="Y510" s="3">
        <f t="shared" si="66"/>
        <v>1600</v>
      </c>
      <c r="Z510" s="3">
        <f t="shared" si="67"/>
        <v>1800</v>
      </c>
      <c r="AA510" s="3">
        <v>0</v>
      </c>
      <c r="AB510" s="3">
        <f>ROUND(U510 - (V510+W510+X510+Y510) - (U510/Q510 * 2),0)</f>
        <v>34483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f>SUM(V510+W510+X510+Y510+AB510)</f>
        <v>93333</v>
      </c>
      <c r="AK510" s="3">
        <f>SUM(AJ510-AA510)</f>
        <v>93333</v>
      </c>
      <c r="AL510" s="3">
        <f>IF(V510&lt;=15000,V510*12%,1800)</f>
        <v>1800</v>
      </c>
      <c r="AM510" s="3">
        <v>0</v>
      </c>
      <c r="AN510" s="3">
        <f t="shared" si="68"/>
        <v>1800</v>
      </c>
      <c r="AO510" s="12">
        <v>200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3">
        <f t="shared" si="70"/>
        <v>200</v>
      </c>
      <c r="AV510" s="3">
        <f>SUM(AJ510 - AN510 - AU510)</f>
        <v>91333</v>
      </c>
      <c r="AW510" s="11">
        <v>0</v>
      </c>
      <c r="AX510" s="11">
        <v>0</v>
      </c>
      <c r="AY510" s="11">
        <v>0</v>
      </c>
      <c r="AZ510" s="11">
        <v>0</v>
      </c>
      <c r="BA510" s="3">
        <f t="shared" si="69"/>
        <v>91333</v>
      </c>
    </row>
    <row r="511" spans="1:53" x14ac:dyDescent="0.25">
      <c r="A511" s="1" t="s">
        <v>509</v>
      </c>
      <c r="B511" s="9" t="s">
        <v>2064</v>
      </c>
      <c r="C511" s="9" t="s">
        <v>1023</v>
      </c>
      <c r="D511" s="9" t="s">
        <v>2065</v>
      </c>
      <c r="E511" s="9" t="s">
        <v>1012</v>
      </c>
      <c r="F511" s="10">
        <v>44622</v>
      </c>
      <c r="G511" s="9" t="s">
        <v>1013</v>
      </c>
      <c r="I511" s="9" t="s">
        <v>1020</v>
      </c>
      <c r="J511" s="9" t="s">
        <v>1021</v>
      </c>
      <c r="K511" s="8" t="s">
        <v>1006</v>
      </c>
      <c r="L511" s="8" t="s">
        <v>1007</v>
      </c>
      <c r="M511" s="8" t="s">
        <v>2933</v>
      </c>
      <c r="N511" s="8" t="s">
        <v>2937</v>
      </c>
      <c r="O511" s="1" t="s">
        <v>2934</v>
      </c>
      <c r="P511">
        <v>30</v>
      </c>
      <c r="Q511">
        <v>30</v>
      </c>
      <c r="R511">
        <v>0</v>
      </c>
      <c r="S511">
        <f t="shared" si="71"/>
        <v>30</v>
      </c>
      <c r="T511" s="1" t="s">
        <v>2935</v>
      </c>
      <c r="U511" s="1" t="s">
        <v>2932</v>
      </c>
      <c r="V511" s="3">
        <f t="shared" si="72"/>
        <v>40000</v>
      </c>
      <c r="W511" s="3">
        <f t="shared" si="73"/>
        <v>16000</v>
      </c>
      <c r="X511" s="3">
        <f t="shared" si="65"/>
        <v>1250</v>
      </c>
      <c r="Y511" s="3">
        <f t="shared" si="66"/>
        <v>1600</v>
      </c>
      <c r="Z511" s="3">
        <f t="shared" si="67"/>
        <v>1800</v>
      </c>
      <c r="AA511" s="3">
        <v>0</v>
      </c>
      <c r="AB511" s="3">
        <f>ROUND(U511 - (V511+W511+X511+Y511) - (U511/Q511 * 2),0)</f>
        <v>34483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f>SUM(V511+W511+X511+Y511+AB511)</f>
        <v>93333</v>
      </c>
      <c r="AK511" s="3">
        <f>SUM(AJ511-AA511)</f>
        <v>93333</v>
      </c>
      <c r="AL511" s="3">
        <f>IF(V511&lt;=15000,V511*12%,1800)</f>
        <v>1800</v>
      </c>
      <c r="AM511" s="3">
        <v>0</v>
      </c>
      <c r="AN511" s="3">
        <f t="shared" si="68"/>
        <v>1800</v>
      </c>
      <c r="AO511" s="12">
        <v>200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3">
        <f t="shared" si="70"/>
        <v>200</v>
      </c>
      <c r="AV511" s="3">
        <f>SUM(AJ511 - AN511 - AU511)</f>
        <v>91333</v>
      </c>
      <c r="AW511" s="11">
        <v>0</v>
      </c>
      <c r="AX511" s="11">
        <v>0</v>
      </c>
      <c r="AY511" s="11">
        <v>0</v>
      </c>
      <c r="AZ511" s="11">
        <v>0</v>
      </c>
      <c r="BA511" s="3">
        <f t="shared" si="69"/>
        <v>91333</v>
      </c>
    </row>
    <row r="512" spans="1:53" x14ac:dyDescent="0.25">
      <c r="A512" s="1" t="s">
        <v>510</v>
      </c>
      <c r="B512" s="9" t="s">
        <v>1094</v>
      </c>
      <c r="C512" s="9" t="s">
        <v>1023</v>
      </c>
      <c r="D512" s="9" t="s">
        <v>2063</v>
      </c>
      <c r="E512" s="9" t="s">
        <v>1012</v>
      </c>
      <c r="F512" s="10">
        <v>44622</v>
      </c>
      <c r="G512" s="9" t="s">
        <v>1013</v>
      </c>
      <c r="I512" s="9" t="s">
        <v>1020</v>
      </c>
      <c r="J512" s="9" t="s">
        <v>1021</v>
      </c>
      <c r="K512" s="8" t="s">
        <v>1006</v>
      </c>
      <c r="L512" s="8" t="s">
        <v>1007</v>
      </c>
      <c r="M512" s="8" t="s">
        <v>2933</v>
      </c>
      <c r="N512" s="8" t="s">
        <v>2937</v>
      </c>
      <c r="O512" s="1" t="s">
        <v>2934</v>
      </c>
      <c r="P512">
        <v>30</v>
      </c>
      <c r="Q512">
        <v>30</v>
      </c>
      <c r="R512">
        <v>0</v>
      </c>
      <c r="S512">
        <f t="shared" si="71"/>
        <v>30</v>
      </c>
      <c r="T512" s="1" t="s">
        <v>2935</v>
      </c>
      <c r="U512" s="1" t="s">
        <v>2932</v>
      </c>
      <c r="V512" s="3">
        <f t="shared" si="72"/>
        <v>40000</v>
      </c>
      <c r="W512" s="3">
        <f t="shared" si="73"/>
        <v>16000</v>
      </c>
      <c r="X512" s="3">
        <f t="shared" si="65"/>
        <v>1250</v>
      </c>
      <c r="Y512" s="3">
        <f t="shared" si="66"/>
        <v>1600</v>
      </c>
      <c r="Z512" s="3">
        <f t="shared" si="67"/>
        <v>1800</v>
      </c>
      <c r="AA512" s="3">
        <v>0</v>
      </c>
      <c r="AB512" s="3">
        <f>ROUND(U512 - (V512+W512+X512+Y512) - (U512/Q512 * 2),0)</f>
        <v>34483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f>SUM(V512+W512+X512+Y512+AB512)</f>
        <v>93333</v>
      </c>
      <c r="AK512" s="3">
        <f>SUM(AJ512-AA512)</f>
        <v>93333</v>
      </c>
      <c r="AL512" s="3">
        <f>IF(V512&lt;=15000,V512*12%,1800)</f>
        <v>1800</v>
      </c>
      <c r="AM512" s="3">
        <v>0</v>
      </c>
      <c r="AN512" s="3">
        <f t="shared" si="68"/>
        <v>1800</v>
      </c>
      <c r="AO512" s="12">
        <v>200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3">
        <f t="shared" si="70"/>
        <v>200</v>
      </c>
      <c r="AV512" s="3">
        <f>SUM(AJ512 - AN512 - AU512)</f>
        <v>91333</v>
      </c>
      <c r="AW512" s="11">
        <v>0</v>
      </c>
      <c r="AX512" s="11">
        <v>0</v>
      </c>
      <c r="AY512" s="11">
        <v>0</v>
      </c>
      <c r="AZ512" s="11">
        <v>0</v>
      </c>
      <c r="BA512" s="3">
        <f t="shared" si="69"/>
        <v>91333</v>
      </c>
    </row>
    <row r="513" spans="1:53" x14ac:dyDescent="0.25">
      <c r="A513" s="1" t="s">
        <v>511</v>
      </c>
      <c r="B513" s="9" t="s">
        <v>2059</v>
      </c>
      <c r="C513" s="9" t="s">
        <v>2060</v>
      </c>
      <c r="D513" s="9" t="s">
        <v>2061</v>
      </c>
      <c r="E513" s="9" t="s">
        <v>1012</v>
      </c>
      <c r="F513" s="10">
        <v>44627</v>
      </c>
      <c r="G513" s="9" t="s">
        <v>1013</v>
      </c>
      <c r="I513" s="9" t="s">
        <v>1042</v>
      </c>
      <c r="J513" s="9" t="s">
        <v>2062</v>
      </c>
      <c r="K513" s="8" t="s">
        <v>1006</v>
      </c>
      <c r="L513" s="8" t="s">
        <v>1007</v>
      </c>
      <c r="M513" s="8" t="s">
        <v>2933</v>
      </c>
      <c r="N513" s="8" t="s">
        <v>2937</v>
      </c>
      <c r="O513" s="1" t="s">
        <v>2934</v>
      </c>
      <c r="P513">
        <v>30</v>
      </c>
      <c r="Q513">
        <v>30</v>
      </c>
      <c r="R513">
        <v>0</v>
      </c>
      <c r="S513">
        <f t="shared" si="71"/>
        <v>30</v>
      </c>
      <c r="T513" s="1" t="s">
        <v>2935</v>
      </c>
      <c r="U513" s="1" t="s">
        <v>2932</v>
      </c>
      <c r="V513" s="3">
        <f t="shared" si="72"/>
        <v>40000</v>
      </c>
      <c r="W513" s="3">
        <f t="shared" si="73"/>
        <v>16000</v>
      </c>
      <c r="X513" s="3">
        <f t="shared" si="65"/>
        <v>1250</v>
      </c>
      <c r="Y513" s="3">
        <f t="shared" si="66"/>
        <v>1600</v>
      </c>
      <c r="Z513" s="3">
        <f t="shared" si="67"/>
        <v>1800</v>
      </c>
      <c r="AA513" s="3">
        <v>0</v>
      </c>
      <c r="AB513" s="3">
        <f>ROUND(U513 - (V513+W513+X513+Y513) - (U513/Q513 * 2),0)</f>
        <v>34483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f>SUM(V513+W513+X513+Y513+AB513)</f>
        <v>93333</v>
      </c>
      <c r="AK513" s="3">
        <f>SUM(AJ513-AA513)</f>
        <v>93333</v>
      </c>
      <c r="AL513" s="3">
        <f>IF(V513&lt;=15000,V513*12%,1800)</f>
        <v>1800</v>
      </c>
      <c r="AM513" s="3">
        <v>0</v>
      </c>
      <c r="AN513" s="3">
        <f t="shared" si="68"/>
        <v>1800</v>
      </c>
      <c r="AO513" s="12">
        <v>200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3">
        <f t="shared" si="70"/>
        <v>200</v>
      </c>
      <c r="AV513" s="3">
        <f>SUM(AJ513 - AN513 - AU513)</f>
        <v>91333</v>
      </c>
      <c r="AW513" s="11">
        <v>0</v>
      </c>
      <c r="AX513" s="11">
        <v>0</v>
      </c>
      <c r="AY513" s="11">
        <v>0</v>
      </c>
      <c r="AZ513" s="11">
        <v>0</v>
      </c>
      <c r="BA513" s="3">
        <f t="shared" si="69"/>
        <v>91333</v>
      </c>
    </row>
    <row r="514" spans="1:53" x14ac:dyDescent="0.25">
      <c r="A514" s="1" t="s">
        <v>512</v>
      </c>
      <c r="B514" s="9" t="s">
        <v>2057</v>
      </c>
      <c r="C514" s="9" t="s">
        <v>1115</v>
      </c>
      <c r="D514" s="9" t="s">
        <v>2058</v>
      </c>
      <c r="E514" s="9" t="s">
        <v>1012</v>
      </c>
      <c r="F514" s="10">
        <v>44627</v>
      </c>
      <c r="G514" s="9" t="s">
        <v>1013</v>
      </c>
      <c r="I514" s="9" t="s">
        <v>1035</v>
      </c>
      <c r="J514" s="9" t="s">
        <v>1048</v>
      </c>
      <c r="K514" s="8" t="s">
        <v>1006</v>
      </c>
      <c r="L514" s="8" t="s">
        <v>1007</v>
      </c>
      <c r="M514" s="8" t="s">
        <v>2933</v>
      </c>
      <c r="N514" s="8" t="s">
        <v>2937</v>
      </c>
      <c r="O514" s="1" t="s">
        <v>2934</v>
      </c>
      <c r="P514">
        <v>30</v>
      </c>
      <c r="Q514">
        <v>30</v>
      </c>
      <c r="R514">
        <v>0</v>
      </c>
      <c r="S514">
        <f t="shared" si="71"/>
        <v>30</v>
      </c>
      <c r="T514" s="1" t="s">
        <v>2935</v>
      </c>
      <c r="U514" s="1" t="s">
        <v>2932</v>
      </c>
      <c r="V514" s="3">
        <f t="shared" si="72"/>
        <v>40000</v>
      </c>
      <c r="W514" s="3">
        <f t="shared" si="73"/>
        <v>16000</v>
      </c>
      <c r="X514" s="3">
        <f t="shared" si="65"/>
        <v>1250</v>
      </c>
      <c r="Y514" s="3">
        <f t="shared" si="66"/>
        <v>1600</v>
      </c>
      <c r="Z514" s="3">
        <f t="shared" si="67"/>
        <v>1800</v>
      </c>
      <c r="AA514" s="3">
        <v>0</v>
      </c>
      <c r="AB514" s="3">
        <f>ROUND(U514 - (V514+W514+X514+Y514) - (U514/Q514 * 2),0)</f>
        <v>34483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f>SUM(V514+W514+X514+Y514+AB514)</f>
        <v>93333</v>
      </c>
      <c r="AK514" s="3">
        <f>SUM(AJ514-AA514)</f>
        <v>93333</v>
      </c>
      <c r="AL514" s="3">
        <f>IF(V514&lt;=15000,V514*12%,1800)</f>
        <v>1800</v>
      </c>
      <c r="AM514" s="3">
        <v>0</v>
      </c>
      <c r="AN514" s="3">
        <f t="shared" si="68"/>
        <v>1800</v>
      </c>
      <c r="AO514" s="12">
        <v>200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3">
        <f t="shared" si="70"/>
        <v>200</v>
      </c>
      <c r="AV514" s="3">
        <f>SUM(AJ514 - AN514 - AU514)</f>
        <v>91333</v>
      </c>
      <c r="AW514" s="11">
        <v>0</v>
      </c>
      <c r="AX514" s="11">
        <v>0</v>
      </c>
      <c r="AY514" s="11">
        <v>0</v>
      </c>
      <c r="AZ514" s="11">
        <v>0</v>
      </c>
      <c r="BA514" s="3">
        <f t="shared" si="69"/>
        <v>91333</v>
      </c>
    </row>
    <row r="515" spans="1:53" x14ac:dyDescent="0.25">
      <c r="A515" s="1" t="s">
        <v>513</v>
      </c>
      <c r="B515" s="9" t="s">
        <v>2055</v>
      </c>
      <c r="C515" s="9" t="s">
        <v>1063</v>
      </c>
      <c r="D515" s="9" t="s">
        <v>2056</v>
      </c>
      <c r="E515" s="9" t="s">
        <v>1012</v>
      </c>
      <c r="F515" s="10">
        <v>44622</v>
      </c>
      <c r="G515" s="9" t="s">
        <v>1013</v>
      </c>
      <c r="I515" s="9" t="s">
        <v>1014</v>
      </c>
      <c r="J515" s="9" t="s">
        <v>1015</v>
      </c>
      <c r="K515" s="8" t="s">
        <v>1006</v>
      </c>
      <c r="L515" s="8" t="s">
        <v>1007</v>
      </c>
      <c r="M515" s="8" t="s">
        <v>2933</v>
      </c>
      <c r="N515" s="8" t="s">
        <v>2937</v>
      </c>
      <c r="O515" s="1" t="s">
        <v>2934</v>
      </c>
      <c r="P515">
        <v>30</v>
      </c>
      <c r="Q515">
        <v>30</v>
      </c>
      <c r="R515">
        <v>0</v>
      </c>
      <c r="S515">
        <f t="shared" si="71"/>
        <v>30</v>
      </c>
      <c r="T515" s="1" t="s">
        <v>2935</v>
      </c>
      <c r="U515" s="1" t="s">
        <v>2932</v>
      </c>
      <c r="V515" s="3">
        <f t="shared" si="72"/>
        <v>40000</v>
      </c>
      <c r="W515" s="3">
        <f t="shared" si="73"/>
        <v>16000</v>
      </c>
      <c r="X515" s="3">
        <f t="shared" ref="X515:X578" si="74">ROUND(1250 - ((1250/Q515)*R515),0)</f>
        <v>1250</v>
      </c>
      <c r="Y515" s="3">
        <f t="shared" ref="Y515:Y578" si="75">ROUND(1600 - (1600/Q515) *R515,0)</f>
        <v>1600</v>
      </c>
      <c r="Z515" s="3">
        <f t="shared" ref="Z515:Z578" si="76">IF(V515&lt;=15000,V515*12%,1800)</f>
        <v>1800</v>
      </c>
      <c r="AA515" s="3">
        <v>0</v>
      </c>
      <c r="AB515" s="3">
        <f>ROUND(U515 - (V515+W515+X515+Y515) - (U515/Q515 * 2),0)</f>
        <v>34483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f>SUM(V515+W515+X515+Y515+AB515)</f>
        <v>93333</v>
      </c>
      <c r="AK515" s="3">
        <f>SUM(AJ515-AA515)</f>
        <v>93333</v>
      </c>
      <c r="AL515" s="3">
        <f>IF(V515&lt;=15000,V515*12%,1800)</f>
        <v>1800</v>
      </c>
      <c r="AM515" s="3">
        <v>0</v>
      </c>
      <c r="AN515" s="3">
        <f t="shared" ref="AN515:AN578" si="77">SUM(AL515+AM515)</f>
        <v>1800</v>
      </c>
      <c r="AO515" s="12">
        <v>200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3">
        <f t="shared" si="70"/>
        <v>200</v>
      </c>
      <c r="AV515" s="3">
        <f>SUM(AJ515 - AN515 - AU515)</f>
        <v>91333</v>
      </c>
      <c r="AW515" s="11">
        <v>0</v>
      </c>
      <c r="AX515" s="11">
        <v>0</v>
      </c>
      <c r="AY515" s="11">
        <v>0</v>
      </c>
      <c r="AZ515" s="11">
        <v>0</v>
      </c>
      <c r="BA515" s="3">
        <f t="shared" ref="BA515:BA578" si="78">AV515+AW515+AX515+AZ515</f>
        <v>91333</v>
      </c>
    </row>
    <row r="516" spans="1:53" x14ac:dyDescent="0.25">
      <c r="A516" s="1" t="s">
        <v>514</v>
      </c>
      <c r="B516" s="9" t="s">
        <v>1281</v>
      </c>
      <c r="C516" s="9" t="s">
        <v>1017</v>
      </c>
      <c r="D516" s="9" t="s">
        <v>2054</v>
      </c>
      <c r="E516" s="9" t="s">
        <v>1012</v>
      </c>
      <c r="F516" s="10">
        <v>44630</v>
      </c>
      <c r="G516" s="9" t="s">
        <v>1013</v>
      </c>
      <c r="I516" s="9" t="s">
        <v>1014</v>
      </c>
      <c r="J516" s="9" t="s">
        <v>1021</v>
      </c>
      <c r="K516" s="8" t="s">
        <v>1006</v>
      </c>
      <c r="L516" s="8" t="s">
        <v>1007</v>
      </c>
      <c r="M516" s="8" t="s">
        <v>2933</v>
      </c>
      <c r="N516" s="8" t="s">
        <v>2937</v>
      </c>
      <c r="O516" s="1" t="s">
        <v>2934</v>
      </c>
      <c r="P516">
        <v>30</v>
      </c>
      <c r="Q516">
        <v>30</v>
      </c>
      <c r="R516">
        <v>0</v>
      </c>
      <c r="S516">
        <f t="shared" si="71"/>
        <v>30</v>
      </c>
      <c r="T516" s="1" t="s">
        <v>2935</v>
      </c>
      <c r="U516" s="1" t="s">
        <v>2932</v>
      </c>
      <c r="V516" s="3">
        <f t="shared" si="72"/>
        <v>40000</v>
      </c>
      <c r="W516" s="3">
        <f t="shared" si="73"/>
        <v>16000</v>
      </c>
      <c r="X516" s="3">
        <f t="shared" si="74"/>
        <v>1250</v>
      </c>
      <c r="Y516" s="3">
        <f t="shared" si="75"/>
        <v>1600</v>
      </c>
      <c r="Z516" s="3">
        <f t="shared" si="76"/>
        <v>1800</v>
      </c>
      <c r="AA516" s="3">
        <v>0</v>
      </c>
      <c r="AB516" s="3">
        <f>ROUND(U516 - (V516+W516+X516+Y516) - (U516/Q516 * 2),0)</f>
        <v>34483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f>SUM(V516+W516+X516+Y516+AB516)</f>
        <v>93333</v>
      </c>
      <c r="AK516" s="3">
        <f>SUM(AJ516-AA516)</f>
        <v>93333</v>
      </c>
      <c r="AL516" s="3">
        <f>IF(V516&lt;=15000,V516*12%,1800)</f>
        <v>1800</v>
      </c>
      <c r="AM516" s="3">
        <v>0</v>
      </c>
      <c r="AN516" s="3">
        <f t="shared" si="77"/>
        <v>1800</v>
      </c>
      <c r="AO516" s="12">
        <v>200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3">
        <f t="shared" ref="AU516:AU579" si="79">SUM(AO516:AT516)</f>
        <v>200</v>
      </c>
      <c r="AV516" s="3">
        <f>SUM(AJ516 - AN516 - AU516)</f>
        <v>91333</v>
      </c>
      <c r="AW516" s="11">
        <v>0</v>
      </c>
      <c r="AX516" s="11">
        <v>0</v>
      </c>
      <c r="AY516" s="11">
        <v>0</v>
      </c>
      <c r="AZ516" s="11">
        <v>0</v>
      </c>
      <c r="BA516" s="3">
        <f t="shared" si="78"/>
        <v>91333</v>
      </c>
    </row>
    <row r="517" spans="1:53" x14ac:dyDescent="0.25">
      <c r="A517" s="1" t="s">
        <v>515</v>
      </c>
      <c r="B517" s="9" t="s">
        <v>2052</v>
      </c>
      <c r="C517" s="9" t="s">
        <v>1038</v>
      </c>
      <c r="D517" s="9" t="s">
        <v>2053</v>
      </c>
      <c r="E517" s="9" t="s">
        <v>1012</v>
      </c>
      <c r="F517" s="10">
        <v>44636</v>
      </c>
      <c r="G517" s="9" t="s">
        <v>1013</v>
      </c>
      <c r="I517" s="9" t="s">
        <v>1035</v>
      </c>
      <c r="J517" s="9" t="s">
        <v>1031</v>
      </c>
      <c r="K517" s="8" t="s">
        <v>1006</v>
      </c>
      <c r="L517" s="8" t="s">
        <v>1007</v>
      </c>
      <c r="M517" s="8" t="s">
        <v>2933</v>
      </c>
      <c r="N517" s="8" t="s">
        <v>2937</v>
      </c>
      <c r="O517" s="1" t="s">
        <v>2934</v>
      </c>
      <c r="P517">
        <v>30</v>
      </c>
      <c r="Q517">
        <v>30</v>
      </c>
      <c r="R517">
        <v>0</v>
      </c>
      <c r="S517">
        <f t="shared" ref="S517:S580" si="80">SUM(Q517-R517)</f>
        <v>30</v>
      </c>
      <c r="T517" s="1" t="s">
        <v>2935</v>
      </c>
      <c r="U517" s="1" t="s">
        <v>2932</v>
      </c>
      <c r="V517" s="3">
        <f t="shared" ref="V517:V580" si="81">ROUND((U517*40%) / Q517  * S517,0)</f>
        <v>40000</v>
      </c>
      <c r="W517" s="3">
        <f t="shared" ref="W517:W580" si="82">ROUND((U517*16%) / Q517  * S517,0)</f>
        <v>16000</v>
      </c>
      <c r="X517" s="3">
        <f t="shared" si="74"/>
        <v>1250</v>
      </c>
      <c r="Y517" s="3">
        <f t="shared" si="75"/>
        <v>1600</v>
      </c>
      <c r="Z517" s="3">
        <f t="shared" si="76"/>
        <v>1800</v>
      </c>
      <c r="AA517" s="3">
        <v>0</v>
      </c>
      <c r="AB517" s="3">
        <f>ROUND(U517 - (V517+W517+X517+Y517) - (U517/Q517 * 2),0)</f>
        <v>34483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f>SUM(V517+W517+X517+Y517+AB517)</f>
        <v>93333</v>
      </c>
      <c r="AK517" s="3">
        <f>SUM(AJ517-AA517)</f>
        <v>93333</v>
      </c>
      <c r="AL517" s="3">
        <f>IF(V517&lt;=15000,V517*12%,1800)</f>
        <v>1800</v>
      </c>
      <c r="AM517" s="3">
        <v>0</v>
      </c>
      <c r="AN517" s="3">
        <f t="shared" si="77"/>
        <v>1800</v>
      </c>
      <c r="AO517" s="12">
        <v>200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3">
        <f t="shared" si="79"/>
        <v>200</v>
      </c>
      <c r="AV517" s="3">
        <f>SUM(AJ517 - AN517 - AU517)</f>
        <v>91333</v>
      </c>
      <c r="AW517" s="11">
        <v>0</v>
      </c>
      <c r="AX517" s="11">
        <v>0</v>
      </c>
      <c r="AY517" s="11">
        <v>0</v>
      </c>
      <c r="AZ517" s="11">
        <v>0</v>
      </c>
      <c r="BA517" s="3">
        <f t="shared" si="78"/>
        <v>91333</v>
      </c>
    </row>
    <row r="518" spans="1:53" x14ac:dyDescent="0.25">
      <c r="A518" s="1" t="s">
        <v>516</v>
      </c>
      <c r="B518" s="9" t="s">
        <v>2050</v>
      </c>
      <c r="C518" s="9" t="s">
        <v>1023</v>
      </c>
      <c r="D518" s="9" t="s">
        <v>2051</v>
      </c>
      <c r="E518" s="9" t="s">
        <v>1012</v>
      </c>
      <c r="F518" s="10">
        <v>44621</v>
      </c>
      <c r="G518" s="9" t="s">
        <v>1019</v>
      </c>
      <c r="I518" s="9" t="s">
        <v>1035</v>
      </c>
      <c r="J518" s="9" t="s">
        <v>1021</v>
      </c>
      <c r="K518" s="8" t="s">
        <v>1006</v>
      </c>
      <c r="L518" s="8" t="s">
        <v>1007</v>
      </c>
      <c r="M518" s="8" t="s">
        <v>2933</v>
      </c>
      <c r="N518" s="8" t="s">
        <v>2937</v>
      </c>
      <c r="O518" s="1" t="s">
        <v>2934</v>
      </c>
      <c r="P518">
        <v>30</v>
      </c>
      <c r="Q518">
        <v>30</v>
      </c>
      <c r="R518">
        <v>0</v>
      </c>
      <c r="S518">
        <f t="shared" si="80"/>
        <v>30</v>
      </c>
      <c r="T518" s="1" t="s">
        <v>2935</v>
      </c>
      <c r="U518" s="1" t="s">
        <v>2932</v>
      </c>
      <c r="V518" s="3">
        <f t="shared" si="81"/>
        <v>40000</v>
      </c>
      <c r="W518" s="3">
        <f t="shared" si="82"/>
        <v>16000</v>
      </c>
      <c r="X518" s="3">
        <f t="shared" si="74"/>
        <v>1250</v>
      </c>
      <c r="Y518" s="3">
        <f t="shared" si="75"/>
        <v>1600</v>
      </c>
      <c r="Z518" s="3">
        <f t="shared" si="76"/>
        <v>1800</v>
      </c>
      <c r="AA518" s="3">
        <v>0</v>
      </c>
      <c r="AB518" s="3">
        <f>ROUND(U518 - (V518+W518+X518+Y518) - (U518/Q518 * 2),0)</f>
        <v>34483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f>SUM(V518+W518+X518+Y518+AB518)</f>
        <v>93333</v>
      </c>
      <c r="AK518" s="3">
        <f>SUM(AJ518-AA518)</f>
        <v>93333</v>
      </c>
      <c r="AL518" s="3">
        <f>IF(V518&lt;=15000,V518*12%,1800)</f>
        <v>1800</v>
      </c>
      <c r="AM518" s="3">
        <v>0</v>
      </c>
      <c r="AN518" s="3">
        <f t="shared" si="77"/>
        <v>1800</v>
      </c>
      <c r="AO518" s="12">
        <v>200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3">
        <f t="shared" si="79"/>
        <v>200</v>
      </c>
      <c r="AV518" s="3">
        <f>SUM(AJ518 - AN518 - AU518)</f>
        <v>91333</v>
      </c>
      <c r="AW518" s="11">
        <v>0</v>
      </c>
      <c r="AX518" s="11">
        <v>0</v>
      </c>
      <c r="AY518" s="11">
        <v>0</v>
      </c>
      <c r="AZ518" s="11">
        <v>0</v>
      </c>
      <c r="BA518" s="3">
        <f t="shared" si="78"/>
        <v>91333</v>
      </c>
    </row>
    <row r="519" spans="1:53" x14ac:dyDescent="0.25">
      <c r="A519" s="1" t="s">
        <v>517</v>
      </c>
      <c r="B519" s="9" t="s">
        <v>2048</v>
      </c>
      <c r="C519" s="9" t="s">
        <v>1115</v>
      </c>
      <c r="D519" s="9" t="s">
        <v>2049</v>
      </c>
      <c r="E519" s="9" t="s">
        <v>1012</v>
      </c>
      <c r="F519" s="10">
        <v>44641</v>
      </c>
      <c r="G519" s="9" t="s">
        <v>1013</v>
      </c>
      <c r="I519" s="9" t="s">
        <v>1035</v>
      </c>
      <c r="J519" s="9" t="s">
        <v>1048</v>
      </c>
      <c r="K519" s="8" t="s">
        <v>1006</v>
      </c>
      <c r="L519" s="8" t="s">
        <v>1007</v>
      </c>
      <c r="M519" s="8" t="s">
        <v>2933</v>
      </c>
      <c r="N519" s="8" t="s">
        <v>2937</v>
      </c>
      <c r="O519" s="1" t="s">
        <v>2934</v>
      </c>
      <c r="P519">
        <v>30</v>
      </c>
      <c r="Q519">
        <v>30</v>
      </c>
      <c r="R519">
        <v>0</v>
      </c>
      <c r="S519">
        <f t="shared" si="80"/>
        <v>30</v>
      </c>
      <c r="T519" s="1" t="s">
        <v>2935</v>
      </c>
      <c r="U519" s="1" t="s">
        <v>2932</v>
      </c>
      <c r="V519" s="3">
        <f t="shared" si="81"/>
        <v>40000</v>
      </c>
      <c r="W519" s="3">
        <f t="shared" si="82"/>
        <v>16000</v>
      </c>
      <c r="X519" s="3">
        <f t="shared" si="74"/>
        <v>1250</v>
      </c>
      <c r="Y519" s="3">
        <f t="shared" si="75"/>
        <v>1600</v>
      </c>
      <c r="Z519" s="3">
        <f t="shared" si="76"/>
        <v>1800</v>
      </c>
      <c r="AA519" s="3">
        <v>0</v>
      </c>
      <c r="AB519" s="3">
        <f>ROUND(U519 - (V519+W519+X519+Y519) - (U519/Q519 * 2),0)</f>
        <v>34483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f>SUM(V519+W519+X519+Y519+AB519)</f>
        <v>93333</v>
      </c>
      <c r="AK519" s="3">
        <f>SUM(AJ519-AA519)</f>
        <v>93333</v>
      </c>
      <c r="AL519" s="3">
        <f>IF(V519&lt;=15000,V519*12%,1800)</f>
        <v>1800</v>
      </c>
      <c r="AM519" s="3">
        <v>0</v>
      </c>
      <c r="AN519" s="3">
        <f t="shared" si="77"/>
        <v>1800</v>
      </c>
      <c r="AO519" s="12">
        <v>200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3">
        <f t="shared" si="79"/>
        <v>200</v>
      </c>
      <c r="AV519" s="3">
        <f>SUM(AJ519 - AN519 - AU519)</f>
        <v>91333</v>
      </c>
      <c r="AW519" s="11">
        <v>0</v>
      </c>
      <c r="AX519" s="11">
        <v>0</v>
      </c>
      <c r="AY519" s="11">
        <v>0</v>
      </c>
      <c r="AZ519" s="11">
        <v>0</v>
      </c>
      <c r="BA519" s="3">
        <f t="shared" si="78"/>
        <v>91333</v>
      </c>
    </row>
    <row r="520" spans="1:53" x14ac:dyDescent="0.25">
      <c r="A520" s="1" t="s">
        <v>518</v>
      </c>
      <c r="B520" s="9" t="s">
        <v>2046</v>
      </c>
      <c r="C520" s="9" t="s">
        <v>1010</v>
      </c>
      <c r="D520" s="9" t="s">
        <v>2047</v>
      </c>
      <c r="E520" s="9" t="s">
        <v>1012</v>
      </c>
      <c r="F520" s="10">
        <v>44627</v>
      </c>
      <c r="G520" s="9" t="s">
        <v>1013</v>
      </c>
      <c r="I520" s="9" t="s">
        <v>1014</v>
      </c>
      <c r="J520" s="9" t="s">
        <v>1015</v>
      </c>
      <c r="K520" s="8" t="s">
        <v>1006</v>
      </c>
      <c r="L520" s="8" t="s">
        <v>1007</v>
      </c>
      <c r="M520" s="8" t="s">
        <v>2933</v>
      </c>
      <c r="N520" s="8" t="s">
        <v>2937</v>
      </c>
      <c r="O520" s="1" t="s">
        <v>2934</v>
      </c>
      <c r="P520">
        <v>30</v>
      </c>
      <c r="Q520">
        <v>30</v>
      </c>
      <c r="R520">
        <v>0</v>
      </c>
      <c r="S520">
        <f t="shared" si="80"/>
        <v>30</v>
      </c>
      <c r="T520" s="1" t="s">
        <v>2935</v>
      </c>
      <c r="U520" s="1" t="s">
        <v>2932</v>
      </c>
      <c r="V520" s="3">
        <f t="shared" si="81"/>
        <v>40000</v>
      </c>
      <c r="W520" s="3">
        <f t="shared" si="82"/>
        <v>16000</v>
      </c>
      <c r="X520" s="3">
        <f t="shared" si="74"/>
        <v>1250</v>
      </c>
      <c r="Y520" s="3">
        <f t="shared" si="75"/>
        <v>1600</v>
      </c>
      <c r="Z520" s="3">
        <f t="shared" si="76"/>
        <v>1800</v>
      </c>
      <c r="AA520" s="3">
        <v>0</v>
      </c>
      <c r="AB520" s="3">
        <f>ROUND(U520 - (V520+W520+X520+Y520) - (U520/Q520 * 2),0)</f>
        <v>34483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f>SUM(V520+W520+X520+Y520+AB520)</f>
        <v>93333</v>
      </c>
      <c r="AK520" s="3">
        <f>SUM(AJ520-AA520)</f>
        <v>93333</v>
      </c>
      <c r="AL520" s="3">
        <f>IF(V520&lt;=15000,V520*12%,1800)</f>
        <v>1800</v>
      </c>
      <c r="AM520" s="3">
        <v>0</v>
      </c>
      <c r="AN520" s="3">
        <f t="shared" si="77"/>
        <v>1800</v>
      </c>
      <c r="AO520" s="12">
        <v>200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3">
        <f t="shared" si="79"/>
        <v>200</v>
      </c>
      <c r="AV520" s="3">
        <f>SUM(AJ520 - AN520 - AU520)</f>
        <v>91333</v>
      </c>
      <c r="AW520" s="11">
        <v>0</v>
      </c>
      <c r="AX520" s="11">
        <v>0</v>
      </c>
      <c r="AY520" s="11">
        <v>0</v>
      </c>
      <c r="AZ520" s="11">
        <v>0</v>
      </c>
      <c r="BA520" s="3">
        <f t="shared" si="78"/>
        <v>91333</v>
      </c>
    </row>
    <row r="521" spans="1:53" x14ac:dyDescent="0.25">
      <c r="A521" s="1" t="s">
        <v>519</v>
      </c>
      <c r="B521" s="9" t="s">
        <v>2044</v>
      </c>
      <c r="C521" s="9" t="s">
        <v>1023</v>
      </c>
      <c r="D521" s="9" t="s">
        <v>2045</v>
      </c>
      <c r="E521" s="9" t="s">
        <v>1012</v>
      </c>
      <c r="F521" s="10">
        <v>45621</v>
      </c>
      <c r="G521" s="9" t="s">
        <v>1019</v>
      </c>
      <c r="I521" s="9" t="s">
        <v>1020</v>
      </c>
      <c r="J521" s="9" t="s">
        <v>1021</v>
      </c>
      <c r="K521" s="8" t="s">
        <v>1006</v>
      </c>
      <c r="L521" s="8" t="s">
        <v>1007</v>
      </c>
      <c r="M521" s="8" t="s">
        <v>2933</v>
      </c>
      <c r="N521" s="8" t="s">
        <v>2937</v>
      </c>
      <c r="O521" s="1" t="s">
        <v>2934</v>
      </c>
      <c r="P521">
        <v>30</v>
      </c>
      <c r="Q521">
        <v>30</v>
      </c>
      <c r="R521">
        <v>0</v>
      </c>
      <c r="S521">
        <f t="shared" si="80"/>
        <v>30</v>
      </c>
      <c r="T521" s="1" t="s">
        <v>2935</v>
      </c>
      <c r="U521" s="1" t="s">
        <v>2932</v>
      </c>
      <c r="V521" s="3">
        <f t="shared" si="81"/>
        <v>40000</v>
      </c>
      <c r="W521" s="3">
        <f t="shared" si="82"/>
        <v>16000</v>
      </c>
      <c r="X521" s="3">
        <f t="shared" si="74"/>
        <v>1250</v>
      </c>
      <c r="Y521" s="3">
        <f t="shared" si="75"/>
        <v>1600</v>
      </c>
      <c r="Z521" s="3">
        <f t="shared" si="76"/>
        <v>1800</v>
      </c>
      <c r="AA521" s="3">
        <v>0</v>
      </c>
      <c r="AB521" s="3">
        <f>ROUND(U521 - (V521+W521+X521+Y521) - (U521/Q521 * 2),0)</f>
        <v>34483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f>SUM(V521+W521+X521+Y521+AB521)</f>
        <v>93333</v>
      </c>
      <c r="AK521" s="3">
        <f>SUM(AJ521-AA521)</f>
        <v>93333</v>
      </c>
      <c r="AL521" s="3">
        <f>IF(V521&lt;=15000,V521*12%,1800)</f>
        <v>1800</v>
      </c>
      <c r="AM521" s="3">
        <v>0</v>
      </c>
      <c r="AN521" s="3">
        <f t="shared" si="77"/>
        <v>1800</v>
      </c>
      <c r="AO521" s="12">
        <v>200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3">
        <f t="shared" si="79"/>
        <v>200</v>
      </c>
      <c r="AV521" s="3">
        <f>SUM(AJ521 - AN521 - AU521)</f>
        <v>91333</v>
      </c>
      <c r="AW521" s="11">
        <v>0</v>
      </c>
      <c r="AX521" s="11">
        <v>0</v>
      </c>
      <c r="AY521" s="11">
        <v>0</v>
      </c>
      <c r="AZ521" s="11">
        <v>0</v>
      </c>
      <c r="BA521" s="3">
        <f t="shared" si="78"/>
        <v>91333</v>
      </c>
    </row>
    <row r="522" spans="1:53" x14ac:dyDescent="0.25">
      <c r="A522" s="1" t="s">
        <v>520</v>
      </c>
      <c r="B522" s="9" t="s">
        <v>1422</v>
      </c>
      <c r="C522" s="9" t="s">
        <v>1128</v>
      </c>
      <c r="D522" s="9" t="s">
        <v>2043</v>
      </c>
      <c r="E522" s="9" t="s">
        <v>1008</v>
      </c>
      <c r="F522" s="10">
        <v>45635</v>
      </c>
      <c r="G522" s="9" t="s">
        <v>1019</v>
      </c>
      <c r="I522" s="9" t="s">
        <v>1042</v>
      </c>
      <c r="J522" s="9" t="s">
        <v>1048</v>
      </c>
      <c r="K522" s="8" t="s">
        <v>1006</v>
      </c>
      <c r="L522" s="8" t="s">
        <v>1007</v>
      </c>
      <c r="M522" s="8" t="s">
        <v>2933</v>
      </c>
      <c r="N522" s="8" t="s">
        <v>2937</v>
      </c>
      <c r="O522" s="1" t="s">
        <v>2934</v>
      </c>
      <c r="P522">
        <v>30</v>
      </c>
      <c r="Q522">
        <v>30</v>
      </c>
      <c r="R522">
        <v>0</v>
      </c>
      <c r="S522">
        <f t="shared" si="80"/>
        <v>30</v>
      </c>
      <c r="T522" s="1" t="s">
        <v>2935</v>
      </c>
      <c r="U522" s="1" t="s">
        <v>2932</v>
      </c>
      <c r="V522" s="3">
        <f t="shared" si="81"/>
        <v>40000</v>
      </c>
      <c r="W522" s="3">
        <f t="shared" si="82"/>
        <v>16000</v>
      </c>
      <c r="X522" s="3">
        <f t="shared" si="74"/>
        <v>1250</v>
      </c>
      <c r="Y522" s="3">
        <f t="shared" si="75"/>
        <v>1600</v>
      </c>
      <c r="Z522" s="3">
        <f t="shared" si="76"/>
        <v>1800</v>
      </c>
      <c r="AA522" s="3">
        <v>0</v>
      </c>
      <c r="AB522" s="3">
        <f>ROUND(U522 - (V522+W522+X522+Y522) - (U522/Q522 * 2),0)</f>
        <v>34483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f>SUM(V522+W522+X522+Y522+AB522)</f>
        <v>93333</v>
      </c>
      <c r="AK522" s="3">
        <f>SUM(AJ522-AA522)</f>
        <v>93333</v>
      </c>
      <c r="AL522" s="3">
        <f>IF(V522&lt;=15000,V522*12%,1800)</f>
        <v>1800</v>
      </c>
      <c r="AM522" s="3">
        <v>0</v>
      </c>
      <c r="AN522" s="3">
        <f t="shared" si="77"/>
        <v>1800</v>
      </c>
      <c r="AO522" s="12">
        <v>200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3">
        <f t="shared" si="79"/>
        <v>200</v>
      </c>
      <c r="AV522" s="3">
        <f>SUM(AJ522 - AN522 - AU522)</f>
        <v>91333</v>
      </c>
      <c r="AW522" s="11">
        <v>0</v>
      </c>
      <c r="AX522" s="11">
        <v>0</v>
      </c>
      <c r="AY522" s="11">
        <v>0</v>
      </c>
      <c r="AZ522" s="11">
        <v>0</v>
      </c>
      <c r="BA522" s="3">
        <f t="shared" si="78"/>
        <v>91333</v>
      </c>
    </row>
    <row r="523" spans="1:53" x14ac:dyDescent="0.25">
      <c r="A523" s="1" t="s">
        <v>521</v>
      </c>
      <c r="B523" s="9" t="s">
        <v>2041</v>
      </c>
      <c r="C523" s="9" t="s">
        <v>1063</v>
      </c>
      <c r="D523" s="9" t="s">
        <v>2042</v>
      </c>
      <c r="E523" s="9" t="s">
        <v>1008</v>
      </c>
      <c r="F523" s="10">
        <v>45628</v>
      </c>
      <c r="G523" s="9" t="s">
        <v>1019</v>
      </c>
      <c r="I523" s="9" t="s">
        <v>1020</v>
      </c>
      <c r="J523" s="9" t="s">
        <v>1015</v>
      </c>
      <c r="K523" s="8" t="s">
        <v>1006</v>
      </c>
      <c r="L523" s="8" t="s">
        <v>1007</v>
      </c>
      <c r="M523" s="8" t="s">
        <v>2933</v>
      </c>
      <c r="N523" s="8" t="s">
        <v>2937</v>
      </c>
      <c r="O523" s="1" t="s">
        <v>2934</v>
      </c>
      <c r="P523">
        <v>30</v>
      </c>
      <c r="Q523">
        <v>30</v>
      </c>
      <c r="R523">
        <v>0</v>
      </c>
      <c r="S523">
        <f t="shared" si="80"/>
        <v>30</v>
      </c>
      <c r="T523" s="1" t="s">
        <v>2935</v>
      </c>
      <c r="U523" s="1" t="s">
        <v>2932</v>
      </c>
      <c r="V523" s="3">
        <f t="shared" si="81"/>
        <v>40000</v>
      </c>
      <c r="W523" s="3">
        <f t="shared" si="82"/>
        <v>16000</v>
      </c>
      <c r="X523" s="3">
        <f t="shared" si="74"/>
        <v>1250</v>
      </c>
      <c r="Y523" s="3">
        <f t="shared" si="75"/>
        <v>1600</v>
      </c>
      <c r="Z523" s="3">
        <f t="shared" si="76"/>
        <v>1800</v>
      </c>
      <c r="AA523" s="3">
        <v>0</v>
      </c>
      <c r="AB523" s="3">
        <f>ROUND(U523 - (V523+W523+X523+Y523) - (U523/Q523 * 2),0)</f>
        <v>34483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f>SUM(V523+W523+X523+Y523+AB523)</f>
        <v>93333</v>
      </c>
      <c r="AK523" s="3">
        <f>SUM(AJ523-AA523)</f>
        <v>93333</v>
      </c>
      <c r="AL523" s="3">
        <f>IF(V523&lt;=15000,V523*12%,1800)</f>
        <v>1800</v>
      </c>
      <c r="AM523" s="3">
        <v>0</v>
      </c>
      <c r="AN523" s="3">
        <f t="shared" si="77"/>
        <v>1800</v>
      </c>
      <c r="AO523" s="12">
        <v>200</v>
      </c>
      <c r="AP523" s="12">
        <v>0</v>
      </c>
      <c r="AQ523" s="12">
        <v>0</v>
      </c>
      <c r="AR523" s="12">
        <v>0</v>
      </c>
      <c r="AS523" s="12">
        <v>0</v>
      </c>
      <c r="AT523" s="12">
        <v>0</v>
      </c>
      <c r="AU523" s="3">
        <f t="shared" si="79"/>
        <v>200</v>
      </c>
      <c r="AV523" s="3">
        <f>SUM(AJ523 - AN523 - AU523)</f>
        <v>91333</v>
      </c>
      <c r="AW523" s="11">
        <v>0</v>
      </c>
      <c r="AX523" s="11">
        <v>0</v>
      </c>
      <c r="AY523" s="11">
        <v>0</v>
      </c>
      <c r="AZ523" s="11">
        <v>0</v>
      </c>
      <c r="BA523" s="3">
        <f t="shared" si="78"/>
        <v>91333</v>
      </c>
    </row>
    <row r="524" spans="1:53" x14ac:dyDescent="0.25">
      <c r="A524" s="1" t="s">
        <v>522</v>
      </c>
      <c r="B524" s="9" t="s">
        <v>2039</v>
      </c>
      <c r="C524" s="9" t="s">
        <v>1128</v>
      </c>
      <c r="D524" s="9" t="s">
        <v>2040</v>
      </c>
      <c r="E524" s="9" t="s">
        <v>1008</v>
      </c>
      <c r="F524" s="10">
        <v>45677</v>
      </c>
      <c r="G524" s="9" t="s">
        <v>1019</v>
      </c>
      <c r="I524" s="9" t="s">
        <v>1042</v>
      </c>
      <c r="J524" s="9" t="s">
        <v>1048</v>
      </c>
      <c r="K524" s="8" t="s">
        <v>1006</v>
      </c>
      <c r="L524" s="8" t="s">
        <v>1007</v>
      </c>
      <c r="M524" s="8" t="s">
        <v>2933</v>
      </c>
      <c r="N524" s="8" t="s">
        <v>2937</v>
      </c>
      <c r="O524" s="1" t="s">
        <v>2934</v>
      </c>
      <c r="P524">
        <v>30</v>
      </c>
      <c r="Q524">
        <v>30</v>
      </c>
      <c r="R524">
        <v>0</v>
      </c>
      <c r="S524">
        <f t="shared" si="80"/>
        <v>30</v>
      </c>
      <c r="T524" s="1" t="s">
        <v>2935</v>
      </c>
      <c r="U524" s="1" t="s">
        <v>2932</v>
      </c>
      <c r="V524" s="3">
        <f t="shared" si="81"/>
        <v>40000</v>
      </c>
      <c r="W524" s="3">
        <f t="shared" si="82"/>
        <v>16000</v>
      </c>
      <c r="X524" s="3">
        <f t="shared" si="74"/>
        <v>1250</v>
      </c>
      <c r="Y524" s="3">
        <f t="shared" si="75"/>
        <v>1600</v>
      </c>
      <c r="Z524" s="3">
        <f t="shared" si="76"/>
        <v>1800</v>
      </c>
      <c r="AA524" s="3">
        <v>0</v>
      </c>
      <c r="AB524" s="3">
        <f>ROUND(U524 - (V524+W524+X524+Y524) - (U524/Q524 * 2),0)</f>
        <v>34483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f>SUM(V524+W524+X524+Y524+AB524)</f>
        <v>93333</v>
      </c>
      <c r="AK524" s="3">
        <f>SUM(AJ524-AA524)</f>
        <v>93333</v>
      </c>
      <c r="AL524" s="3">
        <f>IF(V524&lt;=15000,V524*12%,1800)</f>
        <v>1800</v>
      </c>
      <c r="AM524" s="3">
        <v>0</v>
      </c>
      <c r="AN524" s="3">
        <f t="shared" si="77"/>
        <v>1800</v>
      </c>
      <c r="AO524" s="12">
        <v>200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3">
        <f t="shared" si="79"/>
        <v>200</v>
      </c>
      <c r="AV524" s="3">
        <f>SUM(AJ524 - AN524 - AU524)</f>
        <v>91333</v>
      </c>
      <c r="AW524" s="11">
        <v>0</v>
      </c>
      <c r="AX524" s="11">
        <v>0</v>
      </c>
      <c r="AY524" s="11">
        <v>0</v>
      </c>
      <c r="AZ524" s="11">
        <v>0</v>
      </c>
      <c r="BA524" s="3">
        <f t="shared" si="78"/>
        <v>91333</v>
      </c>
    </row>
    <row r="525" spans="1:53" x14ac:dyDescent="0.25">
      <c r="A525" s="1" t="s">
        <v>523</v>
      </c>
      <c r="B525" s="9" t="s">
        <v>2037</v>
      </c>
      <c r="C525" s="9" t="s">
        <v>1063</v>
      </c>
      <c r="D525" s="9" t="s">
        <v>2038</v>
      </c>
      <c r="E525" s="9" t="s">
        <v>1008</v>
      </c>
      <c r="F525" s="10">
        <v>45635</v>
      </c>
      <c r="G525" s="9" t="s">
        <v>1019</v>
      </c>
      <c r="I525" s="9" t="s">
        <v>1020</v>
      </c>
      <c r="J525" s="9" t="s">
        <v>1015</v>
      </c>
      <c r="K525" s="8" t="s">
        <v>1006</v>
      </c>
      <c r="L525" s="8" t="s">
        <v>1007</v>
      </c>
      <c r="M525" s="8" t="s">
        <v>2933</v>
      </c>
      <c r="N525" s="8" t="s">
        <v>2937</v>
      </c>
      <c r="O525" s="1" t="s">
        <v>2934</v>
      </c>
      <c r="P525">
        <v>30</v>
      </c>
      <c r="Q525">
        <v>30</v>
      </c>
      <c r="R525">
        <v>0</v>
      </c>
      <c r="S525">
        <f t="shared" si="80"/>
        <v>30</v>
      </c>
      <c r="T525" s="1" t="s">
        <v>2935</v>
      </c>
      <c r="U525" s="1" t="s">
        <v>2932</v>
      </c>
      <c r="V525" s="3">
        <f t="shared" si="81"/>
        <v>40000</v>
      </c>
      <c r="W525" s="3">
        <f t="shared" si="82"/>
        <v>16000</v>
      </c>
      <c r="X525" s="3">
        <f t="shared" si="74"/>
        <v>1250</v>
      </c>
      <c r="Y525" s="3">
        <f t="shared" si="75"/>
        <v>1600</v>
      </c>
      <c r="Z525" s="3">
        <f t="shared" si="76"/>
        <v>1800</v>
      </c>
      <c r="AA525" s="3">
        <v>0</v>
      </c>
      <c r="AB525" s="3">
        <f>ROUND(U525 - (V525+W525+X525+Y525) - (U525/Q525 * 2),0)</f>
        <v>34483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f>SUM(V525+W525+X525+Y525+AB525)</f>
        <v>93333</v>
      </c>
      <c r="AK525" s="3">
        <f>SUM(AJ525-AA525)</f>
        <v>93333</v>
      </c>
      <c r="AL525" s="3">
        <f>IF(V525&lt;=15000,V525*12%,1800)</f>
        <v>1800</v>
      </c>
      <c r="AM525" s="3">
        <v>0</v>
      </c>
      <c r="AN525" s="3">
        <f t="shared" si="77"/>
        <v>1800</v>
      </c>
      <c r="AO525" s="12">
        <v>200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3">
        <f t="shared" si="79"/>
        <v>200</v>
      </c>
      <c r="AV525" s="3">
        <f>SUM(AJ525 - AN525 - AU525)</f>
        <v>91333</v>
      </c>
      <c r="AW525" s="11">
        <v>0</v>
      </c>
      <c r="AX525" s="11">
        <v>0</v>
      </c>
      <c r="AY525" s="11">
        <v>0</v>
      </c>
      <c r="AZ525" s="11">
        <v>0</v>
      </c>
      <c r="BA525" s="3">
        <f t="shared" si="78"/>
        <v>91333</v>
      </c>
    </row>
    <row r="526" spans="1:53" x14ac:dyDescent="0.25">
      <c r="A526" s="1" t="s">
        <v>524</v>
      </c>
      <c r="B526" s="9" t="s">
        <v>1256</v>
      </c>
      <c r="C526" s="9" t="s">
        <v>1010</v>
      </c>
      <c r="D526" s="9" t="s">
        <v>2036</v>
      </c>
      <c r="E526" s="9" t="s">
        <v>1008</v>
      </c>
      <c r="F526" s="10">
        <v>45644</v>
      </c>
      <c r="G526" s="9" t="s">
        <v>1013</v>
      </c>
      <c r="I526" s="9" t="s">
        <v>1014</v>
      </c>
      <c r="J526" s="9" t="s">
        <v>1015</v>
      </c>
      <c r="K526" s="8" t="s">
        <v>1006</v>
      </c>
      <c r="L526" s="8" t="s">
        <v>1007</v>
      </c>
      <c r="M526" s="8" t="s">
        <v>2933</v>
      </c>
      <c r="N526" s="8" t="s">
        <v>2937</v>
      </c>
      <c r="O526" s="1" t="s">
        <v>2934</v>
      </c>
      <c r="P526">
        <v>30</v>
      </c>
      <c r="Q526">
        <v>30</v>
      </c>
      <c r="R526">
        <v>0</v>
      </c>
      <c r="S526">
        <f t="shared" si="80"/>
        <v>30</v>
      </c>
      <c r="T526" s="1" t="s">
        <v>2935</v>
      </c>
      <c r="U526" s="1" t="s">
        <v>2932</v>
      </c>
      <c r="V526" s="3">
        <f t="shared" si="81"/>
        <v>40000</v>
      </c>
      <c r="W526" s="3">
        <f t="shared" si="82"/>
        <v>16000</v>
      </c>
      <c r="X526" s="3">
        <f t="shared" si="74"/>
        <v>1250</v>
      </c>
      <c r="Y526" s="3">
        <f t="shared" si="75"/>
        <v>1600</v>
      </c>
      <c r="Z526" s="3">
        <f t="shared" si="76"/>
        <v>1800</v>
      </c>
      <c r="AA526" s="3">
        <v>0</v>
      </c>
      <c r="AB526" s="3">
        <f>ROUND(U526 - (V526+W526+X526+Y526) - (U526/Q526 * 2),0)</f>
        <v>34483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f>SUM(V526+W526+X526+Y526+AB526)</f>
        <v>93333</v>
      </c>
      <c r="AK526" s="3">
        <f>SUM(AJ526-AA526)</f>
        <v>93333</v>
      </c>
      <c r="AL526" s="3">
        <f>IF(V526&lt;=15000,V526*12%,1800)</f>
        <v>1800</v>
      </c>
      <c r="AM526" s="3">
        <v>0</v>
      </c>
      <c r="AN526" s="3">
        <f t="shared" si="77"/>
        <v>1800</v>
      </c>
      <c r="AO526" s="12">
        <v>200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3">
        <f t="shared" si="79"/>
        <v>200</v>
      </c>
      <c r="AV526" s="3">
        <f>SUM(AJ526 - AN526 - AU526)</f>
        <v>91333</v>
      </c>
      <c r="AW526" s="11">
        <v>0</v>
      </c>
      <c r="AX526" s="11">
        <v>0</v>
      </c>
      <c r="AY526" s="11">
        <v>0</v>
      </c>
      <c r="AZ526" s="11">
        <v>0</v>
      </c>
      <c r="BA526" s="3">
        <f t="shared" si="78"/>
        <v>91333</v>
      </c>
    </row>
    <row r="527" spans="1:53" x14ac:dyDescent="0.25">
      <c r="A527" s="1" t="s">
        <v>525</v>
      </c>
      <c r="B527" s="9" t="s">
        <v>2093</v>
      </c>
      <c r="C527" s="9" t="s">
        <v>1063</v>
      </c>
      <c r="D527" s="9" t="s">
        <v>2094</v>
      </c>
      <c r="E527" s="9" t="s">
        <v>1008</v>
      </c>
      <c r="F527" s="10">
        <v>45644</v>
      </c>
      <c r="G527" s="9" t="s">
        <v>1013</v>
      </c>
      <c r="I527" s="9" t="s">
        <v>1014</v>
      </c>
      <c r="J527" s="9" t="s">
        <v>1015</v>
      </c>
      <c r="K527" s="8" t="s">
        <v>1006</v>
      </c>
      <c r="L527" s="8" t="s">
        <v>1007</v>
      </c>
      <c r="M527" s="8" t="s">
        <v>2933</v>
      </c>
      <c r="N527" s="8" t="s">
        <v>2937</v>
      </c>
      <c r="O527" s="1" t="s">
        <v>2934</v>
      </c>
      <c r="P527">
        <v>30</v>
      </c>
      <c r="Q527">
        <v>30</v>
      </c>
      <c r="R527">
        <v>0</v>
      </c>
      <c r="S527">
        <f t="shared" si="80"/>
        <v>30</v>
      </c>
      <c r="T527" s="1" t="s">
        <v>2935</v>
      </c>
      <c r="U527" s="1" t="s">
        <v>2932</v>
      </c>
      <c r="V527" s="3">
        <f t="shared" si="81"/>
        <v>40000</v>
      </c>
      <c r="W527" s="3">
        <f t="shared" si="82"/>
        <v>16000</v>
      </c>
      <c r="X527" s="3">
        <f t="shared" si="74"/>
        <v>1250</v>
      </c>
      <c r="Y527" s="3">
        <f t="shared" si="75"/>
        <v>1600</v>
      </c>
      <c r="Z527" s="3">
        <f t="shared" si="76"/>
        <v>1800</v>
      </c>
      <c r="AA527" s="3">
        <v>0</v>
      </c>
      <c r="AB527" s="3">
        <f>ROUND(U527 - (V527+W527+X527+Y527) - (U527/Q527 * 2),0)</f>
        <v>34483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f>SUM(V527+W527+X527+Y527+AB527)</f>
        <v>93333</v>
      </c>
      <c r="AK527" s="3">
        <f>SUM(AJ527-AA527)</f>
        <v>93333</v>
      </c>
      <c r="AL527" s="3">
        <f>IF(V527&lt;=15000,V527*12%,1800)</f>
        <v>1800</v>
      </c>
      <c r="AM527" s="3">
        <v>0</v>
      </c>
      <c r="AN527" s="3">
        <f t="shared" si="77"/>
        <v>1800</v>
      </c>
      <c r="AO527" s="12">
        <v>200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3">
        <f t="shared" si="79"/>
        <v>200</v>
      </c>
      <c r="AV527" s="3">
        <f>SUM(AJ527 - AN527 - AU527)</f>
        <v>91333</v>
      </c>
      <c r="AW527" s="11">
        <v>0</v>
      </c>
      <c r="AX527" s="11">
        <v>0</v>
      </c>
      <c r="AY527" s="11">
        <v>0</v>
      </c>
      <c r="AZ527" s="11">
        <v>0</v>
      </c>
      <c r="BA527" s="3">
        <f t="shared" si="78"/>
        <v>91333</v>
      </c>
    </row>
    <row r="528" spans="1:53" x14ac:dyDescent="0.25">
      <c r="A528" s="1" t="s">
        <v>526</v>
      </c>
      <c r="B528" s="9" t="s">
        <v>2091</v>
      </c>
      <c r="C528" s="9" t="s">
        <v>2092</v>
      </c>
      <c r="D528" s="9">
        <v>0</v>
      </c>
      <c r="E528" s="9" t="s">
        <v>1008</v>
      </c>
      <c r="F528" s="10">
        <v>45658</v>
      </c>
      <c r="G528" s="9" t="s">
        <v>1013</v>
      </c>
      <c r="I528" s="9" t="s">
        <v>1014</v>
      </c>
      <c r="J528" s="9" t="s">
        <v>1031</v>
      </c>
      <c r="K528" s="8" t="s">
        <v>1006</v>
      </c>
      <c r="L528" s="8" t="s">
        <v>1007</v>
      </c>
      <c r="M528" s="8" t="s">
        <v>2933</v>
      </c>
      <c r="N528" s="8" t="s">
        <v>2937</v>
      </c>
      <c r="O528" s="1" t="s">
        <v>2934</v>
      </c>
      <c r="P528">
        <v>30</v>
      </c>
      <c r="Q528">
        <v>30</v>
      </c>
      <c r="R528">
        <v>0</v>
      </c>
      <c r="S528">
        <f t="shared" si="80"/>
        <v>30</v>
      </c>
      <c r="T528" s="1" t="s">
        <v>2935</v>
      </c>
      <c r="U528" s="1" t="s">
        <v>2932</v>
      </c>
      <c r="V528" s="3">
        <f t="shared" si="81"/>
        <v>40000</v>
      </c>
      <c r="W528" s="3">
        <f t="shared" si="82"/>
        <v>16000</v>
      </c>
      <c r="X528" s="3">
        <f t="shared" si="74"/>
        <v>1250</v>
      </c>
      <c r="Y528" s="3">
        <f t="shared" si="75"/>
        <v>1600</v>
      </c>
      <c r="Z528" s="3">
        <f t="shared" si="76"/>
        <v>1800</v>
      </c>
      <c r="AA528" s="3">
        <v>0</v>
      </c>
      <c r="AB528" s="3">
        <f>ROUND(U528 - (V528+W528+X528+Y528) - (U528/Q528 * 2),0)</f>
        <v>34483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f>SUM(V528+W528+X528+Y528+AB528)</f>
        <v>93333</v>
      </c>
      <c r="AK528" s="3">
        <f>SUM(AJ528-AA528)</f>
        <v>93333</v>
      </c>
      <c r="AL528" s="3">
        <f>IF(V528&lt;=15000,V528*12%,1800)</f>
        <v>1800</v>
      </c>
      <c r="AM528" s="3">
        <v>0</v>
      </c>
      <c r="AN528" s="3">
        <f t="shared" si="77"/>
        <v>1800</v>
      </c>
      <c r="AO528" s="12">
        <v>200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3">
        <f t="shared" si="79"/>
        <v>200</v>
      </c>
      <c r="AV528" s="3">
        <f>SUM(AJ528 - AN528 - AU528)</f>
        <v>91333</v>
      </c>
      <c r="AW528" s="11">
        <v>0</v>
      </c>
      <c r="AX528" s="11">
        <v>0</v>
      </c>
      <c r="AY528" s="11">
        <v>0</v>
      </c>
      <c r="AZ528" s="11">
        <v>0</v>
      </c>
      <c r="BA528" s="3">
        <f t="shared" si="78"/>
        <v>91333</v>
      </c>
    </row>
    <row r="529" spans="1:53" x14ac:dyDescent="0.25">
      <c r="A529" s="1" t="s">
        <v>527</v>
      </c>
      <c r="B529" s="9" t="s">
        <v>2089</v>
      </c>
      <c r="C529" s="9" t="s">
        <v>1029</v>
      </c>
      <c r="D529" s="9" t="s">
        <v>2090</v>
      </c>
      <c r="E529" s="9" t="s">
        <v>1008</v>
      </c>
      <c r="F529" s="10">
        <v>45663</v>
      </c>
      <c r="G529" s="9" t="s">
        <v>1013</v>
      </c>
      <c r="I529" s="9" t="s">
        <v>1020</v>
      </c>
      <c r="J529" s="9" t="s">
        <v>1031</v>
      </c>
      <c r="K529" s="8" t="s">
        <v>1006</v>
      </c>
      <c r="L529" s="8" t="s">
        <v>1007</v>
      </c>
      <c r="M529" s="8" t="s">
        <v>2933</v>
      </c>
      <c r="N529" s="8" t="s">
        <v>2937</v>
      </c>
      <c r="O529" s="1" t="s">
        <v>2934</v>
      </c>
      <c r="P529">
        <v>30</v>
      </c>
      <c r="Q529">
        <v>30</v>
      </c>
      <c r="R529">
        <v>0</v>
      </c>
      <c r="S529">
        <f t="shared" si="80"/>
        <v>30</v>
      </c>
      <c r="T529" s="1" t="s">
        <v>2935</v>
      </c>
      <c r="U529" s="1" t="s">
        <v>2932</v>
      </c>
      <c r="V529" s="3">
        <f t="shared" si="81"/>
        <v>40000</v>
      </c>
      <c r="W529" s="3">
        <f t="shared" si="82"/>
        <v>16000</v>
      </c>
      <c r="X529" s="3">
        <f t="shared" si="74"/>
        <v>1250</v>
      </c>
      <c r="Y529" s="3">
        <f t="shared" si="75"/>
        <v>1600</v>
      </c>
      <c r="Z529" s="3">
        <f t="shared" si="76"/>
        <v>1800</v>
      </c>
      <c r="AA529" s="3">
        <v>0</v>
      </c>
      <c r="AB529" s="3">
        <f>ROUND(U529 - (V529+W529+X529+Y529) - (U529/Q529 * 2),0)</f>
        <v>34483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f>SUM(V529+W529+X529+Y529+AB529)</f>
        <v>93333</v>
      </c>
      <c r="AK529" s="3">
        <f>SUM(AJ529-AA529)</f>
        <v>93333</v>
      </c>
      <c r="AL529" s="3">
        <f>IF(V529&lt;=15000,V529*12%,1800)</f>
        <v>1800</v>
      </c>
      <c r="AM529" s="3">
        <v>0</v>
      </c>
      <c r="AN529" s="3">
        <f t="shared" si="77"/>
        <v>1800</v>
      </c>
      <c r="AO529" s="12">
        <v>200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3">
        <f t="shared" si="79"/>
        <v>200</v>
      </c>
      <c r="AV529" s="3">
        <f>SUM(AJ529 - AN529 - AU529)</f>
        <v>91333</v>
      </c>
      <c r="AW529" s="11">
        <v>0</v>
      </c>
      <c r="AX529" s="11">
        <v>0</v>
      </c>
      <c r="AY529" s="11">
        <v>0</v>
      </c>
      <c r="AZ529" s="11">
        <v>0</v>
      </c>
      <c r="BA529" s="3">
        <f t="shared" si="78"/>
        <v>91333</v>
      </c>
    </row>
    <row r="530" spans="1:53" x14ac:dyDescent="0.25">
      <c r="A530" s="1" t="s">
        <v>528</v>
      </c>
      <c r="B530" s="9" t="s">
        <v>2087</v>
      </c>
      <c r="C530" s="9" t="s">
        <v>1128</v>
      </c>
      <c r="D530" s="9" t="s">
        <v>2088</v>
      </c>
      <c r="E530" s="9" t="s">
        <v>1008</v>
      </c>
      <c r="F530" s="10">
        <v>45677</v>
      </c>
      <c r="G530" s="9" t="s">
        <v>1013</v>
      </c>
      <c r="I530" s="9" t="s">
        <v>1035</v>
      </c>
      <c r="J530" s="9" t="s">
        <v>1048</v>
      </c>
      <c r="K530" s="8" t="s">
        <v>1006</v>
      </c>
      <c r="L530" s="8" t="s">
        <v>1007</v>
      </c>
      <c r="M530" s="8" t="s">
        <v>2933</v>
      </c>
      <c r="N530" s="8" t="s">
        <v>2937</v>
      </c>
      <c r="O530" s="1" t="s">
        <v>2934</v>
      </c>
      <c r="P530">
        <v>30</v>
      </c>
      <c r="Q530">
        <v>30</v>
      </c>
      <c r="R530">
        <v>0</v>
      </c>
      <c r="S530">
        <f t="shared" si="80"/>
        <v>30</v>
      </c>
      <c r="T530" s="1" t="s">
        <v>2935</v>
      </c>
      <c r="U530" s="1" t="s">
        <v>2932</v>
      </c>
      <c r="V530" s="3">
        <f t="shared" si="81"/>
        <v>40000</v>
      </c>
      <c r="W530" s="3">
        <f t="shared" si="82"/>
        <v>16000</v>
      </c>
      <c r="X530" s="3">
        <f t="shared" si="74"/>
        <v>1250</v>
      </c>
      <c r="Y530" s="3">
        <f t="shared" si="75"/>
        <v>1600</v>
      </c>
      <c r="Z530" s="3">
        <f t="shared" si="76"/>
        <v>1800</v>
      </c>
      <c r="AA530" s="3">
        <v>0</v>
      </c>
      <c r="AB530" s="3">
        <f>ROUND(U530 - (V530+W530+X530+Y530) - (U530/Q530 * 2),0)</f>
        <v>34483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f>SUM(V530+W530+X530+Y530+AB530)</f>
        <v>93333</v>
      </c>
      <c r="AK530" s="3">
        <f>SUM(AJ530-AA530)</f>
        <v>93333</v>
      </c>
      <c r="AL530" s="3">
        <f>IF(V530&lt;=15000,V530*12%,1800)</f>
        <v>1800</v>
      </c>
      <c r="AM530" s="3">
        <v>0</v>
      </c>
      <c r="AN530" s="3">
        <f t="shared" si="77"/>
        <v>1800</v>
      </c>
      <c r="AO530" s="12">
        <v>200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3">
        <f t="shared" si="79"/>
        <v>200</v>
      </c>
      <c r="AV530" s="3">
        <f>SUM(AJ530 - AN530 - AU530)</f>
        <v>91333</v>
      </c>
      <c r="AW530" s="11">
        <v>0</v>
      </c>
      <c r="AX530" s="11">
        <v>0</v>
      </c>
      <c r="AY530" s="11">
        <v>0</v>
      </c>
      <c r="AZ530" s="11">
        <v>0</v>
      </c>
      <c r="BA530" s="3">
        <f t="shared" si="78"/>
        <v>91333</v>
      </c>
    </row>
    <row r="531" spans="1:53" x14ac:dyDescent="0.25">
      <c r="A531" s="1" t="s">
        <v>529</v>
      </c>
      <c r="B531" s="9" t="s">
        <v>2086</v>
      </c>
      <c r="C531" s="9" t="s">
        <v>1128</v>
      </c>
      <c r="D531" s="9">
        <v>0</v>
      </c>
      <c r="E531" s="9" t="s">
        <v>1008</v>
      </c>
      <c r="F531" s="10">
        <v>45677</v>
      </c>
      <c r="G531" s="9" t="s">
        <v>1013</v>
      </c>
      <c r="I531" s="9" t="s">
        <v>1035</v>
      </c>
      <c r="J531" s="9" t="s">
        <v>1048</v>
      </c>
      <c r="K531" s="8" t="s">
        <v>1006</v>
      </c>
      <c r="L531" s="8" t="s">
        <v>1007</v>
      </c>
      <c r="M531" s="8" t="s">
        <v>2933</v>
      </c>
      <c r="N531" s="8" t="s">
        <v>2937</v>
      </c>
      <c r="O531" s="1" t="s">
        <v>2934</v>
      </c>
      <c r="P531">
        <v>30</v>
      </c>
      <c r="Q531">
        <v>30</v>
      </c>
      <c r="R531">
        <v>0</v>
      </c>
      <c r="S531">
        <f t="shared" si="80"/>
        <v>30</v>
      </c>
      <c r="T531" s="1" t="s">
        <v>2935</v>
      </c>
      <c r="U531" s="1" t="s">
        <v>2932</v>
      </c>
      <c r="V531" s="3">
        <f t="shared" si="81"/>
        <v>40000</v>
      </c>
      <c r="W531" s="3">
        <f t="shared" si="82"/>
        <v>16000</v>
      </c>
      <c r="X531" s="3">
        <f t="shared" si="74"/>
        <v>1250</v>
      </c>
      <c r="Y531" s="3">
        <f t="shared" si="75"/>
        <v>1600</v>
      </c>
      <c r="Z531" s="3">
        <f t="shared" si="76"/>
        <v>1800</v>
      </c>
      <c r="AA531" s="3">
        <v>0</v>
      </c>
      <c r="AB531" s="3">
        <f>ROUND(U531 - (V531+W531+X531+Y531) - (U531/Q531 * 2),0)</f>
        <v>34483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f>SUM(V531+W531+X531+Y531+AB531)</f>
        <v>93333</v>
      </c>
      <c r="AK531" s="3">
        <f>SUM(AJ531-AA531)</f>
        <v>93333</v>
      </c>
      <c r="AL531" s="3">
        <f>IF(V531&lt;=15000,V531*12%,1800)</f>
        <v>1800</v>
      </c>
      <c r="AM531" s="3">
        <v>0</v>
      </c>
      <c r="AN531" s="3">
        <f t="shared" si="77"/>
        <v>1800</v>
      </c>
      <c r="AO531" s="12">
        <v>200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3">
        <f t="shared" si="79"/>
        <v>200</v>
      </c>
      <c r="AV531" s="3">
        <f>SUM(AJ531 - AN531 - AU531)</f>
        <v>91333</v>
      </c>
      <c r="AW531" s="11">
        <v>0</v>
      </c>
      <c r="AX531" s="11">
        <v>0</v>
      </c>
      <c r="AY531" s="11">
        <v>0</v>
      </c>
      <c r="AZ531" s="11">
        <v>0</v>
      </c>
      <c r="BA531" s="3">
        <f t="shared" si="78"/>
        <v>91333</v>
      </c>
    </row>
    <row r="532" spans="1:53" x14ac:dyDescent="0.25">
      <c r="A532" s="1" t="s">
        <v>530</v>
      </c>
      <c r="B532" s="9" t="s">
        <v>2084</v>
      </c>
      <c r="C532" s="9" t="s">
        <v>1029</v>
      </c>
      <c r="D532" s="9" t="s">
        <v>2085</v>
      </c>
      <c r="E532" s="9" t="s">
        <v>1008</v>
      </c>
      <c r="F532" s="10">
        <v>45677</v>
      </c>
      <c r="G532" s="9" t="s">
        <v>1013</v>
      </c>
      <c r="I532" s="9" t="s">
        <v>1020</v>
      </c>
      <c r="J532" s="9" t="s">
        <v>1031</v>
      </c>
      <c r="K532" s="8" t="s">
        <v>1006</v>
      </c>
      <c r="L532" s="8" t="s">
        <v>1007</v>
      </c>
      <c r="M532" s="8" t="s">
        <v>2933</v>
      </c>
      <c r="N532" s="8" t="s">
        <v>2937</v>
      </c>
      <c r="O532" s="1" t="s">
        <v>2934</v>
      </c>
      <c r="P532">
        <v>30</v>
      </c>
      <c r="Q532">
        <v>30</v>
      </c>
      <c r="R532">
        <v>0</v>
      </c>
      <c r="S532">
        <f t="shared" si="80"/>
        <v>30</v>
      </c>
      <c r="T532" s="1" t="s">
        <v>2935</v>
      </c>
      <c r="U532" s="1" t="s">
        <v>2932</v>
      </c>
      <c r="V532" s="3">
        <f t="shared" si="81"/>
        <v>40000</v>
      </c>
      <c r="W532" s="3">
        <f t="shared" si="82"/>
        <v>16000</v>
      </c>
      <c r="X532" s="3">
        <f t="shared" si="74"/>
        <v>1250</v>
      </c>
      <c r="Y532" s="3">
        <f t="shared" si="75"/>
        <v>1600</v>
      </c>
      <c r="Z532" s="3">
        <f t="shared" si="76"/>
        <v>1800</v>
      </c>
      <c r="AA532" s="3">
        <v>0</v>
      </c>
      <c r="AB532" s="3">
        <f>ROUND(U532 - (V532+W532+X532+Y532) - (U532/Q532 * 2),0)</f>
        <v>34483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f>SUM(V532+W532+X532+Y532+AB532)</f>
        <v>93333</v>
      </c>
      <c r="AK532" s="3">
        <f>SUM(AJ532-AA532)</f>
        <v>93333</v>
      </c>
      <c r="AL532" s="3">
        <f>IF(V532&lt;=15000,V532*12%,1800)</f>
        <v>1800</v>
      </c>
      <c r="AM532" s="3">
        <v>0</v>
      </c>
      <c r="AN532" s="3">
        <f t="shared" si="77"/>
        <v>1800</v>
      </c>
      <c r="AO532" s="12">
        <v>200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3">
        <f t="shared" si="79"/>
        <v>200</v>
      </c>
      <c r="AV532" s="3">
        <f>SUM(AJ532 - AN532 - AU532)</f>
        <v>91333</v>
      </c>
      <c r="AW532" s="11">
        <v>0</v>
      </c>
      <c r="AX532" s="11">
        <v>0</v>
      </c>
      <c r="AY532" s="11">
        <v>0</v>
      </c>
      <c r="AZ532" s="11">
        <v>0</v>
      </c>
      <c r="BA532" s="3">
        <f t="shared" si="78"/>
        <v>91333</v>
      </c>
    </row>
    <row r="533" spans="1:53" x14ac:dyDescent="0.25">
      <c r="A533" s="1" t="s">
        <v>531</v>
      </c>
      <c r="B533" s="9" t="s">
        <v>2082</v>
      </c>
      <c r="C533" s="9" t="s">
        <v>1010</v>
      </c>
      <c r="D533" s="9" t="s">
        <v>2083</v>
      </c>
      <c r="E533" s="9" t="s">
        <v>1008</v>
      </c>
      <c r="F533" s="10">
        <v>45677</v>
      </c>
      <c r="G533" s="9" t="s">
        <v>1013</v>
      </c>
      <c r="I533" s="9" t="s">
        <v>1014</v>
      </c>
      <c r="J533" s="9" t="s">
        <v>1015</v>
      </c>
      <c r="K533" s="8" t="s">
        <v>1006</v>
      </c>
      <c r="L533" s="8" t="s">
        <v>1007</v>
      </c>
      <c r="M533" s="8" t="s">
        <v>2933</v>
      </c>
      <c r="N533" s="8" t="s">
        <v>2937</v>
      </c>
      <c r="O533" s="1" t="s">
        <v>2934</v>
      </c>
      <c r="P533">
        <v>30</v>
      </c>
      <c r="Q533">
        <v>30</v>
      </c>
      <c r="R533">
        <v>0</v>
      </c>
      <c r="S533">
        <f t="shared" si="80"/>
        <v>30</v>
      </c>
      <c r="T533" s="1" t="s">
        <v>2935</v>
      </c>
      <c r="U533" s="1" t="s">
        <v>2932</v>
      </c>
      <c r="V533" s="3">
        <f t="shared" si="81"/>
        <v>40000</v>
      </c>
      <c r="W533" s="3">
        <f t="shared" si="82"/>
        <v>16000</v>
      </c>
      <c r="X533" s="3">
        <f t="shared" si="74"/>
        <v>1250</v>
      </c>
      <c r="Y533" s="3">
        <f t="shared" si="75"/>
        <v>1600</v>
      </c>
      <c r="Z533" s="3">
        <f t="shared" si="76"/>
        <v>1800</v>
      </c>
      <c r="AA533" s="3">
        <v>0</v>
      </c>
      <c r="AB533" s="3">
        <f>ROUND(U533 - (V533+W533+X533+Y533) - (U533/Q533 * 2),0)</f>
        <v>34483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f>SUM(V533+W533+X533+Y533+AB533)</f>
        <v>93333</v>
      </c>
      <c r="AK533" s="3">
        <f>SUM(AJ533-AA533)</f>
        <v>93333</v>
      </c>
      <c r="AL533" s="3">
        <f>IF(V533&lt;=15000,V533*12%,1800)</f>
        <v>1800</v>
      </c>
      <c r="AM533" s="3">
        <v>0</v>
      </c>
      <c r="AN533" s="3">
        <f t="shared" si="77"/>
        <v>1800</v>
      </c>
      <c r="AO533" s="12">
        <v>200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3">
        <f t="shared" si="79"/>
        <v>200</v>
      </c>
      <c r="AV533" s="3">
        <f>SUM(AJ533 - AN533 - AU533)</f>
        <v>91333</v>
      </c>
      <c r="AW533" s="11">
        <v>0</v>
      </c>
      <c r="AX533" s="11">
        <v>0</v>
      </c>
      <c r="AY533" s="11">
        <v>0</v>
      </c>
      <c r="AZ533" s="11">
        <v>0</v>
      </c>
      <c r="BA533" s="3">
        <f t="shared" si="78"/>
        <v>91333</v>
      </c>
    </row>
    <row r="534" spans="1:53" x14ac:dyDescent="0.25">
      <c r="A534" s="1" t="s">
        <v>532</v>
      </c>
      <c r="B534" s="9" t="s">
        <v>1256</v>
      </c>
      <c r="C534" s="9" t="s">
        <v>1026</v>
      </c>
      <c r="D534" s="9" t="s">
        <v>2081</v>
      </c>
      <c r="E534" s="9" t="s">
        <v>1008</v>
      </c>
      <c r="F534" s="10">
        <v>45677</v>
      </c>
      <c r="G534" s="9" t="s">
        <v>1013</v>
      </c>
      <c r="I534" s="9" t="s">
        <v>1014</v>
      </c>
      <c r="J534" s="9" t="s">
        <v>1015</v>
      </c>
      <c r="K534" s="8" t="s">
        <v>1006</v>
      </c>
      <c r="L534" s="8" t="s">
        <v>1007</v>
      </c>
      <c r="M534" s="8" t="s">
        <v>2933</v>
      </c>
      <c r="N534" s="8" t="s">
        <v>2937</v>
      </c>
      <c r="O534" s="1" t="s">
        <v>2934</v>
      </c>
      <c r="P534">
        <v>30</v>
      </c>
      <c r="Q534">
        <v>30</v>
      </c>
      <c r="R534">
        <v>0</v>
      </c>
      <c r="S534">
        <f t="shared" si="80"/>
        <v>30</v>
      </c>
      <c r="T534" s="1" t="s">
        <v>2935</v>
      </c>
      <c r="U534" s="1" t="s">
        <v>2932</v>
      </c>
      <c r="V534" s="3">
        <f t="shared" si="81"/>
        <v>40000</v>
      </c>
      <c r="W534" s="3">
        <f t="shared" si="82"/>
        <v>16000</v>
      </c>
      <c r="X534" s="3">
        <f t="shared" si="74"/>
        <v>1250</v>
      </c>
      <c r="Y534" s="3">
        <f t="shared" si="75"/>
        <v>1600</v>
      </c>
      <c r="Z534" s="3">
        <f t="shared" si="76"/>
        <v>1800</v>
      </c>
      <c r="AA534" s="3">
        <v>0</v>
      </c>
      <c r="AB534" s="3">
        <f>ROUND(U534 - (V534+W534+X534+Y534) - (U534/Q534 * 2),0)</f>
        <v>34483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f>SUM(V534+W534+X534+Y534+AB534)</f>
        <v>93333</v>
      </c>
      <c r="AK534" s="3">
        <f>SUM(AJ534-AA534)</f>
        <v>93333</v>
      </c>
      <c r="AL534" s="3">
        <f>IF(V534&lt;=15000,V534*12%,1800)</f>
        <v>1800</v>
      </c>
      <c r="AM534" s="3">
        <v>0</v>
      </c>
      <c r="AN534" s="3">
        <f t="shared" si="77"/>
        <v>1800</v>
      </c>
      <c r="AO534" s="12">
        <v>200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3">
        <f t="shared" si="79"/>
        <v>200</v>
      </c>
      <c r="AV534" s="3">
        <f>SUM(AJ534 - AN534 - AU534)</f>
        <v>91333</v>
      </c>
      <c r="AW534" s="11">
        <v>0</v>
      </c>
      <c r="AX534" s="11">
        <v>0</v>
      </c>
      <c r="AY534" s="11">
        <v>0</v>
      </c>
      <c r="AZ534" s="11">
        <v>0</v>
      </c>
      <c r="BA534" s="3">
        <f t="shared" si="78"/>
        <v>91333</v>
      </c>
    </row>
    <row r="535" spans="1:53" x14ac:dyDescent="0.25">
      <c r="A535" s="1" t="s">
        <v>533</v>
      </c>
      <c r="B535" s="9" t="s">
        <v>1667</v>
      </c>
      <c r="C535" s="9" t="s">
        <v>1010</v>
      </c>
      <c r="D535" s="9" t="s">
        <v>2080</v>
      </c>
      <c r="E535" s="9" t="s">
        <v>1008</v>
      </c>
      <c r="F535" s="10">
        <v>45684</v>
      </c>
      <c r="G535" s="9" t="s">
        <v>1019</v>
      </c>
      <c r="I535" s="9" t="s">
        <v>1020</v>
      </c>
      <c r="J535" s="9" t="s">
        <v>1015</v>
      </c>
      <c r="K535" s="8" t="s">
        <v>1006</v>
      </c>
      <c r="L535" s="8" t="s">
        <v>1007</v>
      </c>
      <c r="M535" s="8" t="s">
        <v>2933</v>
      </c>
      <c r="N535" s="8" t="s">
        <v>2937</v>
      </c>
      <c r="O535" s="1" t="s">
        <v>2934</v>
      </c>
      <c r="P535">
        <v>30</v>
      </c>
      <c r="Q535">
        <v>30</v>
      </c>
      <c r="R535">
        <v>0</v>
      </c>
      <c r="S535">
        <f t="shared" si="80"/>
        <v>30</v>
      </c>
      <c r="T535" s="1" t="s">
        <v>2935</v>
      </c>
      <c r="U535" s="1" t="s">
        <v>2932</v>
      </c>
      <c r="V535" s="3">
        <f t="shared" si="81"/>
        <v>40000</v>
      </c>
      <c r="W535" s="3">
        <f t="shared" si="82"/>
        <v>16000</v>
      </c>
      <c r="X535" s="3">
        <f t="shared" si="74"/>
        <v>1250</v>
      </c>
      <c r="Y535" s="3">
        <f t="shared" si="75"/>
        <v>1600</v>
      </c>
      <c r="Z535" s="3">
        <f t="shared" si="76"/>
        <v>1800</v>
      </c>
      <c r="AA535" s="3">
        <v>0</v>
      </c>
      <c r="AB535" s="3">
        <f>ROUND(U535 - (V535+W535+X535+Y535) - (U535/Q535 * 2),0)</f>
        <v>34483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f>SUM(V535+W535+X535+Y535+AB535)</f>
        <v>93333</v>
      </c>
      <c r="AK535" s="3">
        <f>SUM(AJ535-AA535)</f>
        <v>93333</v>
      </c>
      <c r="AL535" s="3">
        <f>IF(V535&lt;=15000,V535*12%,1800)</f>
        <v>1800</v>
      </c>
      <c r="AM535" s="3">
        <v>0</v>
      </c>
      <c r="AN535" s="3">
        <f t="shared" si="77"/>
        <v>1800</v>
      </c>
      <c r="AO535" s="12">
        <v>200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3">
        <f t="shared" si="79"/>
        <v>200</v>
      </c>
      <c r="AV535" s="3">
        <f>SUM(AJ535 - AN535 - AU535)</f>
        <v>91333</v>
      </c>
      <c r="AW535" s="11">
        <v>0</v>
      </c>
      <c r="AX535" s="11">
        <v>0</v>
      </c>
      <c r="AY535" s="11">
        <v>0</v>
      </c>
      <c r="AZ535" s="11">
        <v>0</v>
      </c>
      <c r="BA535" s="3">
        <f t="shared" si="78"/>
        <v>91333</v>
      </c>
    </row>
    <row r="536" spans="1:53" x14ac:dyDescent="0.25">
      <c r="A536" s="1" t="s">
        <v>534</v>
      </c>
      <c r="B536" s="9" t="s">
        <v>2078</v>
      </c>
      <c r="C536" s="9" t="s">
        <v>1029</v>
      </c>
      <c r="D536" s="9" t="s">
        <v>2079</v>
      </c>
      <c r="E536" s="9" t="s">
        <v>1008</v>
      </c>
      <c r="F536" s="10">
        <v>45684</v>
      </c>
      <c r="G536" s="9" t="s">
        <v>1013</v>
      </c>
      <c r="I536" s="9" t="s">
        <v>1014</v>
      </c>
      <c r="J536" s="9" t="s">
        <v>1031</v>
      </c>
      <c r="K536" s="8" t="s">
        <v>1006</v>
      </c>
      <c r="L536" s="8" t="s">
        <v>1007</v>
      </c>
      <c r="M536" s="8" t="s">
        <v>2933</v>
      </c>
      <c r="N536" s="8" t="s">
        <v>2937</v>
      </c>
      <c r="O536" s="1" t="s">
        <v>2934</v>
      </c>
      <c r="P536">
        <v>30</v>
      </c>
      <c r="Q536">
        <v>30</v>
      </c>
      <c r="R536">
        <v>0</v>
      </c>
      <c r="S536">
        <f t="shared" si="80"/>
        <v>30</v>
      </c>
      <c r="T536" s="1" t="s">
        <v>2935</v>
      </c>
      <c r="U536" s="1" t="s">
        <v>2932</v>
      </c>
      <c r="V536" s="3">
        <f t="shared" si="81"/>
        <v>40000</v>
      </c>
      <c r="W536" s="3">
        <f t="shared" si="82"/>
        <v>16000</v>
      </c>
      <c r="X536" s="3">
        <f t="shared" si="74"/>
        <v>1250</v>
      </c>
      <c r="Y536" s="3">
        <f t="shared" si="75"/>
        <v>1600</v>
      </c>
      <c r="Z536" s="3">
        <f t="shared" si="76"/>
        <v>1800</v>
      </c>
      <c r="AA536" s="3">
        <v>0</v>
      </c>
      <c r="AB536" s="3">
        <f>ROUND(U536 - (V536+W536+X536+Y536) - (U536/Q536 * 2),0)</f>
        <v>34483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f>SUM(V536+W536+X536+Y536+AB536)</f>
        <v>93333</v>
      </c>
      <c r="AK536" s="3">
        <f>SUM(AJ536-AA536)</f>
        <v>93333</v>
      </c>
      <c r="AL536" s="3">
        <f>IF(V536&lt;=15000,V536*12%,1800)</f>
        <v>1800</v>
      </c>
      <c r="AM536" s="3">
        <v>0</v>
      </c>
      <c r="AN536" s="3">
        <f t="shared" si="77"/>
        <v>1800</v>
      </c>
      <c r="AO536" s="12">
        <v>200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3">
        <f t="shared" si="79"/>
        <v>200</v>
      </c>
      <c r="AV536" s="3">
        <f>SUM(AJ536 - AN536 - AU536)</f>
        <v>91333</v>
      </c>
      <c r="AW536" s="11">
        <v>0</v>
      </c>
      <c r="AX536" s="11">
        <v>0</v>
      </c>
      <c r="AY536" s="11">
        <v>0</v>
      </c>
      <c r="AZ536" s="11">
        <v>0</v>
      </c>
      <c r="BA536" s="3">
        <f t="shared" si="78"/>
        <v>91333</v>
      </c>
    </row>
    <row r="537" spans="1:53" x14ac:dyDescent="0.25">
      <c r="A537" s="1" t="s">
        <v>535</v>
      </c>
      <c r="B537" s="9" t="s">
        <v>2076</v>
      </c>
      <c r="C537" s="9" t="s">
        <v>1418</v>
      </c>
      <c r="D537" s="9" t="s">
        <v>2077</v>
      </c>
      <c r="E537" s="9" t="s">
        <v>1012</v>
      </c>
      <c r="F537" s="10">
        <v>45691</v>
      </c>
      <c r="G537" s="9" t="s">
        <v>1013</v>
      </c>
      <c r="I537" s="9" t="s">
        <v>1014</v>
      </c>
      <c r="J537" s="9" t="s">
        <v>1021</v>
      </c>
      <c r="K537" s="8" t="s">
        <v>1006</v>
      </c>
      <c r="L537" s="8" t="s">
        <v>1007</v>
      </c>
      <c r="M537" s="8" t="s">
        <v>2933</v>
      </c>
      <c r="N537" s="8" t="s">
        <v>2937</v>
      </c>
      <c r="O537" s="1" t="s">
        <v>2934</v>
      </c>
      <c r="P537">
        <v>30</v>
      </c>
      <c r="Q537">
        <v>30</v>
      </c>
      <c r="R537">
        <v>0</v>
      </c>
      <c r="S537">
        <f t="shared" si="80"/>
        <v>30</v>
      </c>
      <c r="T537" s="1" t="s">
        <v>2935</v>
      </c>
      <c r="U537" s="1" t="s">
        <v>2932</v>
      </c>
      <c r="V537" s="3">
        <f t="shared" si="81"/>
        <v>40000</v>
      </c>
      <c r="W537" s="3">
        <f t="shared" si="82"/>
        <v>16000</v>
      </c>
      <c r="X537" s="3">
        <f t="shared" si="74"/>
        <v>1250</v>
      </c>
      <c r="Y537" s="3">
        <f t="shared" si="75"/>
        <v>1600</v>
      </c>
      <c r="Z537" s="3">
        <f t="shared" si="76"/>
        <v>1800</v>
      </c>
      <c r="AA537" s="3">
        <v>0</v>
      </c>
      <c r="AB537" s="3">
        <f>ROUND(U537 - (V537+W537+X537+Y537) - (U537/Q537 * 2),0)</f>
        <v>34483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f>SUM(V537+W537+X537+Y537+AB537)</f>
        <v>93333</v>
      </c>
      <c r="AK537" s="3">
        <f>SUM(AJ537-AA537)</f>
        <v>93333</v>
      </c>
      <c r="AL537" s="3">
        <f>IF(V537&lt;=15000,V537*12%,1800)</f>
        <v>1800</v>
      </c>
      <c r="AM537" s="3">
        <v>0</v>
      </c>
      <c r="AN537" s="3">
        <f t="shared" si="77"/>
        <v>1800</v>
      </c>
      <c r="AO537" s="12">
        <v>200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3">
        <f t="shared" si="79"/>
        <v>200</v>
      </c>
      <c r="AV537" s="3">
        <f>SUM(AJ537 - AN537 - AU537)</f>
        <v>91333</v>
      </c>
      <c r="AW537" s="11">
        <v>0</v>
      </c>
      <c r="AX537" s="11">
        <v>0</v>
      </c>
      <c r="AY537" s="11">
        <v>0</v>
      </c>
      <c r="AZ537" s="11">
        <v>0</v>
      </c>
      <c r="BA537" s="3">
        <f t="shared" si="78"/>
        <v>91333</v>
      </c>
    </row>
    <row r="538" spans="1:53" x14ac:dyDescent="0.25">
      <c r="A538" s="1" t="s">
        <v>536</v>
      </c>
      <c r="B538" s="9" t="s">
        <v>2074</v>
      </c>
      <c r="C538" s="9" t="s">
        <v>1063</v>
      </c>
      <c r="D538" s="9" t="s">
        <v>2075</v>
      </c>
      <c r="E538" s="9" t="s">
        <v>1012</v>
      </c>
      <c r="F538" s="10">
        <v>45691</v>
      </c>
      <c r="G538" s="9" t="s">
        <v>1019</v>
      </c>
      <c r="I538" s="9" t="s">
        <v>1014</v>
      </c>
      <c r="J538" s="9" t="s">
        <v>1015</v>
      </c>
      <c r="K538" s="8" t="s">
        <v>1006</v>
      </c>
      <c r="L538" s="8" t="s">
        <v>1007</v>
      </c>
      <c r="M538" s="8" t="s">
        <v>2933</v>
      </c>
      <c r="N538" s="8" t="s">
        <v>2937</v>
      </c>
      <c r="O538" s="1" t="s">
        <v>2934</v>
      </c>
      <c r="P538">
        <v>30</v>
      </c>
      <c r="Q538">
        <v>30</v>
      </c>
      <c r="R538">
        <v>0</v>
      </c>
      <c r="S538">
        <f t="shared" si="80"/>
        <v>30</v>
      </c>
      <c r="T538" s="1" t="s">
        <v>2935</v>
      </c>
      <c r="U538" s="1" t="s">
        <v>2932</v>
      </c>
      <c r="V538" s="3">
        <f t="shared" si="81"/>
        <v>40000</v>
      </c>
      <c r="W538" s="3">
        <f t="shared" si="82"/>
        <v>16000</v>
      </c>
      <c r="X538" s="3">
        <f t="shared" si="74"/>
        <v>1250</v>
      </c>
      <c r="Y538" s="3">
        <f t="shared" si="75"/>
        <v>1600</v>
      </c>
      <c r="Z538" s="3">
        <f t="shared" si="76"/>
        <v>1800</v>
      </c>
      <c r="AA538" s="3">
        <v>0</v>
      </c>
      <c r="AB538" s="3">
        <f>ROUND(U538 - (V538+W538+X538+Y538) - (U538/Q538 * 2),0)</f>
        <v>34483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f>SUM(V538+W538+X538+Y538+AB538)</f>
        <v>93333</v>
      </c>
      <c r="AK538" s="3">
        <f>SUM(AJ538-AA538)</f>
        <v>93333</v>
      </c>
      <c r="AL538" s="3">
        <f>IF(V538&lt;=15000,V538*12%,1800)</f>
        <v>1800</v>
      </c>
      <c r="AM538" s="3">
        <v>0</v>
      </c>
      <c r="AN538" s="3">
        <f t="shared" si="77"/>
        <v>1800</v>
      </c>
      <c r="AO538" s="12">
        <v>200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3">
        <f t="shared" si="79"/>
        <v>200</v>
      </c>
      <c r="AV538" s="3">
        <f>SUM(AJ538 - AN538 - AU538)</f>
        <v>91333</v>
      </c>
      <c r="AW538" s="11">
        <v>0</v>
      </c>
      <c r="AX538" s="11">
        <v>0</v>
      </c>
      <c r="AY538" s="11">
        <v>0</v>
      </c>
      <c r="AZ538" s="11">
        <v>0</v>
      </c>
      <c r="BA538" s="3">
        <f t="shared" si="78"/>
        <v>91333</v>
      </c>
    </row>
    <row r="539" spans="1:53" x14ac:dyDescent="0.25">
      <c r="A539" s="1" t="s">
        <v>537</v>
      </c>
      <c r="B539" s="9" t="s">
        <v>2072</v>
      </c>
      <c r="C539" s="9" t="s">
        <v>1169</v>
      </c>
      <c r="D539" s="9" t="s">
        <v>2073</v>
      </c>
      <c r="E539" s="9" t="s">
        <v>1008</v>
      </c>
      <c r="F539" s="10">
        <v>45684</v>
      </c>
      <c r="G539" s="9" t="s">
        <v>1019</v>
      </c>
      <c r="I539" s="9" t="s">
        <v>1020</v>
      </c>
      <c r="J539" s="9" t="s">
        <v>1171</v>
      </c>
      <c r="K539" s="8" t="s">
        <v>1006</v>
      </c>
      <c r="L539" s="8" t="s">
        <v>1007</v>
      </c>
      <c r="M539" s="8" t="s">
        <v>2933</v>
      </c>
      <c r="N539" s="8" t="s">
        <v>2937</v>
      </c>
      <c r="O539" s="1" t="s">
        <v>2934</v>
      </c>
      <c r="P539">
        <v>30</v>
      </c>
      <c r="Q539">
        <v>30</v>
      </c>
      <c r="R539">
        <v>0</v>
      </c>
      <c r="S539">
        <f t="shared" si="80"/>
        <v>30</v>
      </c>
      <c r="T539" s="1" t="s">
        <v>2935</v>
      </c>
      <c r="U539" s="1" t="s">
        <v>2932</v>
      </c>
      <c r="V539" s="3">
        <f t="shared" si="81"/>
        <v>40000</v>
      </c>
      <c r="W539" s="3">
        <f t="shared" si="82"/>
        <v>16000</v>
      </c>
      <c r="X539" s="3">
        <f t="shared" si="74"/>
        <v>1250</v>
      </c>
      <c r="Y539" s="3">
        <f t="shared" si="75"/>
        <v>1600</v>
      </c>
      <c r="Z539" s="3">
        <f t="shared" si="76"/>
        <v>1800</v>
      </c>
      <c r="AA539" s="3">
        <v>0</v>
      </c>
      <c r="AB539" s="3">
        <f>ROUND(U539 - (V539+W539+X539+Y539) - (U539/Q539 * 2),0)</f>
        <v>34483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f>SUM(V539+W539+X539+Y539+AB539)</f>
        <v>93333</v>
      </c>
      <c r="AK539" s="3">
        <f>SUM(AJ539-AA539)</f>
        <v>93333</v>
      </c>
      <c r="AL539" s="3">
        <f>IF(V539&lt;=15000,V539*12%,1800)</f>
        <v>1800</v>
      </c>
      <c r="AM539" s="3">
        <v>0</v>
      </c>
      <c r="AN539" s="3">
        <f t="shared" si="77"/>
        <v>1800</v>
      </c>
      <c r="AO539" s="12">
        <v>200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3">
        <f t="shared" si="79"/>
        <v>200</v>
      </c>
      <c r="AV539" s="3">
        <f>SUM(AJ539 - AN539 - AU539)</f>
        <v>91333</v>
      </c>
      <c r="AW539" s="11">
        <v>0</v>
      </c>
      <c r="AX539" s="11">
        <v>0</v>
      </c>
      <c r="AY539" s="11">
        <v>0</v>
      </c>
      <c r="AZ539" s="11">
        <v>0</v>
      </c>
      <c r="BA539" s="3">
        <f t="shared" si="78"/>
        <v>91333</v>
      </c>
    </row>
    <row r="540" spans="1:53" x14ac:dyDescent="0.25">
      <c r="A540" s="1" t="s">
        <v>538</v>
      </c>
      <c r="B540" s="9" t="s">
        <v>2070</v>
      </c>
      <c r="C540" s="9" t="s">
        <v>1063</v>
      </c>
      <c r="D540" s="9" t="s">
        <v>2071</v>
      </c>
      <c r="E540" s="9" t="s">
        <v>1008</v>
      </c>
      <c r="F540" s="10">
        <v>45691</v>
      </c>
      <c r="G540" s="9" t="s">
        <v>1013</v>
      </c>
      <c r="I540" s="9" t="s">
        <v>1014</v>
      </c>
      <c r="J540" s="9" t="s">
        <v>1015</v>
      </c>
      <c r="K540" s="8" t="s">
        <v>1006</v>
      </c>
      <c r="L540" s="8" t="s">
        <v>1007</v>
      </c>
      <c r="M540" s="8" t="s">
        <v>2933</v>
      </c>
      <c r="N540" s="8" t="s">
        <v>2937</v>
      </c>
      <c r="O540" s="1" t="s">
        <v>2934</v>
      </c>
      <c r="P540">
        <v>30</v>
      </c>
      <c r="Q540">
        <v>30</v>
      </c>
      <c r="R540">
        <v>0</v>
      </c>
      <c r="S540">
        <f t="shared" si="80"/>
        <v>30</v>
      </c>
      <c r="T540" s="1" t="s">
        <v>2935</v>
      </c>
      <c r="U540" s="1" t="s">
        <v>2932</v>
      </c>
      <c r="V540" s="3">
        <f t="shared" si="81"/>
        <v>40000</v>
      </c>
      <c r="W540" s="3">
        <f t="shared" si="82"/>
        <v>16000</v>
      </c>
      <c r="X540" s="3">
        <f t="shared" si="74"/>
        <v>1250</v>
      </c>
      <c r="Y540" s="3">
        <f t="shared" si="75"/>
        <v>1600</v>
      </c>
      <c r="Z540" s="3">
        <f t="shared" si="76"/>
        <v>1800</v>
      </c>
      <c r="AA540" s="3">
        <v>0</v>
      </c>
      <c r="AB540" s="3">
        <f>ROUND(U540 - (V540+W540+X540+Y540) - (U540/Q540 * 2),0)</f>
        <v>34483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f>SUM(V540+W540+X540+Y540+AB540)</f>
        <v>93333</v>
      </c>
      <c r="AK540" s="3">
        <f>SUM(AJ540-AA540)</f>
        <v>93333</v>
      </c>
      <c r="AL540" s="3">
        <f>IF(V540&lt;=15000,V540*12%,1800)</f>
        <v>1800</v>
      </c>
      <c r="AM540" s="3">
        <v>0</v>
      </c>
      <c r="AN540" s="3">
        <f t="shared" si="77"/>
        <v>1800</v>
      </c>
      <c r="AO540" s="12">
        <v>200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3">
        <f t="shared" si="79"/>
        <v>200</v>
      </c>
      <c r="AV540" s="3">
        <f>SUM(AJ540 - AN540 - AU540)</f>
        <v>91333</v>
      </c>
      <c r="AW540" s="11">
        <v>0</v>
      </c>
      <c r="AX540" s="11">
        <v>0</v>
      </c>
      <c r="AY540" s="11">
        <v>0</v>
      </c>
      <c r="AZ540" s="11">
        <v>0</v>
      </c>
      <c r="BA540" s="3">
        <f t="shared" si="78"/>
        <v>91333</v>
      </c>
    </row>
    <row r="541" spans="1:53" x14ac:dyDescent="0.25">
      <c r="A541" s="1" t="s">
        <v>539</v>
      </c>
      <c r="B541" s="9" t="s">
        <v>2068</v>
      </c>
      <c r="C541" s="9" t="s">
        <v>1063</v>
      </c>
      <c r="D541" s="9" t="s">
        <v>2069</v>
      </c>
      <c r="E541" s="9" t="s">
        <v>1008</v>
      </c>
      <c r="F541" s="10">
        <v>45698</v>
      </c>
      <c r="G541" s="9" t="s">
        <v>1019</v>
      </c>
      <c r="I541" s="9" t="s">
        <v>1014</v>
      </c>
      <c r="J541" s="9" t="s">
        <v>1015</v>
      </c>
      <c r="K541" s="8" t="s">
        <v>1006</v>
      </c>
      <c r="L541" s="8" t="s">
        <v>1007</v>
      </c>
      <c r="M541" s="8" t="s">
        <v>2933</v>
      </c>
      <c r="N541" s="8" t="s">
        <v>2937</v>
      </c>
      <c r="O541" s="1" t="s">
        <v>2934</v>
      </c>
      <c r="P541">
        <v>30</v>
      </c>
      <c r="Q541">
        <v>30</v>
      </c>
      <c r="R541">
        <v>0</v>
      </c>
      <c r="S541">
        <f t="shared" si="80"/>
        <v>30</v>
      </c>
      <c r="T541" s="1" t="s">
        <v>2935</v>
      </c>
      <c r="U541" s="1" t="s">
        <v>2932</v>
      </c>
      <c r="V541" s="3">
        <f t="shared" si="81"/>
        <v>40000</v>
      </c>
      <c r="W541" s="3">
        <f t="shared" si="82"/>
        <v>16000</v>
      </c>
      <c r="X541" s="3">
        <f t="shared" si="74"/>
        <v>1250</v>
      </c>
      <c r="Y541" s="3">
        <f t="shared" si="75"/>
        <v>1600</v>
      </c>
      <c r="Z541" s="3">
        <f t="shared" si="76"/>
        <v>1800</v>
      </c>
      <c r="AA541" s="3">
        <v>0</v>
      </c>
      <c r="AB541" s="3">
        <f>ROUND(U541 - (V541+W541+X541+Y541) - (U541/Q541 * 2),0)</f>
        <v>34483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f>SUM(V541+W541+X541+Y541+AB541)</f>
        <v>93333</v>
      </c>
      <c r="AK541" s="3">
        <f>SUM(AJ541-AA541)</f>
        <v>93333</v>
      </c>
      <c r="AL541" s="3">
        <f>IF(V541&lt;=15000,V541*12%,1800)</f>
        <v>1800</v>
      </c>
      <c r="AM541" s="3">
        <v>0</v>
      </c>
      <c r="AN541" s="3">
        <f t="shared" si="77"/>
        <v>1800</v>
      </c>
      <c r="AO541" s="12">
        <v>200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3">
        <f t="shared" si="79"/>
        <v>200</v>
      </c>
      <c r="AV541" s="3">
        <f>SUM(AJ541 - AN541 - AU541)</f>
        <v>91333</v>
      </c>
      <c r="AW541" s="11">
        <v>0</v>
      </c>
      <c r="AX541" s="11">
        <v>0</v>
      </c>
      <c r="AY541" s="11">
        <v>0</v>
      </c>
      <c r="AZ541" s="11">
        <v>0</v>
      </c>
      <c r="BA541" s="3">
        <f t="shared" si="78"/>
        <v>91333</v>
      </c>
    </row>
    <row r="542" spans="1:53" x14ac:dyDescent="0.25">
      <c r="A542" s="1" t="s">
        <v>540</v>
      </c>
      <c r="B542" s="9" t="s">
        <v>2066</v>
      </c>
      <c r="C542" s="9" t="s">
        <v>1010</v>
      </c>
      <c r="D542" s="9" t="s">
        <v>2067</v>
      </c>
      <c r="E542" s="9" t="s">
        <v>1012</v>
      </c>
      <c r="F542" s="10">
        <v>45698</v>
      </c>
      <c r="G542" s="9" t="s">
        <v>1019</v>
      </c>
      <c r="I542" s="9" t="s">
        <v>1014</v>
      </c>
      <c r="J542" s="9" t="s">
        <v>1015</v>
      </c>
      <c r="K542" s="8" t="s">
        <v>1006</v>
      </c>
      <c r="L542" s="8" t="s">
        <v>1007</v>
      </c>
      <c r="M542" s="8" t="s">
        <v>2933</v>
      </c>
      <c r="N542" s="8" t="s">
        <v>2937</v>
      </c>
      <c r="O542" s="1" t="s">
        <v>2934</v>
      </c>
      <c r="P542">
        <v>30</v>
      </c>
      <c r="Q542">
        <v>30</v>
      </c>
      <c r="R542">
        <v>0</v>
      </c>
      <c r="S542">
        <f t="shared" si="80"/>
        <v>30</v>
      </c>
      <c r="T542" s="1" t="s">
        <v>2935</v>
      </c>
      <c r="U542" s="1" t="s">
        <v>2932</v>
      </c>
      <c r="V542" s="3">
        <f t="shared" si="81"/>
        <v>40000</v>
      </c>
      <c r="W542" s="3">
        <f t="shared" si="82"/>
        <v>16000</v>
      </c>
      <c r="X542" s="3">
        <f t="shared" si="74"/>
        <v>1250</v>
      </c>
      <c r="Y542" s="3">
        <f t="shared" si="75"/>
        <v>1600</v>
      </c>
      <c r="Z542" s="3">
        <f t="shared" si="76"/>
        <v>1800</v>
      </c>
      <c r="AA542" s="3">
        <v>0</v>
      </c>
      <c r="AB542" s="3">
        <f>ROUND(U542 - (V542+W542+X542+Y542) - (U542/Q542 * 2),0)</f>
        <v>34483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f>SUM(V542+W542+X542+Y542+AB542)</f>
        <v>93333</v>
      </c>
      <c r="AK542" s="3">
        <f>SUM(AJ542-AA542)</f>
        <v>93333</v>
      </c>
      <c r="AL542" s="3">
        <f>IF(V542&lt;=15000,V542*12%,1800)</f>
        <v>1800</v>
      </c>
      <c r="AM542" s="3">
        <v>0</v>
      </c>
      <c r="AN542" s="3">
        <f t="shared" si="77"/>
        <v>1800</v>
      </c>
      <c r="AO542" s="12">
        <v>200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3">
        <f t="shared" si="79"/>
        <v>200</v>
      </c>
      <c r="AV542" s="3">
        <f>SUM(AJ542 - AN542 - AU542)</f>
        <v>91333</v>
      </c>
      <c r="AW542" s="11">
        <v>0</v>
      </c>
      <c r="AX542" s="11">
        <v>0</v>
      </c>
      <c r="AY542" s="11">
        <v>0</v>
      </c>
      <c r="AZ542" s="11">
        <v>0</v>
      </c>
      <c r="BA542" s="3">
        <f t="shared" si="78"/>
        <v>91333</v>
      </c>
    </row>
    <row r="543" spans="1:53" x14ac:dyDescent="0.25">
      <c r="A543" s="1" t="s">
        <v>541</v>
      </c>
      <c r="B543" s="9" t="s">
        <v>2121</v>
      </c>
      <c r="C543" s="9" t="s">
        <v>1075</v>
      </c>
      <c r="D543" s="9" t="s">
        <v>2122</v>
      </c>
      <c r="E543" s="9" t="s">
        <v>1008</v>
      </c>
      <c r="F543" s="10">
        <v>45705</v>
      </c>
      <c r="G543" s="9" t="s">
        <v>1019</v>
      </c>
      <c r="I543" s="9" t="s">
        <v>1042</v>
      </c>
      <c r="J543" s="9" t="s">
        <v>1031</v>
      </c>
      <c r="K543" s="8" t="s">
        <v>1006</v>
      </c>
      <c r="L543" s="8" t="s">
        <v>1007</v>
      </c>
      <c r="M543" s="8" t="s">
        <v>2933</v>
      </c>
      <c r="N543" s="8" t="s">
        <v>2937</v>
      </c>
      <c r="O543" s="1" t="s">
        <v>2934</v>
      </c>
      <c r="P543">
        <v>30</v>
      </c>
      <c r="Q543">
        <v>30</v>
      </c>
      <c r="R543">
        <v>0</v>
      </c>
      <c r="S543">
        <f t="shared" si="80"/>
        <v>30</v>
      </c>
      <c r="T543" s="1" t="s">
        <v>2935</v>
      </c>
      <c r="U543" s="1" t="s">
        <v>2932</v>
      </c>
      <c r="V543" s="3">
        <f t="shared" si="81"/>
        <v>40000</v>
      </c>
      <c r="W543" s="3">
        <f t="shared" si="82"/>
        <v>16000</v>
      </c>
      <c r="X543" s="3">
        <f t="shared" si="74"/>
        <v>1250</v>
      </c>
      <c r="Y543" s="3">
        <f t="shared" si="75"/>
        <v>1600</v>
      </c>
      <c r="Z543" s="3">
        <f t="shared" si="76"/>
        <v>1800</v>
      </c>
      <c r="AA543" s="3">
        <v>0</v>
      </c>
      <c r="AB543" s="3">
        <f>ROUND(U543 - (V543+W543+X543+Y543) - (U543/Q543 * 2),0)</f>
        <v>34483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f>SUM(V543+W543+X543+Y543+AB543)</f>
        <v>93333</v>
      </c>
      <c r="AK543" s="3">
        <f>SUM(AJ543-AA543)</f>
        <v>93333</v>
      </c>
      <c r="AL543" s="3">
        <f>IF(V543&lt;=15000,V543*12%,1800)</f>
        <v>1800</v>
      </c>
      <c r="AM543" s="3">
        <v>0</v>
      </c>
      <c r="AN543" s="3">
        <f t="shared" si="77"/>
        <v>1800</v>
      </c>
      <c r="AO543" s="12">
        <v>200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3">
        <f t="shared" si="79"/>
        <v>200</v>
      </c>
      <c r="AV543" s="3">
        <f>SUM(AJ543 - AN543 - AU543)</f>
        <v>91333</v>
      </c>
      <c r="AW543" s="11">
        <v>0</v>
      </c>
      <c r="AX543" s="11">
        <v>0</v>
      </c>
      <c r="AY543" s="11">
        <v>0</v>
      </c>
      <c r="AZ543" s="11">
        <v>0</v>
      </c>
      <c r="BA543" s="3">
        <f t="shared" si="78"/>
        <v>91333</v>
      </c>
    </row>
    <row r="544" spans="1:53" x14ac:dyDescent="0.25">
      <c r="A544" s="1" t="s">
        <v>542</v>
      </c>
      <c r="B544" s="9" t="s">
        <v>2119</v>
      </c>
      <c r="C544" s="9" t="s">
        <v>1038</v>
      </c>
      <c r="D544" s="9" t="s">
        <v>2120</v>
      </c>
      <c r="E544" s="9" t="s">
        <v>1008</v>
      </c>
      <c r="F544" s="10">
        <v>45705</v>
      </c>
      <c r="G544" s="9" t="s">
        <v>1019</v>
      </c>
      <c r="I544" s="9" t="s">
        <v>1014</v>
      </c>
      <c r="J544" s="9" t="s">
        <v>1031</v>
      </c>
      <c r="K544" s="8" t="s">
        <v>1006</v>
      </c>
      <c r="L544" s="8" t="s">
        <v>1007</v>
      </c>
      <c r="M544" s="8" t="s">
        <v>2933</v>
      </c>
      <c r="N544" s="8" t="s">
        <v>2937</v>
      </c>
      <c r="O544" s="1" t="s">
        <v>2934</v>
      </c>
      <c r="P544">
        <v>30</v>
      </c>
      <c r="Q544">
        <v>30</v>
      </c>
      <c r="R544">
        <v>0</v>
      </c>
      <c r="S544">
        <f t="shared" si="80"/>
        <v>30</v>
      </c>
      <c r="T544" s="1" t="s">
        <v>2935</v>
      </c>
      <c r="U544" s="1" t="s">
        <v>2932</v>
      </c>
      <c r="V544" s="3">
        <f t="shared" si="81"/>
        <v>40000</v>
      </c>
      <c r="W544" s="3">
        <f t="shared" si="82"/>
        <v>16000</v>
      </c>
      <c r="X544" s="3">
        <f t="shared" si="74"/>
        <v>1250</v>
      </c>
      <c r="Y544" s="3">
        <f t="shared" si="75"/>
        <v>1600</v>
      </c>
      <c r="Z544" s="3">
        <f t="shared" si="76"/>
        <v>1800</v>
      </c>
      <c r="AA544" s="3">
        <v>0</v>
      </c>
      <c r="AB544" s="3">
        <f>ROUND(U544 - (V544+W544+X544+Y544) - (U544/Q544 * 2),0)</f>
        <v>34483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f>SUM(V544+W544+X544+Y544+AB544)</f>
        <v>93333</v>
      </c>
      <c r="AK544" s="3">
        <f>SUM(AJ544-AA544)</f>
        <v>93333</v>
      </c>
      <c r="AL544" s="3">
        <f>IF(V544&lt;=15000,V544*12%,1800)</f>
        <v>1800</v>
      </c>
      <c r="AM544" s="3">
        <v>0</v>
      </c>
      <c r="AN544" s="3">
        <f t="shared" si="77"/>
        <v>1800</v>
      </c>
      <c r="AO544" s="12">
        <v>200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3">
        <f t="shared" si="79"/>
        <v>200</v>
      </c>
      <c r="AV544" s="3">
        <f>SUM(AJ544 - AN544 - AU544)</f>
        <v>91333</v>
      </c>
      <c r="AW544" s="11">
        <v>0</v>
      </c>
      <c r="AX544" s="11">
        <v>0</v>
      </c>
      <c r="AY544" s="11">
        <v>0</v>
      </c>
      <c r="AZ544" s="11">
        <v>0</v>
      </c>
      <c r="BA544" s="3">
        <f t="shared" si="78"/>
        <v>91333</v>
      </c>
    </row>
    <row r="545" spans="1:53" x14ac:dyDescent="0.25">
      <c r="A545" s="1" t="s">
        <v>543</v>
      </c>
      <c r="B545" s="9" t="s">
        <v>1770</v>
      </c>
      <c r="C545" s="9" t="s">
        <v>1063</v>
      </c>
      <c r="D545" s="9" t="s">
        <v>2118</v>
      </c>
      <c r="E545" s="9" t="s">
        <v>1008</v>
      </c>
      <c r="F545" s="10">
        <v>45693</v>
      </c>
      <c r="G545" s="9" t="s">
        <v>1019</v>
      </c>
      <c r="I545" s="9" t="s">
        <v>1020</v>
      </c>
      <c r="J545" s="9" t="s">
        <v>1015</v>
      </c>
      <c r="K545" s="8" t="s">
        <v>1006</v>
      </c>
      <c r="L545" s="8" t="s">
        <v>1007</v>
      </c>
      <c r="M545" s="8" t="s">
        <v>2933</v>
      </c>
      <c r="N545" s="8" t="s">
        <v>2937</v>
      </c>
      <c r="O545" s="1" t="s">
        <v>2934</v>
      </c>
      <c r="P545">
        <v>30</v>
      </c>
      <c r="Q545">
        <v>30</v>
      </c>
      <c r="R545">
        <v>0</v>
      </c>
      <c r="S545">
        <f t="shared" si="80"/>
        <v>30</v>
      </c>
      <c r="T545" s="1" t="s">
        <v>2935</v>
      </c>
      <c r="U545" s="1" t="s">
        <v>2932</v>
      </c>
      <c r="V545" s="3">
        <f t="shared" si="81"/>
        <v>40000</v>
      </c>
      <c r="W545" s="3">
        <f t="shared" si="82"/>
        <v>16000</v>
      </c>
      <c r="X545" s="3">
        <f t="shared" si="74"/>
        <v>1250</v>
      </c>
      <c r="Y545" s="3">
        <f t="shared" si="75"/>
        <v>1600</v>
      </c>
      <c r="Z545" s="3">
        <f t="shared" si="76"/>
        <v>1800</v>
      </c>
      <c r="AA545" s="3">
        <v>0</v>
      </c>
      <c r="AB545" s="3">
        <f>ROUND(U545 - (V545+W545+X545+Y545) - (U545/Q545 * 2),0)</f>
        <v>34483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f>SUM(V545+W545+X545+Y545+AB545)</f>
        <v>93333</v>
      </c>
      <c r="AK545" s="3">
        <f>SUM(AJ545-AA545)</f>
        <v>93333</v>
      </c>
      <c r="AL545" s="3">
        <f>IF(V545&lt;=15000,V545*12%,1800)</f>
        <v>1800</v>
      </c>
      <c r="AM545" s="3">
        <v>0</v>
      </c>
      <c r="AN545" s="3">
        <f t="shared" si="77"/>
        <v>1800</v>
      </c>
      <c r="AO545" s="12">
        <v>200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3">
        <f t="shared" si="79"/>
        <v>200</v>
      </c>
      <c r="AV545" s="3">
        <f>SUM(AJ545 - AN545 - AU545)</f>
        <v>91333</v>
      </c>
      <c r="AW545" s="11">
        <v>0</v>
      </c>
      <c r="AX545" s="11">
        <v>0</v>
      </c>
      <c r="AY545" s="11">
        <v>0</v>
      </c>
      <c r="AZ545" s="11">
        <v>0</v>
      </c>
      <c r="BA545" s="3">
        <f t="shared" si="78"/>
        <v>91333</v>
      </c>
    </row>
    <row r="546" spans="1:53" x14ac:dyDescent="0.25">
      <c r="A546" s="1" t="s">
        <v>544</v>
      </c>
      <c r="B546" s="9" t="s">
        <v>2116</v>
      </c>
      <c r="C546" s="9" t="s">
        <v>1115</v>
      </c>
      <c r="D546" s="9" t="s">
        <v>2117</v>
      </c>
      <c r="E546" s="9" t="s">
        <v>1008</v>
      </c>
      <c r="F546" s="10">
        <v>45726</v>
      </c>
      <c r="G546" s="9" t="s">
        <v>1019</v>
      </c>
      <c r="I546" s="9" t="s">
        <v>1035</v>
      </c>
      <c r="J546" s="9" t="s">
        <v>1048</v>
      </c>
      <c r="K546" s="8" t="s">
        <v>1006</v>
      </c>
      <c r="L546" s="8" t="s">
        <v>1007</v>
      </c>
      <c r="M546" s="8" t="s">
        <v>2933</v>
      </c>
      <c r="N546" s="8" t="s">
        <v>2937</v>
      </c>
      <c r="O546" s="1" t="s">
        <v>2934</v>
      </c>
      <c r="P546">
        <v>30</v>
      </c>
      <c r="Q546">
        <v>30</v>
      </c>
      <c r="R546">
        <v>0</v>
      </c>
      <c r="S546">
        <f t="shared" si="80"/>
        <v>30</v>
      </c>
      <c r="T546" s="1" t="s">
        <v>2935</v>
      </c>
      <c r="U546" s="1" t="s">
        <v>2932</v>
      </c>
      <c r="V546" s="3">
        <f t="shared" si="81"/>
        <v>40000</v>
      </c>
      <c r="W546" s="3">
        <f t="shared" si="82"/>
        <v>16000</v>
      </c>
      <c r="X546" s="3">
        <f t="shared" si="74"/>
        <v>1250</v>
      </c>
      <c r="Y546" s="3">
        <f t="shared" si="75"/>
        <v>1600</v>
      </c>
      <c r="Z546" s="3">
        <f t="shared" si="76"/>
        <v>1800</v>
      </c>
      <c r="AA546" s="3">
        <v>0</v>
      </c>
      <c r="AB546" s="3">
        <f>ROUND(U546 - (V546+W546+X546+Y546) - (U546/Q546 * 2),0)</f>
        <v>34483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f>SUM(V546+W546+X546+Y546+AB546)</f>
        <v>93333</v>
      </c>
      <c r="AK546" s="3">
        <f>SUM(AJ546-AA546)</f>
        <v>93333</v>
      </c>
      <c r="AL546" s="3">
        <f>IF(V546&lt;=15000,V546*12%,1800)</f>
        <v>1800</v>
      </c>
      <c r="AM546" s="3">
        <v>0</v>
      </c>
      <c r="AN546" s="3">
        <f t="shared" si="77"/>
        <v>1800</v>
      </c>
      <c r="AO546" s="12">
        <v>200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3">
        <f t="shared" si="79"/>
        <v>200</v>
      </c>
      <c r="AV546" s="3">
        <f>SUM(AJ546 - AN546 - AU546)</f>
        <v>91333</v>
      </c>
      <c r="AW546" s="11">
        <v>0</v>
      </c>
      <c r="AX546" s="11">
        <v>0</v>
      </c>
      <c r="AY546" s="11">
        <v>0</v>
      </c>
      <c r="AZ546" s="11">
        <v>0</v>
      </c>
      <c r="BA546" s="3">
        <f t="shared" si="78"/>
        <v>91333</v>
      </c>
    </row>
    <row r="547" spans="1:53" x14ac:dyDescent="0.25">
      <c r="A547" s="1" t="s">
        <v>545</v>
      </c>
      <c r="B547" s="9" t="s">
        <v>2114</v>
      </c>
      <c r="C547" s="9" t="s">
        <v>1063</v>
      </c>
      <c r="D547" s="9" t="s">
        <v>2115</v>
      </c>
      <c r="E547" s="9" t="s">
        <v>1012</v>
      </c>
      <c r="F547" s="10">
        <v>45719</v>
      </c>
      <c r="G547" s="9" t="s">
        <v>1013</v>
      </c>
      <c r="I547" s="9" t="s">
        <v>1014</v>
      </c>
      <c r="J547" s="9" t="s">
        <v>1015</v>
      </c>
      <c r="K547" s="8" t="s">
        <v>1006</v>
      </c>
      <c r="L547" s="8" t="s">
        <v>1007</v>
      </c>
      <c r="M547" s="8" t="s">
        <v>2933</v>
      </c>
      <c r="N547" s="8" t="s">
        <v>2937</v>
      </c>
      <c r="O547" s="1" t="s">
        <v>2934</v>
      </c>
      <c r="P547">
        <v>30</v>
      </c>
      <c r="Q547">
        <v>30</v>
      </c>
      <c r="R547">
        <v>0</v>
      </c>
      <c r="S547">
        <f t="shared" si="80"/>
        <v>30</v>
      </c>
      <c r="T547" s="1" t="s">
        <v>2935</v>
      </c>
      <c r="U547" s="1" t="s">
        <v>2932</v>
      </c>
      <c r="V547" s="3">
        <f t="shared" si="81"/>
        <v>40000</v>
      </c>
      <c r="W547" s="3">
        <f t="shared" si="82"/>
        <v>16000</v>
      </c>
      <c r="X547" s="3">
        <f t="shared" si="74"/>
        <v>1250</v>
      </c>
      <c r="Y547" s="3">
        <f t="shared" si="75"/>
        <v>1600</v>
      </c>
      <c r="Z547" s="3">
        <f t="shared" si="76"/>
        <v>1800</v>
      </c>
      <c r="AA547" s="3">
        <v>0</v>
      </c>
      <c r="AB547" s="3">
        <f>ROUND(U547 - (V547+W547+X547+Y547) - (U547/Q547 * 2),0)</f>
        <v>34483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f>SUM(V547+W547+X547+Y547+AB547)</f>
        <v>93333</v>
      </c>
      <c r="AK547" s="3">
        <f>SUM(AJ547-AA547)</f>
        <v>93333</v>
      </c>
      <c r="AL547" s="3">
        <f>IF(V547&lt;=15000,V547*12%,1800)</f>
        <v>1800</v>
      </c>
      <c r="AM547" s="3">
        <v>0</v>
      </c>
      <c r="AN547" s="3">
        <f t="shared" si="77"/>
        <v>1800</v>
      </c>
      <c r="AO547" s="12">
        <v>200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3">
        <f t="shared" si="79"/>
        <v>200</v>
      </c>
      <c r="AV547" s="3">
        <f>SUM(AJ547 - AN547 - AU547)</f>
        <v>91333</v>
      </c>
      <c r="AW547" s="11">
        <v>0</v>
      </c>
      <c r="AX547" s="11">
        <v>0</v>
      </c>
      <c r="AY547" s="11">
        <v>0</v>
      </c>
      <c r="AZ547" s="11">
        <v>0</v>
      </c>
      <c r="BA547" s="3">
        <f t="shared" si="78"/>
        <v>91333</v>
      </c>
    </row>
    <row r="548" spans="1:53" x14ac:dyDescent="0.25">
      <c r="A548" s="1" t="s">
        <v>546</v>
      </c>
      <c r="B548" s="9" t="s">
        <v>2112</v>
      </c>
      <c r="C548" s="9" t="s">
        <v>1063</v>
      </c>
      <c r="D548" s="9" t="s">
        <v>2113</v>
      </c>
      <c r="E548" s="9" t="s">
        <v>1012</v>
      </c>
      <c r="F548" s="10">
        <v>45719</v>
      </c>
      <c r="G548" s="9" t="s">
        <v>1019</v>
      </c>
      <c r="I548" s="9" t="s">
        <v>1014</v>
      </c>
      <c r="J548" s="9" t="s">
        <v>1015</v>
      </c>
      <c r="K548" s="8" t="s">
        <v>1006</v>
      </c>
      <c r="L548" s="8" t="s">
        <v>1007</v>
      </c>
      <c r="M548" s="8" t="s">
        <v>2933</v>
      </c>
      <c r="N548" s="8" t="s">
        <v>2937</v>
      </c>
      <c r="O548" s="1" t="s">
        <v>2934</v>
      </c>
      <c r="P548">
        <v>30</v>
      </c>
      <c r="Q548">
        <v>30</v>
      </c>
      <c r="R548">
        <v>0</v>
      </c>
      <c r="S548">
        <f t="shared" si="80"/>
        <v>30</v>
      </c>
      <c r="T548" s="1" t="s">
        <v>2935</v>
      </c>
      <c r="U548" s="1" t="s">
        <v>2932</v>
      </c>
      <c r="V548" s="3">
        <f t="shared" si="81"/>
        <v>40000</v>
      </c>
      <c r="W548" s="3">
        <f t="shared" si="82"/>
        <v>16000</v>
      </c>
      <c r="X548" s="3">
        <f t="shared" si="74"/>
        <v>1250</v>
      </c>
      <c r="Y548" s="3">
        <f t="shared" si="75"/>
        <v>1600</v>
      </c>
      <c r="Z548" s="3">
        <f t="shared" si="76"/>
        <v>1800</v>
      </c>
      <c r="AA548" s="3">
        <v>0</v>
      </c>
      <c r="AB548" s="3">
        <f>ROUND(U548 - (V548+W548+X548+Y548) - (U548/Q548 * 2),0)</f>
        <v>34483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f>SUM(V548+W548+X548+Y548+AB548)</f>
        <v>93333</v>
      </c>
      <c r="AK548" s="3">
        <f>SUM(AJ548-AA548)</f>
        <v>93333</v>
      </c>
      <c r="AL548" s="3">
        <f>IF(V548&lt;=15000,V548*12%,1800)</f>
        <v>1800</v>
      </c>
      <c r="AM548" s="3">
        <v>0</v>
      </c>
      <c r="AN548" s="3">
        <f t="shared" si="77"/>
        <v>1800</v>
      </c>
      <c r="AO548" s="12">
        <v>200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3">
        <f t="shared" si="79"/>
        <v>200</v>
      </c>
      <c r="AV548" s="3">
        <f>SUM(AJ548 - AN548 - AU548)</f>
        <v>91333</v>
      </c>
      <c r="AW548" s="11">
        <v>0</v>
      </c>
      <c r="AX548" s="11">
        <v>0</v>
      </c>
      <c r="AY548" s="11">
        <v>0</v>
      </c>
      <c r="AZ548" s="11">
        <v>0</v>
      </c>
      <c r="BA548" s="3">
        <f t="shared" si="78"/>
        <v>91333</v>
      </c>
    </row>
    <row r="549" spans="1:53" x14ac:dyDescent="0.25">
      <c r="A549" s="1" t="s">
        <v>547</v>
      </c>
      <c r="B549" s="9" t="s">
        <v>1114</v>
      </c>
      <c r="C549" s="9" t="s">
        <v>1029</v>
      </c>
      <c r="D549" s="9" t="s">
        <v>2111</v>
      </c>
      <c r="E549" s="9" t="s">
        <v>1008</v>
      </c>
      <c r="F549" s="10">
        <v>45726</v>
      </c>
      <c r="G549" s="9" t="s">
        <v>1019</v>
      </c>
      <c r="I549" s="9" t="s">
        <v>1014</v>
      </c>
      <c r="J549" s="9" t="s">
        <v>1031</v>
      </c>
      <c r="K549" s="8" t="s">
        <v>1006</v>
      </c>
      <c r="L549" s="8" t="s">
        <v>1007</v>
      </c>
      <c r="M549" s="8" t="s">
        <v>2933</v>
      </c>
      <c r="N549" s="8" t="s">
        <v>2937</v>
      </c>
      <c r="O549" s="1" t="s">
        <v>2934</v>
      </c>
      <c r="P549">
        <v>30</v>
      </c>
      <c r="Q549">
        <v>30</v>
      </c>
      <c r="R549">
        <v>0</v>
      </c>
      <c r="S549">
        <f t="shared" si="80"/>
        <v>30</v>
      </c>
      <c r="T549" s="1" t="s">
        <v>2935</v>
      </c>
      <c r="U549" s="1" t="s">
        <v>2932</v>
      </c>
      <c r="V549" s="3">
        <f t="shared" si="81"/>
        <v>40000</v>
      </c>
      <c r="W549" s="3">
        <f t="shared" si="82"/>
        <v>16000</v>
      </c>
      <c r="X549" s="3">
        <f t="shared" si="74"/>
        <v>1250</v>
      </c>
      <c r="Y549" s="3">
        <f t="shared" si="75"/>
        <v>1600</v>
      </c>
      <c r="Z549" s="3">
        <f t="shared" si="76"/>
        <v>1800</v>
      </c>
      <c r="AA549" s="3">
        <v>0</v>
      </c>
      <c r="AB549" s="3">
        <f>ROUND(U549 - (V549+W549+X549+Y549) - (U549/Q549 * 2),0)</f>
        <v>34483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f>SUM(V549+W549+X549+Y549+AB549)</f>
        <v>93333</v>
      </c>
      <c r="AK549" s="3">
        <f>SUM(AJ549-AA549)</f>
        <v>93333</v>
      </c>
      <c r="AL549" s="3">
        <f>IF(V549&lt;=15000,V549*12%,1800)</f>
        <v>1800</v>
      </c>
      <c r="AM549" s="3">
        <v>0</v>
      </c>
      <c r="AN549" s="3">
        <f t="shared" si="77"/>
        <v>1800</v>
      </c>
      <c r="AO549" s="12">
        <v>200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3">
        <f t="shared" si="79"/>
        <v>200</v>
      </c>
      <c r="AV549" s="3">
        <f>SUM(AJ549 - AN549 - AU549)</f>
        <v>91333</v>
      </c>
      <c r="AW549" s="11">
        <v>0</v>
      </c>
      <c r="AX549" s="11">
        <v>0</v>
      </c>
      <c r="AY549" s="11">
        <v>0</v>
      </c>
      <c r="AZ549" s="11">
        <v>0</v>
      </c>
      <c r="BA549" s="3">
        <f t="shared" si="78"/>
        <v>91333</v>
      </c>
    </row>
    <row r="550" spans="1:53" x14ac:dyDescent="0.25">
      <c r="A550" s="1" t="s">
        <v>548</v>
      </c>
      <c r="B550" s="9" t="s">
        <v>2109</v>
      </c>
      <c r="C550" s="9" t="s">
        <v>1029</v>
      </c>
      <c r="D550" s="9" t="s">
        <v>2110</v>
      </c>
      <c r="E550" s="9" t="s">
        <v>1008</v>
      </c>
      <c r="F550" s="10">
        <v>45726</v>
      </c>
      <c r="G550" s="9" t="s">
        <v>1013</v>
      </c>
      <c r="I550" s="9" t="s">
        <v>1042</v>
      </c>
      <c r="J550" s="9" t="s">
        <v>1031</v>
      </c>
      <c r="K550" s="8" t="s">
        <v>1006</v>
      </c>
      <c r="L550" s="8" t="s">
        <v>1007</v>
      </c>
      <c r="M550" s="8" t="s">
        <v>2933</v>
      </c>
      <c r="N550" s="8" t="s">
        <v>2937</v>
      </c>
      <c r="O550" s="1" t="s">
        <v>2934</v>
      </c>
      <c r="P550">
        <v>30</v>
      </c>
      <c r="Q550">
        <v>30</v>
      </c>
      <c r="R550">
        <v>0</v>
      </c>
      <c r="S550">
        <f t="shared" si="80"/>
        <v>30</v>
      </c>
      <c r="T550" s="1" t="s">
        <v>2935</v>
      </c>
      <c r="U550" s="1" t="s">
        <v>2932</v>
      </c>
      <c r="V550" s="3">
        <f t="shared" si="81"/>
        <v>40000</v>
      </c>
      <c r="W550" s="3">
        <f t="shared" si="82"/>
        <v>16000</v>
      </c>
      <c r="X550" s="3">
        <f t="shared" si="74"/>
        <v>1250</v>
      </c>
      <c r="Y550" s="3">
        <f t="shared" si="75"/>
        <v>1600</v>
      </c>
      <c r="Z550" s="3">
        <f t="shared" si="76"/>
        <v>1800</v>
      </c>
      <c r="AA550" s="3">
        <v>0</v>
      </c>
      <c r="AB550" s="3">
        <f>ROUND(U550 - (V550+W550+X550+Y550) - (U550/Q550 * 2),0)</f>
        <v>34483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f>SUM(V550+W550+X550+Y550+AB550)</f>
        <v>93333</v>
      </c>
      <c r="AK550" s="3">
        <f>SUM(AJ550-AA550)</f>
        <v>93333</v>
      </c>
      <c r="AL550" s="3">
        <f>IF(V550&lt;=15000,V550*12%,1800)</f>
        <v>1800</v>
      </c>
      <c r="AM550" s="3">
        <v>0</v>
      </c>
      <c r="AN550" s="3">
        <f t="shared" si="77"/>
        <v>1800</v>
      </c>
      <c r="AO550" s="12">
        <v>200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3">
        <f t="shared" si="79"/>
        <v>200</v>
      </c>
      <c r="AV550" s="3">
        <f>SUM(AJ550 - AN550 - AU550)</f>
        <v>91333</v>
      </c>
      <c r="AW550" s="11">
        <v>0</v>
      </c>
      <c r="AX550" s="11">
        <v>0</v>
      </c>
      <c r="AY550" s="11">
        <v>0</v>
      </c>
      <c r="AZ550" s="11">
        <v>0</v>
      </c>
      <c r="BA550" s="3">
        <f t="shared" si="78"/>
        <v>91333</v>
      </c>
    </row>
    <row r="551" spans="1:53" x14ac:dyDescent="0.25">
      <c r="A551" s="1" t="s">
        <v>549</v>
      </c>
      <c r="B551" s="9" t="s">
        <v>2107</v>
      </c>
      <c r="C551" s="9" t="s">
        <v>1063</v>
      </c>
      <c r="D551" s="9" t="s">
        <v>2108</v>
      </c>
      <c r="E551" s="9" t="s">
        <v>1008</v>
      </c>
      <c r="F551" s="10">
        <v>45726</v>
      </c>
      <c r="G551" s="9" t="s">
        <v>1013</v>
      </c>
      <c r="I551" s="9" t="s">
        <v>1014</v>
      </c>
      <c r="J551" s="9" t="s">
        <v>1015</v>
      </c>
      <c r="K551" s="8" t="s">
        <v>1006</v>
      </c>
      <c r="L551" s="8" t="s">
        <v>1007</v>
      </c>
      <c r="M551" s="8" t="s">
        <v>2933</v>
      </c>
      <c r="N551" s="8" t="s">
        <v>2937</v>
      </c>
      <c r="O551" s="1" t="s">
        <v>2934</v>
      </c>
      <c r="P551">
        <v>30</v>
      </c>
      <c r="Q551">
        <v>30</v>
      </c>
      <c r="R551">
        <v>0</v>
      </c>
      <c r="S551">
        <f t="shared" si="80"/>
        <v>30</v>
      </c>
      <c r="T551" s="1" t="s">
        <v>2935</v>
      </c>
      <c r="U551" s="1" t="s">
        <v>2932</v>
      </c>
      <c r="V551" s="3">
        <f t="shared" si="81"/>
        <v>40000</v>
      </c>
      <c r="W551" s="3">
        <f t="shared" si="82"/>
        <v>16000</v>
      </c>
      <c r="X551" s="3">
        <f t="shared" si="74"/>
        <v>1250</v>
      </c>
      <c r="Y551" s="3">
        <f t="shared" si="75"/>
        <v>1600</v>
      </c>
      <c r="Z551" s="3">
        <f t="shared" si="76"/>
        <v>1800</v>
      </c>
      <c r="AA551" s="3">
        <v>0</v>
      </c>
      <c r="AB551" s="3">
        <f>ROUND(U551 - (V551+W551+X551+Y551) - (U551/Q551 * 2),0)</f>
        <v>34483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f>SUM(V551+W551+X551+Y551+AB551)</f>
        <v>93333</v>
      </c>
      <c r="AK551" s="3">
        <f>SUM(AJ551-AA551)</f>
        <v>93333</v>
      </c>
      <c r="AL551" s="3">
        <f>IF(V551&lt;=15000,V551*12%,1800)</f>
        <v>1800</v>
      </c>
      <c r="AM551" s="3">
        <v>0</v>
      </c>
      <c r="AN551" s="3">
        <f t="shared" si="77"/>
        <v>1800</v>
      </c>
      <c r="AO551" s="12">
        <v>200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3">
        <f t="shared" si="79"/>
        <v>200</v>
      </c>
      <c r="AV551" s="3">
        <f>SUM(AJ551 - AN551 - AU551)</f>
        <v>91333</v>
      </c>
      <c r="AW551" s="11">
        <v>0</v>
      </c>
      <c r="AX551" s="11">
        <v>0</v>
      </c>
      <c r="AY551" s="11">
        <v>0</v>
      </c>
      <c r="AZ551" s="11">
        <v>0</v>
      </c>
      <c r="BA551" s="3">
        <f t="shared" si="78"/>
        <v>91333</v>
      </c>
    </row>
    <row r="552" spans="1:53" x14ac:dyDescent="0.25">
      <c r="A552" s="1" t="s">
        <v>550</v>
      </c>
      <c r="B552" s="9" t="s">
        <v>2105</v>
      </c>
      <c r="C552" s="9" t="s">
        <v>1063</v>
      </c>
      <c r="D552" s="9" t="s">
        <v>2106</v>
      </c>
      <c r="E552" s="9" t="s">
        <v>1012</v>
      </c>
      <c r="F552" s="10">
        <v>45726</v>
      </c>
      <c r="G552" s="9" t="s">
        <v>1019</v>
      </c>
      <c r="I552" s="9" t="s">
        <v>1014</v>
      </c>
      <c r="J552" s="9" t="s">
        <v>1015</v>
      </c>
      <c r="K552" s="8" t="s">
        <v>1006</v>
      </c>
      <c r="L552" s="8" t="s">
        <v>1007</v>
      </c>
      <c r="M552" s="8" t="s">
        <v>2933</v>
      </c>
      <c r="N552" s="8" t="s">
        <v>2937</v>
      </c>
      <c r="O552" s="1" t="s">
        <v>2934</v>
      </c>
      <c r="P552">
        <v>30</v>
      </c>
      <c r="Q552">
        <v>30</v>
      </c>
      <c r="R552">
        <v>0</v>
      </c>
      <c r="S552">
        <f t="shared" si="80"/>
        <v>30</v>
      </c>
      <c r="T552" s="1" t="s">
        <v>2935</v>
      </c>
      <c r="U552" s="1" t="s">
        <v>2932</v>
      </c>
      <c r="V552" s="3">
        <f t="shared" si="81"/>
        <v>40000</v>
      </c>
      <c r="W552" s="3">
        <f t="shared" si="82"/>
        <v>16000</v>
      </c>
      <c r="X552" s="3">
        <f t="shared" si="74"/>
        <v>1250</v>
      </c>
      <c r="Y552" s="3">
        <f t="shared" si="75"/>
        <v>1600</v>
      </c>
      <c r="Z552" s="3">
        <f t="shared" si="76"/>
        <v>1800</v>
      </c>
      <c r="AA552" s="3">
        <v>0</v>
      </c>
      <c r="AB552" s="3">
        <f>ROUND(U552 - (V552+W552+X552+Y552) - (U552/Q552 * 2),0)</f>
        <v>34483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f>SUM(V552+W552+X552+Y552+AB552)</f>
        <v>93333</v>
      </c>
      <c r="AK552" s="3">
        <f>SUM(AJ552-AA552)</f>
        <v>93333</v>
      </c>
      <c r="AL552" s="3">
        <f>IF(V552&lt;=15000,V552*12%,1800)</f>
        <v>1800</v>
      </c>
      <c r="AM552" s="3">
        <v>0</v>
      </c>
      <c r="AN552" s="3">
        <f t="shared" si="77"/>
        <v>1800</v>
      </c>
      <c r="AO552" s="12">
        <v>200</v>
      </c>
      <c r="AP552" s="12">
        <v>0</v>
      </c>
      <c r="AQ552" s="12">
        <v>0</v>
      </c>
      <c r="AR552" s="12">
        <v>0</v>
      </c>
      <c r="AS552" s="12">
        <v>0</v>
      </c>
      <c r="AT552" s="12">
        <v>0</v>
      </c>
      <c r="AU552" s="3">
        <f t="shared" si="79"/>
        <v>200</v>
      </c>
      <c r="AV552" s="3">
        <f>SUM(AJ552 - AN552 - AU552)</f>
        <v>91333</v>
      </c>
      <c r="AW552" s="11">
        <v>0</v>
      </c>
      <c r="AX552" s="11">
        <v>0</v>
      </c>
      <c r="AY552" s="11">
        <v>0</v>
      </c>
      <c r="AZ552" s="11">
        <v>0</v>
      </c>
      <c r="BA552" s="3">
        <f t="shared" si="78"/>
        <v>91333</v>
      </c>
    </row>
    <row r="553" spans="1:53" x14ac:dyDescent="0.25">
      <c r="A553" s="1" t="s">
        <v>551</v>
      </c>
      <c r="B553" s="9" t="s">
        <v>2103</v>
      </c>
      <c r="C553" s="9" t="s">
        <v>1063</v>
      </c>
      <c r="D553" s="9" t="s">
        <v>2104</v>
      </c>
      <c r="E553" s="9" t="s">
        <v>1012</v>
      </c>
      <c r="F553" s="10">
        <v>44627</v>
      </c>
      <c r="G553" s="9" t="s">
        <v>1013</v>
      </c>
      <c r="I553" s="9" t="s">
        <v>1014</v>
      </c>
      <c r="J553" s="9" t="s">
        <v>1015</v>
      </c>
      <c r="K553" s="8" t="s">
        <v>1006</v>
      </c>
      <c r="L553" s="8" t="s">
        <v>1007</v>
      </c>
      <c r="M553" s="8" t="s">
        <v>2933</v>
      </c>
      <c r="N553" s="8" t="s">
        <v>2937</v>
      </c>
      <c r="O553" s="1" t="s">
        <v>2934</v>
      </c>
      <c r="P553">
        <v>30</v>
      </c>
      <c r="Q553">
        <v>30</v>
      </c>
      <c r="R553">
        <v>0</v>
      </c>
      <c r="S553">
        <f t="shared" si="80"/>
        <v>30</v>
      </c>
      <c r="T553" s="1" t="s">
        <v>2935</v>
      </c>
      <c r="U553" s="1" t="s">
        <v>2932</v>
      </c>
      <c r="V553" s="3">
        <f t="shared" si="81"/>
        <v>40000</v>
      </c>
      <c r="W553" s="3">
        <f t="shared" si="82"/>
        <v>16000</v>
      </c>
      <c r="X553" s="3">
        <f t="shared" si="74"/>
        <v>1250</v>
      </c>
      <c r="Y553" s="3">
        <f t="shared" si="75"/>
        <v>1600</v>
      </c>
      <c r="Z553" s="3">
        <f t="shared" si="76"/>
        <v>1800</v>
      </c>
      <c r="AA553" s="3">
        <v>0</v>
      </c>
      <c r="AB553" s="3">
        <f>ROUND(U553 - (V553+W553+X553+Y553) - (U553/Q553 * 2),0)</f>
        <v>34483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f>SUM(V553+W553+X553+Y553+AB553)</f>
        <v>93333</v>
      </c>
      <c r="AK553" s="3">
        <f>SUM(AJ553-AA553)</f>
        <v>93333</v>
      </c>
      <c r="AL553" s="3">
        <f>IF(V553&lt;=15000,V553*12%,1800)</f>
        <v>1800</v>
      </c>
      <c r="AM553" s="3">
        <v>0</v>
      </c>
      <c r="AN553" s="3">
        <f t="shared" si="77"/>
        <v>1800</v>
      </c>
      <c r="AO553" s="12">
        <v>200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3">
        <f t="shared" si="79"/>
        <v>200</v>
      </c>
      <c r="AV553" s="3">
        <f>SUM(AJ553 - AN553 - AU553)</f>
        <v>91333</v>
      </c>
      <c r="AW553" s="11">
        <v>0</v>
      </c>
      <c r="AX553" s="11">
        <v>0</v>
      </c>
      <c r="AY553" s="11">
        <v>0</v>
      </c>
      <c r="AZ553" s="11">
        <v>0</v>
      </c>
      <c r="BA553" s="3">
        <f t="shared" si="78"/>
        <v>91333</v>
      </c>
    </row>
    <row r="554" spans="1:53" x14ac:dyDescent="0.25">
      <c r="A554" s="1" t="s">
        <v>552</v>
      </c>
      <c r="B554" s="9" t="s">
        <v>2101</v>
      </c>
      <c r="C554" s="9" t="s">
        <v>1026</v>
      </c>
      <c r="D554" s="9" t="s">
        <v>2102</v>
      </c>
      <c r="E554" s="9" t="s">
        <v>1008</v>
      </c>
      <c r="F554" s="10">
        <v>44627</v>
      </c>
      <c r="G554" s="9" t="s">
        <v>1013</v>
      </c>
      <c r="I554" s="9" t="s">
        <v>1014</v>
      </c>
      <c r="J554" s="9" t="s">
        <v>1015</v>
      </c>
      <c r="K554" s="8" t="s">
        <v>1006</v>
      </c>
      <c r="L554" s="8" t="s">
        <v>1007</v>
      </c>
      <c r="M554" s="8" t="s">
        <v>2933</v>
      </c>
      <c r="N554" s="8" t="s">
        <v>2937</v>
      </c>
      <c r="O554" s="1" t="s">
        <v>2934</v>
      </c>
      <c r="P554">
        <v>30</v>
      </c>
      <c r="Q554">
        <v>30</v>
      </c>
      <c r="R554">
        <v>0</v>
      </c>
      <c r="S554">
        <f t="shared" si="80"/>
        <v>30</v>
      </c>
      <c r="T554" s="1" t="s">
        <v>2935</v>
      </c>
      <c r="U554" s="1" t="s">
        <v>2932</v>
      </c>
      <c r="V554" s="3">
        <f t="shared" si="81"/>
        <v>40000</v>
      </c>
      <c r="W554" s="3">
        <f t="shared" si="82"/>
        <v>16000</v>
      </c>
      <c r="X554" s="3">
        <f t="shared" si="74"/>
        <v>1250</v>
      </c>
      <c r="Y554" s="3">
        <f t="shared" si="75"/>
        <v>1600</v>
      </c>
      <c r="Z554" s="3">
        <f t="shared" si="76"/>
        <v>1800</v>
      </c>
      <c r="AA554" s="3">
        <v>0</v>
      </c>
      <c r="AB554" s="3">
        <f>ROUND(U554 - (V554+W554+X554+Y554) - (U554/Q554 * 2),0)</f>
        <v>34483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f>SUM(V554+W554+X554+Y554+AB554)</f>
        <v>93333</v>
      </c>
      <c r="AK554" s="3">
        <f>SUM(AJ554-AA554)</f>
        <v>93333</v>
      </c>
      <c r="AL554" s="3">
        <f>IF(V554&lt;=15000,V554*12%,1800)</f>
        <v>1800</v>
      </c>
      <c r="AM554" s="3">
        <v>0</v>
      </c>
      <c r="AN554" s="3">
        <f t="shared" si="77"/>
        <v>1800</v>
      </c>
      <c r="AO554" s="12">
        <v>200</v>
      </c>
      <c r="AP554" s="12">
        <v>0</v>
      </c>
      <c r="AQ554" s="12">
        <v>0</v>
      </c>
      <c r="AR554" s="12">
        <v>0</v>
      </c>
      <c r="AS554" s="12">
        <v>0</v>
      </c>
      <c r="AT554" s="12">
        <v>0</v>
      </c>
      <c r="AU554" s="3">
        <f t="shared" si="79"/>
        <v>200</v>
      </c>
      <c r="AV554" s="3">
        <f>SUM(AJ554 - AN554 - AU554)</f>
        <v>91333</v>
      </c>
      <c r="AW554" s="11">
        <v>0</v>
      </c>
      <c r="AX554" s="11">
        <v>0</v>
      </c>
      <c r="AY554" s="11">
        <v>0</v>
      </c>
      <c r="AZ554" s="11">
        <v>0</v>
      </c>
      <c r="BA554" s="3">
        <f t="shared" si="78"/>
        <v>91333</v>
      </c>
    </row>
    <row r="555" spans="1:53" x14ac:dyDescent="0.25">
      <c r="A555" s="1" t="s">
        <v>553</v>
      </c>
      <c r="B555" s="9" t="s">
        <v>2099</v>
      </c>
      <c r="C555" s="9" t="s">
        <v>1063</v>
      </c>
      <c r="D555" s="9" t="s">
        <v>2100</v>
      </c>
      <c r="E555" s="9" t="s">
        <v>1012</v>
      </c>
      <c r="F555" s="10">
        <v>44627</v>
      </c>
      <c r="G555" s="9" t="s">
        <v>1013</v>
      </c>
      <c r="I555" s="9" t="s">
        <v>1014</v>
      </c>
      <c r="J555" s="9" t="s">
        <v>1015</v>
      </c>
      <c r="K555" s="8" t="s">
        <v>1006</v>
      </c>
      <c r="L555" s="8" t="s">
        <v>1007</v>
      </c>
      <c r="M555" s="8" t="s">
        <v>2933</v>
      </c>
      <c r="N555" s="8" t="s">
        <v>2937</v>
      </c>
      <c r="O555" s="1" t="s">
        <v>2934</v>
      </c>
      <c r="P555">
        <v>30</v>
      </c>
      <c r="Q555">
        <v>30</v>
      </c>
      <c r="R555">
        <v>0</v>
      </c>
      <c r="S555">
        <f t="shared" si="80"/>
        <v>30</v>
      </c>
      <c r="T555" s="1" t="s">
        <v>2935</v>
      </c>
      <c r="U555" s="1" t="s">
        <v>2932</v>
      </c>
      <c r="V555" s="3">
        <f t="shared" si="81"/>
        <v>40000</v>
      </c>
      <c r="W555" s="3">
        <f t="shared" si="82"/>
        <v>16000</v>
      </c>
      <c r="X555" s="3">
        <f t="shared" si="74"/>
        <v>1250</v>
      </c>
      <c r="Y555" s="3">
        <f t="shared" si="75"/>
        <v>1600</v>
      </c>
      <c r="Z555" s="3">
        <f t="shared" si="76"/>
        <v>1800</v>
      </c>
      <c r="AA555" s="3">
        <v>0</v>
      </c>
      <c r="AB555" s="3">
        <f>ROUND(U555 - (V555+W555+X555+Y555) - (U555/Q555 * 2),0)</f>
        <v>34483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f>SUM(V555+W555+X555+Y555+AB555)</f>
        <v>93333</v>
      </c>
      <c r="AK555" s="3">
        <f>SUM(AJ555-AA555)</f>
        <v>93333</v>
      </c>
      <c r="AL555" s="3">
        <f>IF(V555&lt;=15000,V555*12%,1800)</f>
        <v>1800</v>
      </c>
      <c r="AM555" s="3">
        <v>0</v>
      </c>
      <c r="AN555" s="3">
        <f t="shared" si="77"/>
        <v>1800</v>
      </c>
      <c r="AO555" s="12">
        <v>200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3">
        <f t="shared" si="79"/>
        <v>200</v>
      </c>
      <c r="AV555" s="3">
        <f>SUM(AJ555 - AN555 - AU555)</f>
        <v>91333</v>
      </c>
      <c r="AW555" s="11">
        <v>0</v>
      </c>
      <c r="AX555" s="11">
        <v>0</v>
      </c>
      <c r="AY555" s="11">
        <v>0</v>
      </c>
      <c r="AZ555" s="11">
        <v>0</v>
      </c>
      <c r="BA555" s="3">
        <f t="shared" si="78"/>
        <v>91333</v>
      </c>
    </row>
    <row r="556" spans="1:53" x14ac:dyDescent="0.25">
      <c r="A556" s="1" t="s">
        <v>554</v>
      </c>
      <c r="B556" s="9" t="s">
        <v>1099</v>
      </c>
      <c r="C556" s="9" t="s">
        <v>1063</v>
      </c>
      <c r="D556" s="9" t="s">
        <v>2098</v>
      </c>
      <c r="E556" s="9" t="s">
        <v>1012</v>
      </c>
      <c r="F556" s="10">
        <v>44627</v>
      </c>
      <c r="G556" s="9" t="s">
        <v>1013</v>
      </c>
      <c r="I556" s="9" t="s">
        <v>1014</v>
      </c>
      <c r="J556" s="9" t="s">
        <v>1015</v>
      </c>
      <c r="K556" s="8" t="s">
        <v>1006</v>
      </c>
      <c r="L556" s="8" t="s">
        <v>1007</v>
      </c>
      <c r="M556" s="8" t="s">
        <v>2933</v>
      </c>
      <c r="N556" s="8" t="s">
        <v>2937</v>
      </c>
      <c r="O556" s="1" t="s">
        <v>2934</v>
      </c>
      <c r="P556">
        <v>30</v>
      </c>
      <c r="Q556">
        <v>30</v>
      </c>
      <c r="R556">
        <v>0</v>
      </c>
      <c r="S556">
        <f t="shared" si="80"/>
        <v>30</v>
      </c>
      <c r="T556" s="1" t="s">
        <v>2935</v>
      </c>
      <c r="U556" s="1" t="s">
        <v>2932</v>
      </c>
      <c r="V556" s="3">
        <f t="shared" si="81"/>
        <v>40000</v>
      </c>
      <c r="W556" s="3">
        <f t="shared" si="82"/>
        <v>16000</v>
      </c>
      <c r="X556" s="3">
        <f t="shared" si="74"/>
        <v>1250</v>
      </c>
      <c r="Y556" s="3">
        <f t="shared" si="75"/>
        <v>1600</v>
      </c>
      <c r="Z556" s="3">
        <f t="shared" si="76"/>
        <v>1800</v>
      </c>
      <c r="AA556" s="3">
        <v>0</v>
      </c>
      <c r="AB556" s="3">
        <f>ROUND(U556 - (V556+W556+X556+Y556) - (U556/Q556 * 2),0)</f>
        <v>34483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f>SUM(V556+W556+X556+Y556+AB556)</f>
        <v>93333</v>
      </c>
      <c r="AK556" s="3">
        <f>SUM(AJ556-AA556)</f>
        <v>93333</v>
      </c>
      <c r="AL556" s="3">
        <f>IF(V556&lt;=15000,V556*12%,1800)</f>
        <v>1800</v>
      </c>
      <c r="AM556" s="3">
        <v>0</v>
      </c>
      <c r="AN556" s="3">
        <f t="shared" si="77"/>
        <v>1800</v>
      </c>
      <c r="AO556" s="12">
        <v>200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3">
        <f t="shared" si="79"/>
        <v>200</v>
      </c>
      <c r="AV556" s="3">
        <f>SUM(AJ556 - AN556 - AU556)</f>
        <v>91333</v>
      </c>
      <c r="AW556" s="11">
        <v>0</v>
      </c>
      <c r="AX556" s="11">
        <v>0</v>
      </c>
      <c r="AY556" s="11">
        <v>0</v>
      </c>
      <c r="AZ556" s="11">
        <v>0</v>
      </c>
      <c r="BA556" s="3">
        <f t="shared" si="78"/>
        <v>91333</v>
      </c>
    </row>
    <row r="557" spans="1:53" x14ac:dyDescent="0.25">
      <c r="A557" s="1" t="s">
        <v>555</v>
      </c>
      <c r="B557" s="9" t="s">
        <v>2096</v>
      </c>
      <c r="C557" s="9" t="s">
        <v>1063</v>
      </c>
      <c r="D557" s="9" t="s">
        <v>2097</v>
      </c>
      <c r="E557" s="9" t="s">
        <v>1012</v>
      </c>
      <c r="F557" s="10">
        <v>44627</v>
      </c>
      <c r="G557" s="9" t="s">
        <v>1013</v>
      </c>
      <c r="I557" s="9" t="s">
        <v>1014</v>
      </c>
      <c r="J557" s="9" t="s">
        <v>1015</v>
      </c>
      <c r="K557" s="8" t="s">
        <v>1006</v>
      </c>
      <c r="L557" s="8" t="s">
        <v>1007</v>
      </c>
      <c r="M557" s="8" t="s">
        <v>2933</v>
      </c>
      <c r="N557" s="8" t="s">
        <v>2937</v>
      </c>
      <c r="O557" s="1" t="s">
        <v>2934</v>
      </c>
      <c r="P557">
        <v>30</v>
      </c>
      <c r="Q557">
        <v>30</v>
      </c>
      <c r="R557">
        <v>0</v>
      </c>
      <c r="S557">
        <f t="shared" si="80"/>
        <v>30</v>
      </c>
      <c r="T557" s="1" t="s">
        <v>2935</v>
      </c>
      <c r="U557" s="1" t="s">
        <v>2932</v>
      </c>
      <c r="V557" s="3">
        <f t="shared" si="81"/>
        <v>40000</v>
      </c>
      <c r="W557" s="3">
        <f t="shared" si="82"/>
        <v>16000</v>
      </c>
      <c r="X557" s="3">
        <f t="shared" si="74"/>
        <v>1250</v>
      </c>
      <c r="Y557" s="3">
        <f t="shared" si="75"/>
        <v>1600</v>
      </c>
      <c r="Z557" s="3">
        <f t="shared" si="76"/>
        <v>1800</v>
      </c>
      <c r="AA557" s="3">
        <v>0</v>
      </c>
      <c r="AB557" s="3">
        <f>ROUND(U557 - (V557+W557+X557+Y557) - (U557/Q557 * 2),0)</f>
        <v>34483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f>SUM(V557+W557+X557+Y557+AB557)</f>
        <v>93333</v>
      </c>
      <c r="AK557" s="3">
        <f>SUM(AJ557-AA557)</f>
        <v>93333</v>
      </c>
      <c r="AL557" s="3">
        <f>IF(V557&lt;=15000,V557*12%,1800)</f>
        <v>1800</v>
      </c>
      <c r="AM557" s="3">
        <v>0</v>
      </c>
      <c r="AN557" s="3">
        <f t="shared" si="77"/>
        <v>1800</v>
      </c>
      <c r="AO557" s="12">
        <v>200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3">
        <f t="shared" si="79"/>
        <v>200</v>
      </c>
      <c r="AV557" s="3">
        <f>SUM(AJ557 - AN557 - AU557)</f>
        <v>91333</v>
      </c>
      <c r="AW557" s="11">
        <v>0</v>
      </c>
      <c r="AX557" s="11">
        <v>0</v>
      </c>
      <c r="AY557" s="11">
        <v>0</v>
      </c>
      <c r="AZ557" s="11">
        <v>0</v>
      </c>
      <c r="BA557" s="3">
        <f t="shared" si="78"/>
        <v>91333</v>
      </c>
    </row>
    <row r="558" spans="1:53" x14ac:dyDescent="0.25">
      <c r="A558" s="1" t="s">
        <v>556</v>
      </c>
      <c r="B558" s="9" t="s">
        <v>1077</v>
      </c>
      <c r="C558" s="9" t="s">
        <v>1063</v>
      </c>
      <c r="D558" s="9" t="s">
        <v>2095</v>
      </c>
      <c r="E558" s="9" t="s">
        <v>1012</v>
      </c>
      <c r="F558" s="10">
        <v>44627</v>
      </c>
      <c r="G558" s="9" t="s">
        <v>1019</v>
      </c>
      <c r="I558" s="9" t="s">
        <v>1014</v>
      </c>
      <c r="J558" s="9" t="s">
        <v>1015</v>
      </c>
      <c r="K558" s="8" t="s">
        <v>1006</v>
      </c>
      <c r="L558" s="8" t="s">
        <v>1007</v>
      </c>
      <c r="M558" s="8" t="s">
        <v>2933</v>
      </c>
      <c r="N558" s="8" t="s">
        <v>2937</v>
      </c>
      <c r="O558" s="1" t="s">
        <v>2934</v>
      </c>
      <c r="P558">
        <v>30</v>
      </c>
      <c r="Q558">
        <v>30</v>
      </c>
      <c r="R558">
        <v>0</v>
      </c>
      <c r="S558">
        <f t="shared" si="80"/>
        <v>30</v>
      </c>
      <c r="T558" s="1" t="s">
        <v>2935</v>
      </c>
      <c r="U558" s="1" t="s">
        <v>2932</v>
      </c>
      <c r="V558" s="3">
        <f t="shared" si="81"/>
        <v>40000</v>
      </c>
      <c r="W558" s="3">
        <f t="shared" si="82"/>
        <v>16000</v>
      </c>
      <c r="X558" s="3">
        <f t="shared" si="74"/>
        <v>1250</v>
      </c>
      <c r="Y558" s="3">
        <f t="shared" si="75"/>
        <v>1600</v>
      </c>
      <c r="Z558" s="3">
        <f t="shared" si="76"/>
        <v>1800</v>
      </c>
      <c r="AA558" s="3">
        <v>0</v>
      </c>
      <c r="AB558" s="3">
        <f>ROUND(U558 - (V558+W558+X558+Y558) - (U558/Q558 * 2),0)</f>
        <v>34483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f>SUM(V558+W558+X558+Y558+AB558)</f>
        <v>93333</v>
      </c>
      <c r="AK558" s="3">
        <f>SUM(AJ558-AA558)</f>
        <v>93333</v>
      </c>
      <c r="AL558" s="3">
        <f>IF(V558&lt;=15000,V558*12%,1800)</f>
        <v>1800</v>
      </c>
      <c r="AM558" s="3">
        <v>0</v>
      </c>
      <c r="AN558" s="3">
        <f t="shared" si="77"/>
        <v>1800</v>
      </c>
      <c r="AO558" s="12">
        <v>200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3">
        <f t="shared" si="79"/>
        <v>200</v>
      </c>
      <c r="AV558" s="3">
        <f>SUM(AJ558 - AN558 - AU558)</f>
        <v>91333</v>
      </c>
      <c r="AW558" s="11">
        <v>0</v>
      </c>
      <c r="AX558" s="11">
        <v>0</v>
      </c>
      <c r="AY558" s="11">
        <v>0</v>
      </c>
      <c r="AZ558" s="11">
        <v>0</v>
      </c>
      <c r="BA558" s="3">
        <f t="shared" si="78"/>
        <v>91333</v>
      </c>
    </row>
    <row r="559" spans="1:53" x14ac:dyDescent="0.25">
      <c r="A559" s="1" t="s">
        <v>557</v>
      </c>
      <c r="B559" s="9" t="s">
        <v>1518</v>
      </c>
      <c r="C559" s="9" t="s">
        <v>1320</v>
      </c>
      <c r="D559" s="9" t="s">
        <v>2150</v>
      </c>
      <c r="E559" s="9" t="s">
        <v>1008</v>
      </c>
      <c r="F559" s="10">
        <v>44627</v>
      </c>
      <c r="G559" s="9" t="s">
        <v>1013</v>
      </c>
      <c r="I559" s="9" t="s">
        <v>1014</v>
      </c>
      <c r="J559" s="9" t="s">
        <v>1015</v>
      </c>
      <c r="K559" s="8" t="s">
        <v>1006</v>
      </c>
      <c r="L559" s="8" t="s">
        <v>1007</v>
      </c>
      <c r="M559" s="8" t="s">
        <v>2933</v>
      </c>
      <c r="N559" s="8" t="s">
        <v>2937</v>
      </c>
      <c r="O559" s="1" t="s">
        <v>2934</v>
      </c>
      <c r="P559">
        <v>30</v>
      </c>
      <c r="Q559">
        <v>30</v>
      </c>
      <c r="R559">
        <v>0</v>
      </c>
      <c r="S559">
        <f t="shared" si="80"/>
        <v>30</v>
      </c>
      <c r="T559" s="1" t="s">
        <v>2935</v>
      </c>
      <c r="U559" s="1" t="s">
        <v>2932</v>
      </c>
      <c r="V559" s="3">
        <f t="shared" si="81"/>
        <v>40000</v>
      </c>
      <c r="W559" s="3">
        <f t="shared" si="82"/>
        <v>16000</v>
      </c>
      <c r="X559" s="3">
        <f t="shared" si="74"/>
        <v>1250</v>
      </c>
      <c r="Y559" s="3">
        <f t="shared" si="75"/>
        <v>1600</v>
      </c>
      <c r="Z559" s="3">
        <f t="shared" si="76"/>
        <v>1800</v>
      </c>
      <c r="AA559" s="3">
        <v>0</v>
      </c>
      <c r="AB559" s="3">
        <f>ROUND(U559 - (V559+W559+X559+Y559) - (U559/Q559 * 2),0)</f>
        <v>34483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f>SUM(V559+W559+X559+Y559+AB559)</f>
        <v>93333</v>
      </c>
      <c r="AK559" s="3">
        <f>SUM(AJ559-AA559)</f>
        <v>93333</v>
      </c>
      <c r="AL559" s="3">
        <f>IF(V559&lt;=15000,V559*12%,1800)</f>
        <v>1800</v>
      </c>
      <c r="AM559" s="3">
        <v>0</v>
      </c>
      <c r="AN559" s="3">
        <f t="shared" si="77"/>
        <v>1800</v>
      </c>
      <c r="AO559" s="12">
        <v>200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3">
        <f t="shared" si="79"/>
        <v>200</v>
      </c>
      <c r="AV559" s="3">
        <f>SUM(AJ559 - AN559 - AU559)</f>
        <v>91333</v>
      </c>
      <c r="AW559" s="11">
        <v>0</v>
      </c>
      <c r="AX559" s="11">
        <v>0</v>
      </c>
      <c r="AY559" s="11">
        <v>0</v>
      </c>
      <c r="AZ559" s="11">
        <v>0</v>
      </c>
      <c r="BA559" s="3">
        <f t="shared" si="78"/>
        <v>91333</v>
      </c>
    </row>
    <row r="560" spans="1:53" x14ac:dyDescent="0.25">
      <c r="A560" s="1" t="s">
        <v>558</v>
      </c>
      <c r="B560" s="9" t="s">
        <v>2148</v>
      </c>
      <c r="C560" s="9" t="s">
        <v>1026</v>
      </c>
      <c r="D560" s="9" t="s">
        <v>2149</v>
      </c>
      <c r="E560" s="9" t="s">
        <v>1008</v>
      </c>
      <c r="F560" s="10">
        <v>44627</v>
      </c>
      <c r="G560" s="9" t="s">
        <v>1019</v>
      </c>
      <c r="I560" s="9" t="s">
        <v>1014</v>
      </c>
      <c r="J560" s="9" t="s">
        <v>1015</v>
      </c>
      <c r="K560" s="8" t="s">
        <v>1006</v>
      </c>
      <c r="L560" s="8" t="s">
        <v>1007</v>
      </c>
      <c r="M560" s="8" t="s">
        <v>2933</v>
      </c>
      <c r="N560" s="8" t="s">
        <v>2937</v>
      </c>
      <c r="O560" s="1" t="s">
        <v>2934</v>
      </c>
      <c r="P560">
        <v>30</v>
      </c>
      <c r="Q560">
        <v>30</v>
      </c>
      <c r="R560">
        <v>0</v>
      </c>
      <c r="S560">
        <f t="shared" si="80"/>
        <v>30</v>
      </c>
      <c r="T560" s="1" t="s">
        <v>2935</v>
      </c>
      <c r="U560" s="1" t="s">
        <v>2932</v>
      </c>
      <c r="V560" s="3">
        <f t="shared" si="81"/>
        <v>40000</v>
      </c>
      <c r="W560" s="3">
        <f t="shared" si="82"/>
        <v>16000</v>
      </c>
      <c r="X560" s="3">
        <f t="shared" si="74"/>
        <v>1250</v>
      </c>
      <c r="Y560" s="3">
        <f t="shared" si="75"/>
        <v>1600</v>
      </c>
      <c r="Z560" s="3">
        <f t="shared" si="76"/>
        <v>1800</v>
      </c>
      <c r="AA560" s="3">
        <v>0</v>
      </c>
      <c r="AB560" s="3">
        <f>ROUND(U560 - (V560+W560+X560+Y560) - (U560/Q560 * 2),0)</f>
        <v>34483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f>SUM(V560+W560+X560+Y560+AB560)</f>
        <v>93333</v>
      </c>
      <c r="AK560" s="3">
        <f>SUM(AJ560-AA560)</f>
        <v>93333</v>
      </c>
      <c r="AL560" s="3">
        <f>IF(V560&lt;=15000,V560*12%,1800)</f>
        <v>1800</v>
      </c>
      <c r="AM560" s="3">
        <v>0</v>
      </c>
      <c r="AN560" s="3">
        <f t="shared" si="77"/>
        <v>1800</v>
      </c>
      <c r="AO560" s="12">
        <v>200</v>
      </c>
      <c r="AP560" s="12">
        <v>0</v>
      </c>
      <c r="AQ560" s="12">
        <v>0</v>
      </c>
      <c r="AR560" s="12">
        <v>0</v>
      </c>
      <c r="AS560" s="12">
        <v>0</v>
      </c>
      <c r="AT560" s="12">
        <v>0</v>
      </c>
      <c r="AU560" s="3">
        <f t="shared" si="79"/>
        <v>200</v>
      </c>
      <c r="AV560" s="3">
        <f>SUM(AJ560 - AN560 - AU560)</f>
        <v>91333</v>
      </c>
      <c r="AW560" s="11">
        <v>0</v>
      </c>
      <c r="AX560" s="11">
        <v>0</v>
      </c>
      <c r="AY560" s="11">
        <v>0</v>
      </c>
      <c r="AZ560" s="11">
        <v>0</v>
      </c>
      <c r="BA560" s="3">
        <f t="shared" si="78"/>
        <v>91333</v>
      </c>
    </row>
    <row r="561" spans="1:53" x14ac:dyDescent="0.25">
      <c r="A561" s="1" t="s">
        <v>559</v>
      </c>
      <c r="B561" s="9" t="s">
        <v>2146</v>
      </c>
      <c r="C561" s="9" t="s">
        <v>1063</v>
      </c>
      <c r="D561" s="9" t="s">
        <v>2147</v>
      </c>
      <c r="E561" s="9" t="s">
        <v>1012</v>
      </c>
      <c r="F561" s="10">
        <v>44627</v>
      </c>
      <c r="G561" s="9" t="s">
        <v>1019</v>
      </c>
      <c r="I561" s="9" t="s">
        <v>1014</v>
      </c>
      <c r="J561" s="9" t="s">
        <v>1015</v>
      </c>
      <c r="K561" s="8" t="s">
        <v>1006</v>
      </c>
      <c r="L561" s="8" t="s">
        <v>1007</v>
      </c>
      <c r="M561" s="8" t="s">
        <v>2933</v>
      </c>
      <c r="N561" s="8" t="s">
        <v>2937</v>
      </c>
      <c r="O561" s="1" t="s">
        <v>2934</v>
      </c>
      <c r="P561">
        <v>30</v>
      </c>
      <c r="Q561">
        <v>30</v>
      </c>
      <c r="R561">
        <v>0</v>
      </c>
      <c r="S561">
        <f t="shared" si="80"/>
        <v>30</v>
      </c>
      <c r="T561" s="1" t="s">
        <v>2935</v>
      </c>
      <c r="U561" s="1" t="s">
        <v>2932</v>
      </c>
      <c r="V561" s="3">
        <f t="shared" si="81"/>
        <v>40000</v>
      </c>
      <c r="W561" s="3">
        <f t="shared" si="82"/>
        <v>16000</v>
      </c>
      <c r="X561" s="3">
        <f t="shared" si="74"/>
        <v>1250</v>
      </c>
      <c r="Y561" s="3">
        <f t="shared" si="75"/>
        <v>1600</v>
      </c>
      <c r="Z561" s="3">
        <f t="shared" si="76"/>
        <v>1800</v>
      </c>
      <c r="AA561" s="3">
        <v>0</v>
      </c>
      <c r="AB561" s="3">
        <f>ROUND(U561 - (V561+W561+X561+Y561) - (U561/Q561 * 2),0)</f>
        <v>34483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f>SUM(V561+W561+X561+Y561+AB561)</f>
        <v>93333</v>
      </c>
      <c r="AK561" s="3">
        <f>SUM(AJ561-AA561)</f>
        <v>93333</v>
      </c>
      <c r="AL561" s="3">
        <f>IF(V561&lt;=15000,V561*12%,1800)</f>
        <v>1800</v>
      </c>
      <c r="AM561" s="3">
        <v>0</v>
      </c>
      <c r="AN561" s="3">
        <f t="shared" si="77"/>
        <v>1800</v>
      </c>
      <c r="AO561" s="12">
        <v>200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3">
        <f t="shared" si="79"/>
        <v>200</v>
      </c>
      <c r="AV561" s="3">
        <f>SUM(AJ561 - AN561 - AU561)</f>
        <v>91333</v>
      </c>
      <c r="AW561" s="11">
        <v>0</v>
      </c>
      <c r="AX561" s="11">
        <v>0</v>
      </c>
      <c r="AY561" s="11">
        <v>0</v>
      </c>
      <c r="AZ561" s="11">
        <v>0</v>
      </c>
      <c r="BA561" s="3">
        <f t="shared" si="78"/>
        <v>91333</v>
      </c>
    </row>
    <row r="562" spans="1:53" x14ac:dyDescent="0.25">
      <c r="A562" s="1" t="s">
        <v>560</v>
      </c>
      <c r="B562" s="9" t="s">
        <v>2144</v>
      </c>
      <c r="C562" s="9" t="s">
        <v>1029</v>
      </c>
      <c r="D562" s="9" t="s">
        <v>2145</v>
      </c>
      <c r="E562" s="9" t="s">
        <v>1012</v>
      </c>
      <c r="F562" s="10">
        <v>44641</v>
      </c>
      <c r="G562" s="9" t="s">
        <v>1019</v>
      </c>
      <c r="I562" s="9" t="s">
        <v>1014</v>
      </c>
      <c r="J562" s="9" t="s">
        <v>1031</v>
      </c>
      <c r="K562" s="8" t="s">
        <v>1006</v>
      </c>
      <c r="L562" s="8" t="s">
        <v>1007</v>
      </c>
      <c r="M562" s="8" t="s">
        <v>2933</v>
      </c>
      <c r="N562" s="8" t="s">
        <v>2937</v>
      </c>
      <c r="O562" s="1" t="s">
        <v>2934</v>
      </c>
      <c r="P562">
        <v>30</v>
      </c>
      <c r="Q562">
        <v>30</v>
      </c>
      <c r="R562">
        <v>0</v>
      </c>
      <c r="S562">
        <f t="shared" si="80"/>
        <v>30</v>
      </c>
      <c r="T562" s="1" t="s">
        <v>2935</v>
      </c>
      <c r="U562" s="1" t="s">
        <v>2932</v>
      </c>
      <c r="V562" s="3">
        <f t="shared" si="81"/>
        <v>40000</v>
      </c>
      <c r="W562" s="3">
        <f t="shared" si="82"/>
        <v>16000</v>
      </c>
      <c r="X562" s="3">
        <f t="shared" si="74"/>
        <v>1250</v>
      </c>
      <c r="Y562" s="3">
        <f t="shared" si="75"/>
        <v>1600</v>
      </c>
      <c r="Z562" s="3">
        <f t="shared" si="76"/>
        <v>1800</v>
      </c>
      <c r="AA562" s="3">
        <v>0</v>
      </c>
      <c r="AB562" s="3">
        <f>ROUND(U562 - (V562+W562+X562+Y562) - (U562/Q562 * 2),0)</f>
        <v>34483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f>SUM(V562+W562+X562+Y562+AB562)</f>
        <v>93333</v>
      </c>
      <c r="AK562" s="3">
        <f>SUM(AJ562-AA562)</f>
        <v>93333</v>
      </c>
      <c r="AL562" s="3">
        <f>IF(V562&lt;=15000,V562*12%,1800)</f>
        <v>1800</v>
      </c>
      <c r="AM562" s="3">
        <v>0</v>
      </c>
      <c r="AN562" s="3">
        <f t="shared" si="77"/>
        <v>1800</v>
      </c>
      <c r="AO562" s="12">
        <v>200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3">
        <f t="shared" si="79"/>
        <v>200</v>
      </c>
      <c r="AV562" s="3">
        <f>SUM(AJ562 - AN562 - AU562)</f>
        <v>91333</v>
      </c>
      <c r="AW562" s="11">
        <v>0</v>
      </c>
      <c r="AX562" s="11">
        <v>0</v>
      </c>
      <c r="AY562" s="11">
        <v>0</v>
      </c>
      <c r="AZ562" s="11">
        <v>0</v>
      </c>
      <c r="BA562" s="3">
        <f t="shared" si="78"/>
        <v>91333</v>
      </c>
    </row>
    <row r="563" spans="1:53" x14ac:dyDescent="0.25">
      <c r="A563" s="1" t="s">
        <v>561</v>
      </c>
      <c r="B563" s="9" t="s">
        <v>2142</v>
      </c>
      <c r="C563" s="9" t="s">
        <v>1115</v>
      </c>
      <c r="D563" s="9" t="s">
        <v>2143</v>
      </c>
      <c r="E563" s="9" t="s">
        <v>1012</v>
      </c>
      <c r="F563" s="10">
        <v>44704</v>
      </c>
      <c r="G563" s="9" t="s">
        <v>1019</v>
      </c>
      <c r="I563" s="9" t="s">
        <v>1035</v>
      </c>
      <c r="J563" s="9" t="s">
        <v>1048</v>
      </c>
      <c r="K563" s="8" t="s">
        <v>1006</v>
      </c>
      <c r="L563" s="8" t="s">
        <v>1007</v>
      </c>
      <c r="M563" s="8" t="s">
        <v>2933</v>
      </c>
      <c r="N563" s="8" t="s">
        <v>2937</v>
      </c>
      <c r="O563" s="1" t="s">
        <v>2934</v>
      </c>
      <c r="P563">
        <v>30</v>
      </c>
      <c r="Q563">
        <v>30</v>
      </c>
      <c r="R563">
        <v>0</v>
      </c>
      <c r="S563">
        <f t="shared" si="80"/>
        <v>30</v>
      </c>
      <c r="T563" s="1" t="s">
        <v>2935</v>
      </c>
      <c r="U563" s="1" t="s">
        <v>2932</v>
      </c>
      <c r="V563" s="3">
        <f t="shared" si="81"/>
        <v>40000</v>
      </c>
      <c r="W563" s="3">
        <f t="shared" si="82"/>
        <v>16000</v>
      </c>
      <c r="X563" s="3">
        <f t="shared" si="74"/>
        <v>1250</v>
      </c>
      <c r="Y563" s="3">
        <f t="shared" si="75"/>
        <v>1600</v>
      </c>
      <c r="Z563" s="3">
        <f t="shared" si="76"/>
        <v>1800</v>
      </c>
      <c r="AA563" s="3">
        <v>0</v>
      </c>
      <c r="AB563" s="3">
        <f>ROUND(U563 - (V563+W563+X563+Y563) - (U563/Q563 * 2),0)</f>
        <v>34483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f>SUM(V563+W563+X563+Y563+AB563)</f>
        <v>93333</v>
      </c>
      <c r="AK563" s="3">
        <f>SUM(AJ563-AA563)</f>
        <v>93333</v>
      </c>
      <c r="AL563" s="3">
        <f>IF(V563&lt;=15000,V563*12%,1800)</f>
        <v>1800</v>
      </c>
      <c r="AM563" s="3">
        <v>0</v>
      </c>
      <c r="AN563" s="3">
        <f t="shared" si="77"/>
        <v>1800</v>
      </c>
      <c r="AO563" s="12">
        <v>200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3">
        <f t="shared" si="79"/>
        <v>200</v>
      </c>
      <c r="AV563" s="3">
        <f>SUM(AJ563 - AN563 - AU563)</f>
        <v>91333</v>
      </c>
      <c r="AW563" s="11">
        <v>0</v>
      </c>
      <c r="AX563" s="11">
        <v>0</v>
      </c>
      <c r="AY563" s="11">
        <v>0</v>
      </c>
      <c r="AZ563" s="11">
        <v>0</v>
      </c>
      <c r="BA563" s="3">
        <f t="shared" si="78"/>
        <v>91333</v>
      </c>
    </row>
    <row r="564" spans="1:53" x14ac:dyDescent="0.25">
      <c r="A564" s="1" t="s">
        <v>562</v>
      </c>
      <c r="B564" s="9" t="s">
        <v>2140</v>
      </c>
      <c r="C564" s="9" t="s">
        <v>1010</v>
      </c>
      <c r="D564" s="9" t="s">
        <v>2141</v>
      </c>
      <c r="E564" s="9" t="s">
        <v>1012</v>
      </c>
      <c r="F564" s="10">
        <v>44629</v>
      </c>
      <c r="G564" s="9" t="s">
        <v>1019</v>
      </c>
      <c r="I564" s="9" t="s">
        <v>1014</v>
      </c>
      <c r="J564" s="9" t="s">
        <v>1015</v>
      </c>
      <c r="K564" s="8" t="s">
        <v>1006</v>
      </c>
      <c r="L564" s="8" t="s">
        <v>1007</v>
      </c>
      <c r="M564" s="8" t="s">
        <v>2933</v>
      </c>
      <c r="N564" s="8" t="s">
        <v>2937</v>
      </c>
      <c r="O564" s="1" t="s">
        <v>2934</v>
      </c>
      <c r="P564">
        <v>30</v>
      </c>
      <c r="Q564">
        <v>30</v>
      </c>
      <c r="R564">
        <v>0</v>
      </c>
      <c r="S564">
        <f t="shared" si="80"/>
        <v>30</v>
      </c>
      <c r="T564" s="1" t="s">
        <v>2935</v>
      </c>
      <c r="U564" s="1" t="s">
        <v>2932</v>
      </c>
      <c r="V564" s="3">
        <f t="shared" si="81"/>
        <v>40000</v>
      </c>
      <c r="W564" s="3">
        <f t="shared" si="82"/>
        <v>16000</v>
      </c>
      <c r="X564" s="3">
        <f t="shared" si="74"/>
        <v>1250</v>
      </c>
      <c r="Y564" s="3">
        <f t="shared" si="75"/>
        <v>1600</v>
      </c>
      <c r="Z564" s="3">
        <f t="shared" si="76"/>
        <v>1800</v>
      </c>
      <c r="AA564" s="3">
        <v>0</v>
      </c>
      <c r="AB564" s="3">
        <f>ROUND(U564 - (V564+W564+X564+Y564) - (U564/Q564 * 2),0)</f>
        <v>34483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f>SUM(V564+W564+X564+Y564+AB564)</f>
        <v>93333</v>
      </c>
      <c r="AK564" s="3">
        <f>SUM(AJ564-AA564)</f>
        <v>93333</v>
      </c>
      <c r="AL564" s="3">
        <f>IF(V564&lt;=15000,V564*12%,1800)</f>
        <v>1800</v>
      </c>
      <c r="AM564" s="3">
        <v>0</v>
      </c>
      <c r="AN564" s="3">
        <f t="shared" si="77"/>
        <v>1800</v>
      </c>
      <c r="AO564" s="12">
        <v>200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3">
        <f t="shared" si="79"/>
        <v>200</v>
      </c>
      <c r="AV564" s="3">
        <f>SUM(AJ564 - AN564 - AU564)</f>
        <v>91333</v>
      </c>
      <c r="AW564" s="11">
        <v>0</v>
      </c>
      <c r="AX564" s="11">
        <v>0</v>
      </c>
      <c r="AY564" s="11">
        <v>0</v>
      </c>
      <c r="AZ564" s="11">
        <v>0</v>
      </c>
      <c r="BA564" s="3">
        <f t="shared" si="78"/>
        <v>91333</v>
      </c>
    </row>
    <row r="565" spans="1:53" x14ac:dyDescent="0.25">
      <c r="A565" s="1" t="s">
        <v>563</v>
      </c>
      <c r="B565" s="9" t="s">
        <v>2138</v>
      </c>
      <c r="C565" s="9" t="s">
        <v>1010</v>
      </c>
      <c r="D565" s="9" t="s">
        <v>2139</v>
      </c>
      <c r="E565" s="9" t="s">
        <v>1012</v>
      </c>
      <c r="F565" s="10">
        <v>44634</v>
      </c>
      <c r="G565" s="9" t="s">
        <v>1019</v>
      </c>
      <c r="I565" s="9" t="s">
        <v>1014</v>
      </c>
      <c r="J565" s="9" t="s">
        <v>1015</v>
      </c>
      <c r="K565" s="8" t="s">
        <v>1006</v>
      </c>
      <c r="L565" s="8" t="s">
        <v>1007</v>
      </c>
      <c r="M565" s="8" t="s">
        <v>2933</v>
      </c>
      <c r="N565" s="8" t="s">
        <v>2937</v>
      </c>
      <c r="O565" s="1" t="s">
        <v>2934</v>
      </c>
      <c r="P565">
        <v>30</v>
      </c>
      <c r="Q565">
        <v>30</v>
      </c>
      <c r="R565">
        <v>0</v>
      </c>
      <c r="S565">
        <f t="shared" si="80"/>
        <v>30</v>
      </c>
      <c r="T565" s="1" t="s">
        <v>2935</v>
      </c>
      <c r="U565" s="1" t="s">
        <v>2932</v>
      </c>
      <c r="V565" s="3">
        <f t="shared" si="81"/>
        <v>40000</v>
      </c>
      <c r="W565" s="3">
        <f t="shared" si="82"/>
        <v>16000</v>
      </c>
      <c r="X565" s="3">
        <f t="shared" si="74"/>
        <v>1250</v>
      </c>
      <c r="Y565" s="3">
        <f t="shared" si="75"/>
        <v>1600</v>
      </c>
      <c r="Z565" s="3">
        <f t="shared" si="76"/>
        <v>1800</v>
      </c>
      <c r="AA565" s="3">
        <v>0</v>
      </c>
      <c r="AB565" s="3">
        <f>ROUND(U565 - (V565+W565+X565+Y565) - (U565/Q565 * 2),0)</f>
        <v>34483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f>SUM(V565+W565+X565+Y565+AB565)</f>
        <v>93333</v>
      </c>
      <c r="AK565" s="3">
        <f>SUM(AJ565-AA565)</f>
        <v>93333</v>
      </c>
      <c r="AL565" s="3">
        <f>IF(V565&lt;=15000,V565*12%,1800)</f>
        <v>1800</v>
      </c>
      <c r="AM565" s="3">
        <v>0</v>
      </c>
      <c r="AN565" s="3">
        <f t="shared" si="77"/>
        <v>1800</v>
      </c>
      <c r="AO565" s="12">
        <v>200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3">
        <f t="shared" si="79"/>
        <v>200</v>
      </c>
      <c r="AV565" s="3">
        <f>SUM(AJ565 - AN565 - AU565)</f>
        <v>91333</v>
      </c>
      <c r="AW565" s="11">
        <v>0</v>
      </c>
      <c r="AX565" s="11">
        <v>0</v>
      </c>
      <c r="AY565" s="11">
        <v>0</v>
      </c>
      <c r="AZ565" s="11">
        <v>0</v>
      </c>
      <c r="BA565" s="3">
        <f t="shared" si="78"/>
        <v>91333</v>
      </c>
    </row>
    <row r="566" spans="1:53" x14ac:dyDescent="0.25">
      <c r="A566" s="1" t="s">
        <v>564</v>
      </c>
      <c r="B566" s="9" t="s">
        <v>2136</v>
      </c>
      <c r="C566" s="9" t="s">
        <v>1010</v>
      </c>
      <c r="D566" s="9" t="s">
        <v>2137</v>
      </c>
      <c r="E566" s="9" t="s">
        <v>1012</v>
      </c>
      <c r="F566" s="10">
        <v>44634</v>
      </c>
      <c r="G566" s="9" t="s">
        <v>1013</v>
      </c>
      <c r="I566" s="9" t="s">
        <v>1014</v>
      </c>
      <c r="J566" s="9" t="s">
        <v>1015</v>
      </c>
      <c r="K566" s="8" t="s">
        <v>1006</v>
      </c>
      <c r="L566" s="8" t="s">
        <v>1007</v>
      </c>
      <c r="M566" s="8" t="s">
        <v>2933</v>
      </c>
      <c r="N566" s="8" t="s">
        <v>2937</v>
      </c>
      <c r="O566" s="1" t="s">
        <v>2934</v>
      </c>
      <c r="P566">
        <v>30</v>
      </c>
      <c r="Q566">
        <v>30</v>
      </c>
      <c r="R566">
        <v>0</v>
      </c>
      <c r="S566">
        <f t="shared" si="80"/>
        <v>30</v>
      </c>
      <c r="T566" s="1" t="s">
        <v>2935</v>
      </c>
      <c r="U566" s="1" t="s">
        <v>2932</v>
      </c>
      <c r="V566" s="3">
        <f t="shared" si="81"/>
        <v>40000</v>
      </c>
      <c r="W566" s="3">
        <f t="shared" si="82"/>
        <v>16000</v>
      </c>
      <c r="X566" s="3">
        <f t="shared" si="74"/>
        <v>1250</v>
      </c>
      <c r="Y566" s="3">
        <f t="shared" si="75"/>
        <v>1600</v>
      </c>
      <c r="Z566" s="3">
        <f t="shared" si="76"/>
        <v>1800</v>
      </c>
      <c r="AA566" s="3">
        <v>0</v>
      </c>
      <c r="AB566" s="3">
        <f>ROUND(U566 - (V566+W566+X566+Y566) - (U566/Q566 * 2),0)</f>
        <v>34483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f>SUM(V566+W566+X566+Y566+AB566)</f>
        <v>93333</v>
      </c>
      <c r="AK566" s="3">
        <f>SUM(AJ566-AA566)</f>
        <v>93333</v>
      </c>
      <c r="AL566" s="3">
        <f>IF(V566&lt;=15000,V566*12%,1800)</f>
        <v>1800</v>
      </c>
      <c r="AM566" s="3">
        <v>0</v>
      </c>
      <c r="AN566" s="3">
        <f t="shared" si="77"/>
        <v>1800</v>
      </c>
      <c r="AO566" s="12">
        <v>200</v>
      </c>
      <c r="AP566" s="12">
        <v>0</v>
      </c>
      <c r="AQ566" s="12">
        <v>0</v>
      </c>
      <c r="AR566" s="12">
        <v>0</v>
      </c>
      <c r="AS566" s="12">
        <v>0</v>
      </c>
      <c r="AT566" s="12">
        <v>0</v>
      </c>
      <c r="AU566" s="3">
        <f t="shared" si="79"/>
        <v>200</v>
      </c>
      <c r="AV566" s="3">
        <f>SUM(AJ566 - AN566 - AU566)</f>
        <v>91333</v>
      </c>
      <c r="AW566" s="11">
        <v>0</v>
      </c>
      <c r="AX566" s="11">
        <v>0</v>
      </c>
      <c r="AY566" s="11">
        <v>0</v>
      </c>
      <c r="AZ566" s="11">
        <v>0</v>
      </c>
      <c r="BA566" s="3">
        <f t="shared" si="78"/>
        <v>91333</v>
      </c>
    </row>
    <row r="567" spans="1:53" x14ac:dyDescent="0.25">
      <c r="A567" s="1" t="s">
        <v>565</v>
      </c>
      <c r="B567" s="9" t="s">
        <v>2002</v>
      </c>
      <c r="C567" s="9" t="s">
        <v>1010</v>
      </c>
      <c r="D567" s="9" t="s">
        <v>2135</v>
      </c>
      <c r="E567" s="9" t="s">
        <v>1012</v>
      </c>
      <c r="F567" s="10">
        <v>44634</v>
      </c>
      <c r="G567" s="9" t="s">
        <v>1019</v>
      </c>
      <c r="I567" s="9" t="s">
        <v>1014</v>
      </c>
      <c r="J567" s="9" t="s">
        <v>1015</v>
      </c>
      <c r="K567" s="8" t="s">
        <v>1006</v>
      </c>
      <c r="L567" s="8" t="s">
        <v>1007</v>
      </c>
      <c r="M567" s="8" t="s">
        <v>2933</v>
      </c>
      <c r="N567" s="8" t="s">
        <v>2937</v>
      </c>
      <c r="O567" s="1" t="s">
        <v>2934</v>
      </c>
      <c r="P567">
        <v>30</v>
      </c>
      <c r="Q567">
        <v>30</v>
      </c>
      <c r="R567">
        <v>0</v>
      </c>
      <c r="S567">
        <f t="shared" si="80"/>
        <v>30</v>
      </c>
      <c r="T567" s="1" t="s">
        <v>2935</v>
      </c>
      <c r="U567" s="1" t="s">
        <v>2932</v>
      </c>
      <c r="V567" s="3">
        <f t="shared" si="81"/>
        <v>40000</v>
      </c>
      <c r="W567" s="3">
        <f t="shared" si="82"/>
        <v>16000</v>
      </c>
      <c r="X567" s="3">
        <f t="shared" si="74"/>
        <v>1250</v>
      </c>
      <c r="Y567" s="3">
        <f t="shared" si="75"/>
        <v>1600</v>
      </c>
      <c r="Z567" s="3">
        <f t="shared" si="76"/>
        <v>1800</v>
      </c>
      <c r="AA567" s="3">
        <v>0</v>
      </c>
      <c r="AB567" s="3">
        <f>ROUND(U567 - (V567+W567+X567+Y567) - (U567/Q567 * 2),0)</f>
        <v>34483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f>SUM(V567+W567+X567+Y567+AB567)</f>
        <v>93333</v>
      </c>
      <c r="AK567" s="3">
        <f>SUM(AJ567-AA567)</f>
        <v>93333</v>
      </c>
      <c r="AL567" s="3">
        <f>IF(V567&lt;=15000,V567*12%,1800)</f>
        <v>1800</v>
      </c>
      <c r="AM567" s="3">
        <v>0</v>
      </c>
      <c r="AN567" s="3">
        <f t="shared" si="77"/>
        <v>1800</v>
      </c>
      <c r="AO567" s="12">
        <v>200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3">
        <f t="shared" si="79"/>
        <v>200</v>
      </c>
      <c r="AV567" s="3">
        <f>SUM(AJ567 - AN567 - AU567)</f>
        <v>91333</v>
      </c>
      <c r="AW567" s="11">
        <v>0</v>
      </c>
      <c r="AX567" s="11">
        <v>0</v>
      </c>
      <c r="AY567" s="11">
        <v>0</v>
      </c>
      <c r="AZ567" s="11">
        <v>0</v>
      </c>
      <c r="BA567" s="3">
        <f t="shared" si="78"/>
        <v>91333</v>
      </c>
    </row>
    <row r="568" spans="1:53" x14ac:dyDescent="0.25">
      <c r="A568" s="1" t="s">
        <v>566</v>
      </c>
      <c r="B568" s="9" t="s">
        <v>1426</v>
      </c>
      <c r="C568" s="9" t="s">
        <v>1010</v>
      </c>
      <c r="D568" s="9" t="s">
        <v>2134</v>
      </c>
      <c r="E568" s="9" t="s">
        <v>1012</v>
      </c>
      <c r="F568" s="10">
        <v>44634</v>
      </c>
      <c r="G568" s="9" t="s">
        <v>1019</v>
      </c>
      <c r="I568" s="9" t="s">
        <v>1014</v>
      </c>
      <c r="J568" s="9" t="s">
        <v>1015</v>
      </c>
      <c r="K568" s="8" t="s">
        <v>1006</v>
      </c>
      <c r="L568" s="8" t="s">
        <v>1007</v>
      </c>
      <c r="M568" s="8" t="s">
        <v>2933</v>
      </c>
      <c r="N568" s="8" t="s">
        <v>2937</v>
      </c>
      <c r="O568" s="1" t="s">
        <v>2934</v>
      </c>
      <c r="P568">
        <v>30</v>
      </c>
      <c r="Q568">
        <v>30</v>
      </c>
      <c r="R568">
        <v>0</v>
      </c>
      <c r="S568">
        <f t="shared" si="80"/>
        <v>30</v>
      </c>
      <c r="T568" s="1" t="s">
        <v>2935</v>
      </c>
      <c r="U568" s="1" t="s">
        <v>2932</v>
      </c>
      <c r="V568" s="3">
        <f t="shared" si="81"/>
        <v>40000</v>
      </c>
      <c r="W568" s="3">
        <f t="shared" si="82"/>
        <v>16000</v>
      </c>
      <c r="X568" s="3">
        <f t="shared" si="74"/>
        <v>1250</v>
      </c>
      <c r="Y568" s="3">
        <f t="shared" si="75"/>
        <v>1600</v>
      </c>
      <c r="Z568" s="3">
        <f t="shared" si="76"/>
        <v>1800</v>
      </c>
      <c r="AA568" s="3">
        <v>0</v>
      </c>
      <c r="AB568" s="3">
        <f>ROUND(U568 - (V568+W568+X568+Y568) - (U568/Q568 * 2),0)</f>
        <v>34483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f>SUM(V568+W568+X568+Y568+AB568)</f>
        <v>93333</v>
      </c>
      <c r="AK568" s="3">
        <f>SUM(AJ568-AA568)</f>
        <v>93333</v>
      </c>
      <c r="AL568" s="3">
        <f>IF(V568&lt;=15000,V568*12%,1800)</f>
        <v>1800</v>
      </c>
      <c r="AM568" s="3">
        <v>0</v>
      </c>
      <c r="AN568" s="3">
        <f t="shared" si="77"/>
        <v>1800</v>
      </c>
      <c r="AO568" s="12">
        <v>200</v>
      </c>
      <c r="AP568" s="12">
        <v>0</v>
      </c>
      <c r="AQ568" s="12">
        <v>0</v>
      </c>
      <c r="AR568" s="12">
        <v>0</v>
      </c>
      <c r="AS568" s="12">
        <v>0</v>
      </c>
      <c r="AT568" s="12">
        <v>0</v>
      </c>
      <c r="AU568" s="3">
        <f t="shared" si="79"/>
        <v>200</v>
      </c>
      <c r="AV568" s="3">
        <f>SUM(AJ568 - AN568 - AU568)</f>
        <v>91333</v>
      </c>
      <c r="AW568" s="11">
        <v>0</v>
      </c>
      <c r="AX568" s="11">
        <v>0</v>
      </c>
      <c r="AY568" s="11">
        <v>0</v>
      </c>
      <c r="AZ568" s="11">
        <v>0</v>
      </c>
      <c r="BA568" s="3">
        <f t="shared" si="78"/>
        <v>91333</v>
      </c>
    </row>
    <row r="569" spans="1:53" x14ac:dyDescent="0.25">
      <c r="A569" s="1" t="s">
        <v>567</v>
      </c>
      <c r="B569" s="9" t="s">
        <v>2132</v>
      </c>
      <c r="C569" s="9" t="s">
        <v>1075</v>
      </c>
      <c r="D569" s="9" t="s">
        <v>2133</v>
      </c>
      <c r="E569" s="9" t="s">
        <v>1012</v>
      </c>
      <c r="F569" s="10">
        <v>44637</v>
      </c>
      <c r="G569" s="9" t="s">
        <v>1019</v>
      </c>
      <c r="I569" s="9" t="s">
        <v>1014</v>
      </c>
      <c r="J569" s="9" t="s">
        <v>1015</v>
      </c>
      <c r="K569" s="8" t="s">
        <v>1006</v>
      </c>
      <c r="L569" s="8" t="s">
        <v>1007</v>
      </c>
      <c r="M569" s="8" t="s">
        <v>2933</v>
      </c>
      <c r="N569" s="8" t="s">
        <v>2937</v>
      </c>
      <c r="O569" s="1" t="s">
        <v>2934</v>
      </c>
      <c r="P569">
        <v>30</v>
      </c>
      <c r="Q569">
        <v>30</v>
      </c>
      <c r="R569">
        <v>0</v>
      </c>
      <c r="S569">
        <f t="shared" si="80"/>
        <v>30</v>
      </c>
      <c r="T569" s="1" t="s">
        <v>2935</v>
      </c>
      <c r="U569" s="1" t="s">
        <v>2932</v>
      </c>
      <c r="V569" s="3">
        <f t="shared" si="81"/>
        <v>40000</v>
      </c>
      <c r="W569" s="3">
        <f t="shared" si="82"/>
        <v>16000</v>
      </c>
      <c r="X569" s="3">
        <f t="shared" si="74"/>
        <v>1250</v>
      </c>
      <c r="Y569" s="3">
        <f t="shared" si="75"/>
        <v>1600</v>
      </c>
      <c r="Z569" s="3">
        <f t="shared" si="76"/>
        <v>1800</v>
      </c>
      <c r="AA569" s="3">
        <v>0</v>
      </c>
      <c r="AB569" s="3">
        <f>ROUND(U569 - (V569+W569+X569+Y569) - (U569/Q569 * 2),0)</f>
        <v>34483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f>SUM(V569+W569+X569+Y569+AB569)</f>
        <v>93333</v>
      </c>
      <c r="AK569" s="3">
        <f>SUM(AJ569-AA569)</f>
        <v>93333</v>
      </c>
      <c r="AL569" s="3">
        <f>IF(V569&lt;=15000,V569*12%,1800)</f>
        <v>1800</v>
      </c>
      <c r="AM569" s="3">
        <v>0</v>
      </c>
      <c r="AN569" s="3">
        <f t="shared" si="77"/>
        <v>1800</v>
      </c>
      <c r="AO569" s="12">
        <v>200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3">
        <f t="shared" si="79"/>
        <v>200</v>
      </c>
      <c r="AV569" s="3">
        <f>SUM(AJ569 - AN569 - AU569)</f>
        <v>91333</v>
      </c>
      <c r="AW569" s="11">
        <v>0</v>
      </c>
      <c r="AX569" s="11">
        <v>0</v>
      </c>
      <c r="AY569" s="11">
        <v>0</v>
      </c>
      <c r="AZ569" s="11">
        <v>0</v>
      </c>
      <c r="BA569" s="3">
        <f t="shared" si="78"/>
        <v>91333</v>
      </c>
    </row>
    <row r="570" spans="1:53" x14ac:dyDescent="0.25">
      <c r="A570" s="1" t="s">
        <v>568</v>
      </c>
      <c r="B570" s="9" t="s">
        <v>2130</v>
      </c>
      <c r="C570" s="9" t="s">
        <v>1075</v>
      </c>
      <c r="D570" s="9" t="s">
        <v>2131</v>
      </c>
      <c r="E570" s="9" t="s">
        <v>1012</v>
      </c>
      <c r="F570" s="10">
        <v>44637</v>
      </c>
      <c r="G570" s="9" t="s">
        <v>1013</v>
      </c>
      <c r="I570" s="9" t="s">
        <v>1014</v>
      </c>
      <c r="J570" s="9" t="s">
        <v>1015</v>
      </c>
      <c r="K570" s="8" t="s">
        <v>1006</v>
      </c>
      <c r="L570" s="8" t="s">
        <v>1007</v>
      </c>
      <c r="M570" s="8" t="s">
        <v>2933</v>
      </c>
      <c r="N570" s="8" t="s">
        <v>2937</v>
      </c>
      <c r="O570" s="1" t="s">
        <v>2934</v>
      </c>
      <c r="P570">
        <v>30</v>
      </c>
      <c r="Q570">
        <v>30</v>
      </c>
      <c r="R570">
        <v>0</v>
      </c>
      <c r="S570">
        <f t="shared" si="80"/>
        <v>30</v>
      </c>
      <c r="T570" s="1" t="s">
        <v>2935</v>
      </c>
      <c r="U570" s="1" t="s">
        <v>2932</v>
      </c>
      <c r="V570" s="3">
        <f t="shared" si="81"/>
        <v>40000</v>
      </c>
      <c r="W570" s="3">
        <f t="shared" si="82"/>
        <v>16000</v>
      </c>
      <c r="X570" s="3">
        <f t="shared" si="74"/>
        <v>1250</v>
      </c>
      <c r="Y570" s="3">
        <f t="shared" si="75"/>
        <v>1600</v>
      </c>
      <c r="Z570" s="3">
        <f t="shared" si="76"/>
        <v>1800</v>
      </c>
      <c r="AA570" s="3">
        <v>0</v>
      </c>
      <c r="AB570" s="3">
        <f>ROUND(U570 - (V570+W570+X570+Y570) - (U570/Q570 * 2),0)</f>
        <v>34483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f>SUM(V570+W570+X570+Y570+AB570)</f>
        <v>93333</v>
      </c>
      <c r="AK570" s="3">
        <f>SUM(AJ570-AA570)</f>
        <v>93333</v>
      </c>
      <c r="AL570" s="3">
        <f>IF(V570&lt;=15000,V570*12%,1800)</f>
        <v>1800</v>
      </c>
      <c r="AM570" s="3">
        <v>0</v>
      </c>
      <c r="AN570" s="3">
        <f t="shared" si="77"/>
        <v>1800</v>
      </c>
      <c r="AO570" s="12">
        <v>200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3">
        <f t="shared" si="79"/>
        <v>200</v>
      </c>
      <c r="AV570" s="3">
        <f>SUM(AJ570 - AN570 - AU570)</f>
        <v>91333</v>
      </c>
      <c r="AW570" s="11">
        <v>0</v>
      </c>
      <c r="AX570" s="11">
        <v>0</v>
      </c>
      <c r="AY570" s="11">
        <v>0</v>
      </c>
      <c r="AZ570" s="11">
        <v>0</v>
      </c>
      <c r="BA570" s="3">
        <f t="shared" si="78"/>
        <v>91333</v>
      </c>
    </row>
    <row r="571" spans="1:53" x14ac:dyDescent="0.25">
      <c r="A571" s="1" t="s">
        <v>569</v>
      </c>
      <c r="B571" s="9" t="s">
        <v>2128</v>
      </c>
      <c r="C571" s="9" t="s">
        <v>1010</v>
      </c>
      <c r="D571" s="9" t="s">
        <v>2129</v>
      </c>
      <c r="E571" s="9" t="s">
        <v>1012</v>
      </c>
      <c r="F571" s="10">
        <v>44641</v>
      </c>
      <c r="G571" s="9" t="s">
        <v>1019</v>
      </c>
      <c r="I571" s="9" t="s">
        <v>1014</v>
      </c>
      <c r="J571" s="9" t="s">
        <v>1015</v>
      </c>
      <c r="K571" s="8" t="s">
        <v>1006</v>
      </c>
      <c r="L571" s="8" t="s">
        <v>1007</v>
      </c>
      <c r="M571" s="8" t="s">
        <v>2933</v>
      </c>
      <c r="N571" s="8" t="s">
        <v>2937</v>
      </c>
      <c r="O571" s="1" t="s">
        <v>2934</v>
      </c>
      <c r="P571">
        <v>30</v>
      </c>
      <c r="Q571">
        <v>30</v>
      </c>
      <c r="R571">
        <v>0</v>
      </c>
      <c r="S571">
        <f t="shared" si="80"/>
        <v>30</v>
      </c>
      <c r="T571" s="1" t="s">
        <v>2935</v>
      </c>
      <c r="U571" s="1" t="s">
        <v>2932</v>
      </c>
      <c r="V571" s="3">
        <f t="shared" si="81"/>
        <v>40000</v>
      </c>
      <c r="W571" s="3">
        <f t="shared" si="82"/>
        <v>16000</v>
      </c>
      <c r="X571" s="3">
        <f t="shared" si="74"/>
        <v>1250</v>
      </c>
      <c r="Y571" s="3">
        <f t="shared" si="75"/>
        <v>1600</v>
      </c>
      <c r="Z571" s="3">
        <f t="shared" si="76"/>
        <v>1800</v>
      </c>
      <c r="AA571" s="3">
        <v>0</v>
      </c>
      <c r="AB571" s="3">
        <f>ROUND(U571 - (V571+W571+X571+Y571) - (U571/Q571 * 2),0)</f>
        <v>34483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f>SUM(V571+W571+X571+Y571+AB571)</f>
        <v>93333</v>
      </c>
      <c r="AK571" s="3">
        <f>SUM(AJ571-AA571)</f>
        <v>93333</v>
      </c>
      <c r="AL571" s="3">
        <f>IF(V571&lt;=15000,V571*12%,1800)</f>
        <v>1800</v>
      </c>
      <c r="AM571" s="3">
        <v>0</v>
      </c>
      <c r="AN571" s="3">
        <f t="shared" si="77"/>
        <v>1800</v>
      </c>
      <c r="AO571" s="12">
        <v>200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3">
        <f t="shared" si="79"/>
        <v>200</v>
      </c>
      <c r="AV571" s="3">
        <f>SUM(AJ571 - AN571 - AU571)</f>
        <v>91333</v>
      </c>
      <c r="AW571" s="11">
        <v>0</v>
      </c>
      <c r="AX571" s="11">
        <v>0</v>
      </c>
      <c r="AY571" s="11">
        <v>0</v>
      </c>
      <c r="AZ571" s="11">
        <v>0</v>
      </c>
      <c r="BA571" s="3">
        <f t="shared" si="78"/>
        <v>91333</v>
      </c>
    </row>
    <row r="572" spans="1:53" x14ac:dyDescent="0.25">
      <c r="A572" s="1" t="s">
        <v>570</v>
      </c>
      <c r="B572" s="9" t="s">
        <v>2074</v>
      </c>
      <c r="C572" s="9" t="s">
        <v>1010</v>
      </c>
      <c r="D572" s="9" t="s">
        <v>2127</v>
      </c>
      <c r="E572" s="9" t="s">
        <v>1012</v>
      </c>
      <c r="F572" s="10">
        <v>44641</v>
      </c>
      <c r="G572" s="9" t="s">
        <v>1019</v>
      </c>
      <c r="I572" s="9" t="s">
        <v>1014</v>
      </c>
      <c r="J572" s="9" t="s">
        <v>1015</v>
      </c>
      <c r="K572" s="8" t="s">
        <v>1006</v>
      </c>
      <c r="L572" s="8" t="s">
        <v>1007</v>
      </c>
      <c r="M572" s="8" t="s">
        <v>2933</v>
      </c>
      <c r="N572" s="8" t="s">
        <v>2937</v>
      </c>
      <c r="O572" s="1" t="s">
        <v>2934</v>
      </c>
      <c r="P572">
        <v>30</v>
      </c>
      <c r="Q572">
        <v>30</v>
      </c>
      <c r="R572">
        <v>0</v>
      </c>
      <c r="S572">
        <f t="shared" si="80"/>
        <v>30</v>
      </c>
      <c r="T572" s="1" t="s">
        <v>2935</v>
      </c>
      <c r="U572" s="1" t="s">
        <v>2932</v>
      </c>
      <c r="V572" s="3">
        <f t="shared" si="81"/>
        <v>40000</v>
      </c>
      <c r="W572" s="3">
        <f t="shared" si="82"/>
        <v>16000</v>
      </c>
      <c r="X572" s="3">
        <f t="shared" si="74"/>
        <v>1250</v>
      </c>
      <c r="Y572" s="3">
        <f t="shared" si="75"/>
        <v>1600</v>
      </c>
      <c r="Z572" s="3">
        <f t="shared" si="76"/>
        <v>1800</v>
      </c>
      <c r="AA572" s="3">
        <v>0</v>
      </c>
      <c r="AB572" s="3">
        <f>ROUND(U572 - (V572+W572+X572+Y572) - (U572/Q572 * 2),0)</f>
        <v>34483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f>SUM(V572+W572+X572+Y572+AB572)</f>
        <v>93333</v>
      </c>
      <c r="AK572" s="3">
        <f>SUM(AJ572-AA572)</f>
        <v>93333</v>
      </c>
      <c r="AL572" s="3">
        <f>IF(V572&lt;=15000,V572*12%,1800)</f>
        <v>1800</v>
      </c>
      <c r="AM572" s="3">
        <v>0</v>
      </c>
      <c r="AN572" s="3">
        <f t="shared" si="77"/>
        <v>1800</v>
      </c>
      <c r="AO572" s="12">
        <v>200</v>
      </c>
      <c r="AP572" s="12">
        <v>0</v>
      </c>
      <c r="AQ572" s="12">
        <v>0</v>
      </c>
      <c r="AR572" s="12">
        <v>0</v>
      </c>
      <c r="AS572" s="12">
        <v>0</v>
      </c>
      <c r="AT572" s="12">
        <v>0</v>
      </c>
      <c r="AU572" s="3">
        <f t="shared" si="79"/>
        <v>200</v>
      </c>
      <c r="AV572" s="3">
        <f>SUM(AJ572 - AN572 - AU572)</f>
        <v>91333</v>
      </c>
      <c r="AW572" s="11">
        <v>0</v>
      </c>
      <c r="AX572" s="11">
        <v>0</v>
      </c>
      <c r="AY572" s="11">
        <v>0</v>
      </c>
      <c r="AZ572" s="11">
        <v>0</v>
      </c>
      <c r="BA572" s="3">
        <f t="shared" si="78"/>
        <v>91333</v>
      </c>
    </row>
    <row r="573" spans="1:53" x14ac:dyDescent="0.25">
      <c r="A573" s="1" t="s">
        <v>571</v>
      </c>
      <c r="B573" s="9" t="s">
        <v>2125</v>
      </c>
      <c r="C573" s="9" t="s">
        <v>1262</v>
      </c>
      <c r="D573" s="9" t="s">
        <v>2126</v>
      </c>
      <c r="E573" s="9" t="s">
        <v>1012</v>
      </c>
      <c r="F573" s="10">
        <v>44679</v>
      </c>
      <c r="G573" s="9" t="s">
        <v>1019</v>
      </c>
      <c r="I573" s="9" t="s">
        <v>2009</v>
      </c>
      <c r="J573" s="9" t="s">
        <v>1264</v>
      </c>
      <c r="K573" s="8" t="s">
        <v>1006</v>
      </c>
      <c r="L573" s="8" t="s">
        <v>1007</v>
      </c>
      <c r="M573" s="8" t="s">
        <v>2933</v>
      </c>
      <c r="N573" s="8" t="s">
        <v>2937</v>
      </c>
      <c r="O573" s="1" t="s">
        <v>2934</v>
      </c>
      <c r="P573">
        <v>30</v>
      </c>
      <c r="Q573">
        <v>30</v>
      </c>
      <c r="R573">
        <v>0</v>
      </c>
      <c r="S573">
        <f t="shared" si="80"/>
        <v>30</v>
      </c>
      <c r="T573" s="1" t="s">
        <v>2935</v>
      </c>
      <c r="U573" s="1" t="s">
        <v>2932</v>
      </c>
      <c r="V573" s="3">
        <f t="shared" si="81"/>
        <v>40000</v>
      </c>
      <c r="W573" s="3">
        <f t="shared" si="82"/>
        <v>16000</v>
      </c>
      <c r="X573" s="3">
        <f t="shared" si="74"/>
        <v>1250</v>
      </c>
      <c r="Y573" s="3">
        <f t="shared" si="75"/>
        <v>1600</v>
      </c>
      <c r="Z573" s="3">
        <f t="shared" si="76"/>
        <v>1800</v>
      </c>
      <c r="AA573" s="3">
        <v>0</v>
      </c>
      <c r="AB573" s="3">
        <f>ROUND(U573 - (V573+W573+X573+Y573) - (U573/Q573 * 2),0)</f>
        <v>34483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f>SUM(V573+W573+X573+Y573+AB573)</f>
        <v>93333</v>
      </c>
      <c r="AK573" s="3">
        <f>SUM(AJ573-AA573)</f>
        <v>93333</v>
      </c>
      <c r="AL573" s="3">
        <f>IF(V573&lt;=15000,V573*12%,1800)</f>
        <v>1800</v>
      </c>
      <c r="AM573" s="3">
        <v>0</v>
      </c>
      <c r="AN573" s="3">
        <f t="shared" si="77"/>
        <v>1800</v>
      </c>
      <c r="AO573" s="12">
        <v>200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3">
        <f t="shared" si="79"/>
        <v>200</v>
      </c>
      <c r="AV573" s="3">
        <f>SUM(AJ573 - AN573 - AU573)</f>
        <v>91333</v>
      </c>
      <c r="AW573" s="11">
        <v>0</v>
      </c>
      <c r="AX573" s="11">
        <v>0</v>
      </c>
      <c r="AY573" s="11">
        <v>0</v>
      </c>
      <c r="AZ573" s="11">
        <v>0</v>
      </c>
      <c r="BA573" s="3">
        <f t="shared" si="78"/>
        <v>91333</v>
      </c>
    </row>
    <row r="574" spans="1:53" x14ac:dyDescent="0.25">
      <c r="A574" s="1" t="s">
        <v>572</v>
      </c>
      <c r="B574" s="9" t="s">
        <v>2123</v>
      </c>
      <c r="C574" s="9" t="s">
        <v>1026</v>
      </c>
      <c r="D574" s="9" t="s">
        <v>2124</v>
      </c>
      <c r="E574" s="9" t="s">
        <v>1012</v>
      </c>
      <c r="F574" s="10">
        <v>44643</v>
      </c>
      <c r="G574" s="9" t="s">
        <v>1019</v>
      </c>
      <c r="I574" s="9" t="s">
        <v>1014</v>
      </c>
      <c r="J574" s="9" t="s">
        <v>1015</v>
      </c>
      <c r="K574" s="8" t="s">
        <v>1006</v>
      </c>
      <c r="L574" s="8" t="s">
        <v>1007</v>
      </c>
      <c r="M574" s="8" t="s">
        <v>2933</v>
      </c>
      <c r="N574" s="8" t="s">
        <v>2937</v>
      </c>
      <c r="O574" s="1" t="s">
        <v>2934</v>
      </c>
      <c r="P574">
        <v>30</v>
      </c>
      <c r="Q574">
        <v>30</v>
      </c>
      <c r="R574">
        <v>0</v>
      </c>
      <c r="S574">
        <f t="shared" si="80"/>
        <v>30</v>
      </c>
      <c r="T574" s="1" t="s">
        <v>2935</v>
      </c>
      <c r="U574" s="1" t="s">
        <v>2932</v>
      </c>
      <c r="V574" s="3">
        <f t="shared" si="81"/>
        <v>40000</v>
      </c>
      <c r="W574" s="3">
        <f t="shared" si="82"/>
        <v>16000</v>
      </c>
      <c r="X574" s="3">
        <f t="shared" si="74"/>
        <v>1250</v>
      </c>
      <c r="Y574" s="3">
        <f t="shared" si="75"/>
        <v>1600</v>
      </c>
      <c r="Z574" s="3">
        <f t="shared" si="76"/>
        <v>1800</v>
      </c>
      <c r="AA574" s="3">
        <v>0</v>
      </c>
      <c r="AB574" s="3">
        <f>ROUND(U574 - (V574+W574+X574+Y574) - (U574/Q574 * 2),0)</f>
        <v>34483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f>SUM(V574+W574+X574+Y574+AB574)</f>
        <v>93333</v>
      </c>
      <c r="AK574" s="3">
        <f>SUM(AJ574-AA574)</f>
        <v>93333</v>
      </c>
      <c r="AL574" s="3">
        <f>IF(V574&lt;=15000,V574*12%,1800)</f>
        <v>1800</v>
      </c>
      <c r="AM574" s="3">
        <v>0</v>
      </c>
      <c r="AN574" s="3">
        <f t="shared" si="77"/>
        <v>1800</v>
      </c>
      <c r="AO574" s="12">
        <v>200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3">
        <f t="shared" si="79"/>
        <v>200</v>
      </c>
      <c r="AV574" s="3">
        <f>SUM(AJ574 - AN574 - AU574)</f>
        <v>91333</v>
      </c>
      <c r="AW574" s="11">
        <v>0</v>
      </c>
      <c r="AX574" s="11">
        <v>0</v>
      </c>
      <c r="AY574" s="11">
        <v>0</v>
      </c>
      <c r="AZ574" s="11">
        <v>0</v>
      </c>
      <c r="BA574" s="3">
        <f t="shared" si="78"/>
        <v>91333</v>
      </c>
    </row>
    <row r="575" spans="1:53" x14ac:dyDescent="0.25">
      <c r="A575" s="1" t="s">
        <v>573</v>
      </c>
      <c r="B575" s="9" t="s">
        <v>1477</v>
      </c>
      <c r="C575" s="9" t="s">
        <v>1010</v>
      </c>
      <c r="D575" s="9" t="s">
        <v>2177</v>
      </c>
      <c r="E575" s="9" t="s">
        <v>1012</v>
      </c>
      <c r="F575" s="10">
        <v>44648</v>
      </c>
      <c r="G575" s="9" t="s">
        <v>1013</v>
      </c>
      <c r="I575" s="9" t="s">
        <v>1035</v>
      </c>
      <c r="J575" s="9" t="s">
        <v>1015</v>
      </c>
      <c r="K575" s="8" t="s">
        <v>1006</v>
      </c>
      <c r="L575" s="8" t="s">
        <v>1007</v>
      </c>
      <c r="M575" s="8" t="s">
        <v>2933</v>
      </c>
      <c r="N575" s="8" t="s">
        <v>2937</v>
      </c>
      <c r="O575" s="1" t="s">
        <v>2934</v>
      </c>
      <c r="P575">
        <v>30</v>
      </c>
      <c r="Q575">
        <v>30</v>
      </c>
      <c r="R575">
        <v>0</v>
      </c>
      <c r="S575">
        <f t="shared" si="80"/>
        <v>30</v>
      </c>
      <c r="T575" s="1" t="s">
        <v>2935</v>
      </c>
      <c r="U575" s="1" t="s">
        <v>2932</v>
      </c>
      <c r="V575" s="3">
        <f t="shared" si="81"/>
        <v>40000</v>
      </c>
      <c r="W575" s="3">
        <f t="shared" si="82"/>
        <v>16000</v>
      </c>
      <c r="X575" s="3">
        <f t="shared" si="74"/>
        <v>1250</v>
      </c>
      <c r="Y575" s="3">
        <f t="shared" si="75"/>
        <v>1600</v>
      </c>
      <c r="Z575" s="3">
        <f t="shared" si="76"/>
        <v>1800</v>
      </c>
      <c r="AA575" s="3">
        <v>0</v>
      </c>
      <c r="AB575" s="3">
        <f>ROUND(U575 - (V575+W575+X575+Y575) - (U575/Q575 * 2),0)</f>
        <v>34483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f>SUM(V575+W575+X575+Y575+AB575)</f>
        <v>93333</v>
      </c>
      <c r="AK575" s="3">
        <f>SUM(AJ575-AA575)</f>
        <v>93333</v>
      </c>
      <c r="AL575" s="3">
        <f>IF(V575&lt;=15000,V575*12%,1800)</f>
        <v>1800</v>
      </c>
      <c r="AM575" s="3">
        <v>0</v>
      </c>
      <c r="AN575" s="3">
        <f t="shared" si="77"/>
        <v>1800</v>
      </c>
      <c r="AO575" s="12">
        <v>200</v>
      </c>
      <c r="AP575" s="12">
        <v>0</v>
      </c>
      <c r="AQ575" s="12">
        <v>0</v>
      </c>
      <c r="AR575" s="12">
        <v>0</v>
      </c>
      <c r="AS575" s="12">
        <v>0</v>
      </c>
      <c r="AT575" s="12">
        <v>0</v>
      </c>
      <c r="AU575" s="3">
        <f t="shared" si="79"/>
        <v>200</v>
      </c>
      <c r="AV575" s="3">
        <f>SUM(AJ575 - AN575 - AU575)</f>
        <v>91333</v>
      </c>
      <c r="AW575" s="11">
        <v>0</v>
      </c>
      <c r="AX575" s="11">
        <v>0</v>
      </c>
      <c r="AY575" s="11">
        <v>0</v>
      </c>
      <c r="AZ575" s="11">
        <v>0</v>
      </c>
      <c r="BA575" s="3">
        <f t="shared" si="78"/>
        <v>91333</v>
      </c>
    </row>
    <row r="576" spans="1:53" x14ac:dyDescent="0.25">
      <c r="A576" s="1" t="s">
        <v>574</v>
      </c>
      <c r="B576" s="9" t="s">
        <v>2175</v>
      </c>
      <c r="C576" s="9" t="s">
        <v>1115</v>
      </c>
      <c r="D576" s="9" t="s">
        <v>2176</v>
      </c>
      <c r="E576" s="9" t="s">
        <v>1012</v>
      </c>
      <c r="F576" s="10">
        <v>44655</v>
      </c>
      <c r="G576" s="9" t="s">
        <v>1019</v>
      </c>
      <c r="I576" s="9" t="s">
        <v>1042</v>
      </c>
      <c r="J576" s="9" t="s">
        <v>1048</v>
      </c>
      <c r="K576" s="8" t="s">
        <v>1006</v>
      </c>
      <c r="L576" s="8" t="s">
        <v>1007</v>
      </c>
      <c r="M576" s="8" t="s">
        <v>2933</v>
      </c>
      <c r="N576" s="8" t="s">
        <v>2937</v>
      </c>
      <c r="O576" s="1" t="s">
        <v>2934</v>
      </c>
      <c r="P576">
        <v>30</v>
      </c>
      <c r="Q576">
        <v>30</v>
      </c>
      <c r="R576">
        <v>0</v>
      </c>
      <c r="S576">
        <f t="shared" si="80"/>
        <v>30</v>
      </c>
      <c r="T576" s="1" t="s">
        <v>2935</v>
      </c>
      <c r="U576" s="1" t="s">
        <v>2932</v>
      </c>
      <c r="V576" s="3">
        <f t="shared" si="81"/>
        <v>40000</v>
      </c>
      <c r="W576" s="3">
        <f t="shared" si="82"/>
        <v>16000</v>
      </c>
      <c r="X576" s="3">
        <f t="shared" si="74"/>
        <v>1250</v>
      </c>
      <c r="Y576" s="3">
        <f t="shared" si="75"/>
        <v>1600</v>
      </c>
      <c r="Z576" s="3">
        <f t="shared" si="76"/>
        <v>1800</v>
      </c>
      <c r="AA576" s="3">
        <v>0</v>
      </c>
      <c r="AB576" s="3">
        <f>ROUND(U576 - (V576+W576+X576+Y576) - (U576/Q576 * 2),0)</f>
        <v>34483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f>SUM(V576+W576+X576+Y576+AB576)</f>
        <v>93333</v>
      </c>
      <c r="AK576" s="3">
        <f>SUM(AJ576-AA576)</f>
        <v>93333</v>
      </c>
      <c r="AL576" s="3">
        <f>IF(V576&lt;=15000,V576*12%,1800)</f>
        <v>1800</v>
      </c>
      <c r="AM576" s="3">
        <v>0</v>
      </c>
      <c r="AN576" s="3">
        <f t="shared" si="77"/>
        <v>1800</v>
      </c>
      <c r="AO576" s="12">
        <v>200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3">
        <f t="shared" si="79"/>
        <v>200</v>
      </c>
      <c r="AV576" s="3">
        <f>SUM(AJ576 - AN576 - AU576)</f>
        <v>91333</v>
      </c>
      <c r="AW576" s="11">
        <v>0</v>
      </c>
      <c r="AX576" s="11">
        <v>0</v>
      </c>
      <c r="AY576" s="11">
        <v>0</v>
      </c>
      <c r="AZ576" s="11">
        <v>0</v>
      </c>
      <c r="BA576" s="3">
        <f t="shared" si="78"/>
        <v>91333</v>
      </c>
    </row>
    <row r="577" spans="1:53" x14ac:dyDescent="0.25">
      <c r="A577" s="1" t="s">
        <v>575</v>
      </c>
      <c r="B577" s="9" t="s">
        <v>2173</v>
      </c>
      <c r="C577" s="9" t="s">
        <v>1663</v>
      </c>
      <c r="D577" s="9" t="s">
        <v>2174</v>
      </c>
      <c r="E577" s="9" t="s">
        <v>1012</v>
      </c>
      <c r="F577" s="10">
        <v>44655</v>
      </c>
      <c r="G577" s="9" t="s">
        <v>1013</v>
      </c>
      <c r="I577" s="9" t="s">
        <v>1042</v>
      </c>
      <c r="J577" s="9" t="s">
        <v>1440</v>
      </c>
      <c r="K577" s="8" t="s">
        <v>1006</v>
      </c>
      <c r="L577" s="8" t="s">
        <v>1007</v>
      </c>
      <c r="M577" s="8" t="s">
        <v>2933</v>
      </c>
      <c r="N577" s="8" t="s">
        <v>2937</v>
      </c>
      <c r="O577" s="1" t="s">
        <v>2934</v>
      </c>
      <c r="P577">
        <v>30</v>
      </c>
      <c r="Q577">
        <v>30</v>
      </c>
      <c r="R577">
        <v>0</v>
      </c>
      <c r="S577">
        <f t="shared" si="80"/>
        <v>30</v>
      </c>
      <c r="T577" s="1" t="s">
        <v>2935</v>
      </c>
      <c r="U577" s="1" t="s">
        <v>2932</v>
      </c>
      <c r="V577" s="3">
        <f t="shared" si="81"/>
        <v>40000</v>
      </c>
      <c r="W577" s="3">
        <f t="shared" si="82"/>
        <v>16000</v>
      </c>
      <c r="X577" s="3">
        <f t="shared" si="74"/>
        <v>1250</v>
      </c>
      <c r="Y577" s="3">
        <f t="shared" si="75"/>
        <v>1600</v>
      </c>
      <c r="Z577" s="3">
        <f t="shared" si="76"/>
        <v>1800</v>
      </c>
      <c r="AA577" s="3">
        <v>0</v>
      </c>
      <c r="AB577" s="3">
        <f>ROUND(U577 - (V577+W577+X577+Y577) - (U577/Q577 * 2),0)</f>
        <v>34483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f>SUM(V577+W577+X577+Y577+AB577)</f>
        <v>93333</v>
      </c>
      <c r="AK577" s="3">
        <f>SUM(AJ577-AA577)</f>
        <v>93333</v>
      </c>
      <c r="AL577" s="3">
        <f>IF(V577&lt;=15000,V577*12%,1800)</f>
        <v>1800</v>
      </c>
      <c r="AM577" s="3">
        <v>0</v>
      </c>
      <c r="AN577" s="3">
        <f t="shared" si="77"/>
        <v>1800</v>
      </c>
      <c r="AO577" s="12">
        <v>200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3">
        <f t="shared" si="79"/>
        <v>200</v>
      </c>
      <c r="AV577" s="3">
        <f>SUM(AJ577 - AN577 - AU577)</f>
        <v>91333</v>
      </c>
      <c r="AW577" s="11">
        <v>0</v>
      </c>
      <c r="AX577" s="11">
        <v>0</v>
      </c>
      <c r="AY577" s="11">
        <v>0</v>
      </c>
      <c r="AZ577" s="11">
        <v>0</v>
      </c>
      <c r="BA577" s="3">
        <f t="shared" si="78"/>
        <v>91333</v>
      </c>
    </row>
    <row r="578" spans="1:53" x14ac:dyDescent="0.25">
      <c r="A578" s="1" t="s">
        <v>576</v>
      </c>
      <c r="B578" s="9" t="s">
        <v>2171</v>
      </c>
      <c r="C578" s="9" t="s">
        <v>1663</v>
      </c>
      <c r="D578" s="9" t="s">
        <v>2172</v>
      </c>
      <c r="E578" s="9" t="s">
        <v>1012</v>
      </c>
      <c r="F578" s="10">
        <v>45722</v>
      </c>
      <c r="G578" s="9" t="s">
        <v>1013</v>
      </c>
      <c r="I578" s="9" t="s">
        <v>1042</v>
      </c>
      <c r="J578" s="9" t="s">
        <v>1440</v>
      </c>
      <c r="K578" s="8" t="s">
        <v>1006</v>
      </c>
      <c r="L578" s="8" t="s">
        <v>1007</v>
      </c>
      <c r="M578" s="8" t="s">
        <v>2933</v>
      </c>
      <c r="N578" s="8" t="s">
        <v>2937</v>
      </c>
      <c r="O578" s="1" t="s">
        <v>2934</v>
      </c>
      <c r="P578">
        <v>30</v>
      </c>
      <c r="Q578">
        <v>30</v>
      </c>
      <c r="R578">
        <v>0</v>
      </c>
      <c r="S578">
        <f t="shared" si="80"/>
        <v>30</v>
      </c>
      <c r="T578" s="1" t="s">
        <v>2935</v>
      </c>
      <c r="U578" s="1" t="s">
        <v>2932</v>
      </c>
      <c r="V578" s="3">
        <f t="shared" si="81"/>
        <v>40000</v>
      </c>
      <c r="W578" s="3">
        <f t="shared" si="82"/>
        <v>16000</v>
      </c>
      <c r="X578" s="3">
        <f t="shared" si="74"/>
        <v>1250</v>
      </c>
      <c r="Y578" s="3">
        <f t="shared" si="75"/>
        <v>1600</v>
      </c>
      <c r="Z578" s="3">
        <f t="shared" si="76"/>
        <v>1800</v>
      </c>
      <c r="AA578" s="3">
        <v>0</v>
      </c>
      <c r="AB578" s="3">
        <f>ROUND(U578 - (V578+W578+X578+Y578) - (U578/Q578 * 2),0)</f>
        <v>34483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f>SUM(V578+W578+X578+Y578+AB578)</f>
        <v>93333</v>
      </c>
      <c r="AK578" s="3">
        <f>SUM(AJ578-AA578)</f>
        <v>93333</v>
      </c>
      <c r="AL578" s="3">
        <f>IF(V578&lt;=15000,V578*12%,1800)</f>
        <v>1800</v>
      </c>
      <c r="AM578" s="3">
        <v>0</v>
      </c>
      <c r="AN578" s="3">
        <f t="shared" si="77"/>
        <v>1800</v>
      </c>
      <c r="AO578" s="12">
        <v>200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3">
        <f t="shared" si="79"/>
        <v>200</v>
      </c>
      <c r="AV578" s="3">
        <f>SUM(AJ578 - AN578 - AU578)</f>
        <v>91333</v>
      </c>
      <c r="AW578" s="11">
        <v>0</v>
      </c>
      <c r="AX578" s="11">
        <v>0</v>
      </c>
      <c r="AY578" s="11">
        <v>0</v>
      </c>
      <c r="AZ578" s="11">
        <v>0</v>
      </c>
      <c r="BA578" s="3">
        <f t="shared" si="78"/>
        <v>91333</v>
      </c>
    </row>
    <row r="579" spans="1:53" x14ac:dyDescent="0.25">
      <c r="A579" s="1" t="s">
        <v>577</v>
      </c>
      <c r="B579" s="9" t="s">
        <v>2169</v>
      </c>
      <c r="C579" s="9" t="s">
        <v>1128</v>
      </c>
      <c r="D579" s="9" t="s">
        <v>2170</v>
      </c>
      <c r="E579" s="9" t="s">
        <v>1012</v>
      </c>
      <c r="F579" s="10">
        <v>44662</v>
      </c>
      <c r="G579" s="9" t="s">
        <v>1019</v>
      </c>
      <c r="I579" s="9" t="s">
        <v>1035</v>
      </c>
      <c r="J579" s="9" t="s">
        <v>1048</v>
      </c>
      <c r="K579" s="8" t="s">
        <v>1006</v>
      </c>
      <c r="L579" s="8" t="s">
        <v>1007</v>
      </c>
      <c r="M579" s="8" t="s">
        <v>2933</v>
      </c>
      <c r="N579" s="8" t="s">
        <v>2937</v>
      </c>
      <c r="O579" s="1" t="s">
        <v>2934</v>
      </c>
      <c r="P579">
        <v>30</v>
      </c>
      <c r="Q579">
        <v>30</v>
      </c>
      <c r="R579">
        <v>0</v>
      </c>
      <c r="S579">
        <f t="shared" si="80"/>
        <v>30</v>
      </c>
      <c r="T579" s="1" t="s">
        <v>2935</v>
      </c>
      <c r="U579" s="1" t="s">
        <v>2932</v>
      </c>
      <c r="V579" s="3">
        <f t="shared" si="81"/>
        <v>40000</v>
      </c>
      <c r="W579" s="3">
        <f t="shared" si="82"/>
        <v>16000</v>
      </c>
      <c r="X579" s="3">
        <f t="shared" ref="X579:X642" si="83">ROUND(1250 - ((1250/Q579)*R579),0)</f>
        <v>1250</v>
      </c>
      <c r="Y579" s="3">
        <f t="shared" ref="Y579:Y642" si="84">ROUND(1600 - (1600/Q579) *R579,0)</f>
        <v>1600</v>
      </c>
      <c r="Z579" s="3">
        <f t="shared" ref="Z579:Z642" si="85">IF(V579&lt;=15000,V579*12%,1800)</f>
        <v>1800</v>
      </c>
      <c r="AA579" s="3">
        <v>0</v>
      </c>
      <c r="AB579" s="3">
        <f>ROUND(U579 - (V579+W579+X579+Y579) - (U579/Q579 * 2),0)</f>
        <v>34483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f>SUM(V579+W579+X579+Y579+AB579)</f>
        <v>93333</v>
      </c>
      <c r="AK579" s="3">
        <f>SUM(AJ579-AA579)</f>
        <v>93333</v>
      </c>
      <c r="AL579" s="3">
        <f>IF(V579&lt;=15000,V579*12%,1800)</f>
        <v>1800</v>
      </c>
      <c r="AM579" s="3">
        <v>0</v>
      </c>
      <c r="AN579" s="3">
        <f t="shared" ref="AN579:AN642" si="86">SUM(AL579+AM579)</f>
        <v>1800</v>
      </c>
      <c r="AO579" s="12">
        <v>200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3">
        <f t="shared" si="79"/>
        <v>200</v>
      </c>
      <c r="AV579" s="3">
        <f>SUM(AJ579 - AN579 - AU579)</f>
        <v>91333</v>
      </c>
      <c r="AW579" s="11">
        <v>0</v>
      </c>
      <c r="AX579" s="11">
        <v>0</v>
      </c>
      <c r="AY579" s="11">
        <v>0</v>
      </c>
      <c r="AZ579" s="11">
        <v>0</v>
      </c>
      <c r="BA579" s="3">
        <f t="shared" ref="BA579:BA642" si="87">AV579+AW579+AX579+AZ579</f>
        <v>91333</v>
      </c>
    </row>
    <row r="580" spans="1:53" x14ac:dyDescent="0.25">
      <c r="A580" s="1" t="s">
        <v>578</v>
      </c>
      <c r="B580" s="9" t="s">
        <v>1638</v>
      </c>
      <c r="C580" s="9" t="s">
        <v>1023</v>
      </c>
      <c r="D580" s="9" t="s">
        <v>2168</v>
      </c>
      <c r="E580" s="9" t="s">
        <v>1012</v>
      </c>
      <c r="F580" s="10">
        <v>44652</v>
      </c>
      <c r="G580" s="9" t="s">
        <v>1019</v>
      </c>
      <c r="I580" s="9" t="s">
        <v>1020</v>
      </c>
      <c r="J580" s="9" t="s">
        <v>1021</v>
      </c>
      <c r="K580" s="8" t="s">
        <v>1006</v>
      </c>
      <c r="L580" s="8" t="s">
        <v>1007</v>
      </c>
      <c r="M580" s="8" t="s">
        <v>2933</v>
      </c>
      <c r="N580" s="8" t="s">
        <v>2937</v>
      </c>
      <c r="O580" s="1" t="s">
        <v>2934</v>
      </c>
      <c r="P580">
        <v>30</v>
      </c>
      <c r="Q580">
        <v>30</v>
      </c>
      <c r="R580">
        <v>0</v>
      </c>
      <c r="S580">
        <f t="shared" si="80"/>
        <v>30</v>
      </c>
      <c r="T580" s="1" t="s">
        <v>2935</v>
      </c>
      <c r="U580" s="1" t="s">
        <v>2932</v>
      </c>
      <c r="V580" s="3">
        <f t="shared" si="81"/>
        <v>40000</v>
      </c>
      <c r="W580" s="3">
        <f t="shared" si="82"/>
        <v>16000</v>
      </c>
      <c r="X580" s="3">
        <f t="shared" si="83"/>
        <v>1250</v>
      </c>
      <c r="Y580" s="3">
        <f t="shared" si="84"/>
        <v>1600</v>
      </c>
      <c r="Z580" s="3">
        <f t="shared" si="85"/>
        <v>1800</v>
      </c>
      <c r="AA580" s="3">
        <v>0</v>
      </c>
      <c r="AB580" s="3">
        <f>ROUND(U580 - (V580+W580+X580+Y580) - (U580/Q580 * 2),0)</f>
        <v>34483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f>SUM(V580+W580+X580+Y580+AB580)</f>
        <v>93333</v>
      </c>
      <c r="AK580" s="3">
        <f>SUM(AJ580-AA580)</f>
        <v>93333</v>
      </c>
      <c r="AL580" s="3">
        <f>IF(V580&lt;=15000,V580*12%,1800)</f>
        <v>1800</v>
      </c>
      <c r="AM580" s="3">
        <v>0</v>
      </c>
      <c r="AN580" s="3">
        <f t="shared" si="86"/>
        <v>1800</v>
      </c>
      <c r="AO580" s="12">
        <v>200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3">
        <f t="shared" ref="AU580:AU643" si="88">SUM(AO580:AT580)</f>
        <v>200</v>
      </c>
      <c r="AV580" s="3">
        <f>SUM(AJ580 - AN580 - AU580)</f>
        <v>91333</v>
      </c>
      <c r="AW580" s="11">
        <v>0</v>
      </c>
      <c r="AX580" s="11">
        <v>0</v>
      </c>
      <c r="AY580" s="11">
        <v>0</v>
      </c>
      <c r="AZ580" s="11">
        <v>0</v>
      </c>
      <c r="BA580" s="3">
        <f t="shared" si="87"/>
        <v>91333</v>
      </c>
    </row>
    <row r="581" spans="1:53" x14ac:dyDescent="0.25">
      <c r="A581" s="1" t="s">
        <v>579</v>
      </c>
      <c r="B581" s="9" t="s">
        <v>2123</v>
      </c>
      <c r="C581" s="9" t="s">
        <v>1029</v>
      </c>
      <c r="D581" s="9" t="s">
        <v>2167</v>
      </c>
      <c r="E581" s="9" t="s">
        <v>1012</v>
      </c>
      <c r="F581" s="10">
        <v>44655</v>
      </c>
      <c r="G581" s="9" t="s">
        <v>1019</v>
      </c>
      <c r="I581" s="9" t="s">
        <v>1035</v>
      </c>
      <c r="J581" s="9" t="s">
        <v>1021</v>
      </c>
      <c r="K581" s="8" t="s">
        <v>1006</v>
      </c>
      <c r="L581" s="8" t="s">
        <v>1007</v>
      </c>
      <c r="M581" s="8" t="s">
        <v>2933</v>
      </c>
      <c r="N581" s="8" t="s">
        <v>2937</v>
      </c>
      <c r="O581" s="1" t="s">
        <v>2934</v>
      </c>
      <c r="P581">
        <v>30</v>
      </c>
      <c r="Q581">
        <v>30</v>
      </c>
      <c r="R581">
        <v>0</v>
      </c>
      <c r="S581">
        <f t="shared" ref="S581:S644" si="89">SUM(Q581-R581)</f>
        <v>30</v>
      </c>
      <c r="T581" s="1" t="s">
        <v>2935</v>
      </c>
      <c r="U581" s="1" t="s">
        <v>2932</v>
      </c>
      <c r="V581" s="3">
        <f t="shared" ref="V581:V644" si="90">ROUND((U581*40%) / Q581  * S581,0)</f>
        <v>40000</v>
      </c>
      <c r="W581" s="3">
        <f t="shared" ref="W581:W644" si="91">ROUND((U581*16%) / Q581  * S581,0)</f>
        <v>16000</v>
      </c>
      <c r="X581" s="3">
        <f t="shared" si="83"/>
        <v>1250</v>
      </c>
      <c r="Y581" s="3">
        <f t="shared" si="84"/>
        <v>1600</v>
      </c>
      <c r="Z581" s="3">
        <f t="shared" si="85"/>
        <v>1800</v>
      </c>
      <c r="AA581" s="3">
        <v>0</v>
      </c>
      <c r="AB581" s="3">
        <f>ROUND(U581 - (V581+W581+X581+Y581) - (U581/Q581 * 2),0)</f>
        <v>34483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f>SUM(V581+W581+X581+Y581+AB581)</f>
        <v>93333</v>
      </c>
      <c r="AK581" s="3">
        <f>SUM(AJ581-AA581)</f>
        <v>93333</v>
      </c>
      <c r="AL581" s="3">
        <f>IF(V581&lt;=15000,V581*12%,1800)</f>
        <v>1800</v>
      </c>
      <c r="AM581" s="3">
        <v>0</v>
      </c>
      <c r="AN581" s="3">
        <f t="shared" si="86"/>
        <v>1800</v>
      </c>
      <c r="AO581" s="12">
        <v>200</v>
      </c>
      <c r="AP581" s="12">
        <v>0</v>
      </c>
      <c r="AQ581" s="12">
        <v>0</v>
      </c>
      <c r="AR581" s="12">
        <v>0</v>
      </c>
      <c r="AS581" s="12">
        <v>0</v>
      </c>
      <c r="AT581" s="12">
        <v>0</v>
      </c>
      <c r="AU581" s="3">
        <f t="shared" si="88"/>
        <v>200</v>
      </c>
      <c r="AV581" s="3">
        <f>SUM(AJ581 - AN581 - AU581)</f>
        <v>91333</v>
      </c>
      <c r="AW581" s="11">
        <v>0</v>
      </c>
      <c r="AX581" s="11">
        <v>0</v>
      </c>
      <c r="AY581" s="11">
        <v>0</v>
      </c>
      <c r="AZ581" s="11">
        <v>0</v>
      </c>
      <c r="BA581" s="3">
        <f t="shared" si="87"/>
        <v>91333</v>
      </c>
    </row>
    <row r="582" spans="1:53" x14ac:dyDescent="0.25">
      <c r="A582" s="1" t="s">
        <v>580</v>
      </c>
      <c r="B582" s="9" t="s">
        <v>2165</v>
      </c>
      <c r="C582" s="9" t="s">
        <v>1519</v>
      </c>
      <c r="D582" s="9" t="s">
        <v>2166</v>
      </c>
      <c r="E582" s="9" t="s">
        <v>1012</v>
      </c>
      <c r="F582" s="10">
        <v>44664</v>
      </c>
      <c r="G582" s="9" t="s">
        <v>1013</v>
      </c>
      <c r="I582" s="9" t="s">
        <v>1035</v>
      </c>
      <c r="J582" s="9" t="s">
        <v>1440</v>
      </c>
      <c r="K582" s="8" t="s">
        <v>1006</v>
      </c>
      <c r="L582" s="8" t="s">
        <v>1007</v>
      </c>
      <c r="M582" s="8" t="s">
        <v>2933</v>
      </c>
      <c r="N582" s="8" t="s">
        <v>2937</v>
      </c>
      <c r="O582" s="1" t="s">
        <v>2934</v>
      </c>
      <c r="P582">
        <v>30</v>
      </c>
      <c r="Q582">
        <v>30</v>
      </c>
      <c r="R582">
        <v>0</v>
      </c>
      <c r="S582">
        <f t="shared" si="89"/>
        <v>30</v>
      </c>
      <c r="T582" s="1" t="s">
        <v>2935</v>
      </c>
      <c r="U582" s="1" t="s">
        <v>2932</v>
      </c>
      <c r="V582" s="3">
        <f t="shared" si="90"/>
        <v>40000</v>
      </c>
      <c r="W582" s="3">
        <f t="shared" si="91"/>
        <v>16000</v>
      </c>
      <c r="X582" s="3">
        <f t="shared" si="83"/>
        <v>1250</v>
      </c>
      <c r="Y582" s="3">
        <f t="shared" si="84"/>
        <v>1600</v>
      </c>
      <c r="Z582" s="3">
        <f t="shared" si="85"/>
        <v>1800</v>
      </c>
      <c r="AA582" s="3">
        <v>0</v>
      </c>
      <c r="AB582" s="3">
        <f>ROUND(U582 - (V582+W582+X582+Y582) - (U582/Q582 * 2),0)</f>
        <v>34483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f>SUM(V582+W582+X582+Y582+AB582)</f>
        <v>93333</v>
      </c>
      <c r="AK582" s="3">
        <f>SUM(AJ582-AA582)</f>
        <v>93333</v>
      </c>
      <c r="AL582" s="3">
        <f>IF(V582&lt;=15000,V582*12%,1800)</f>
        <v>1800</v>
      </c>
      <c r="AM582" s="3">
        <v>0</v>
      </c>
      <c r="AN582" s="3">
        <f t="shared" si="86"/>
        <v>1800</v>
      </c>
      <c r="AO582" s="12">
        <v>200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3">
        <f t="shared" si="88"/>
        <v>200</v>
      </c>
      <c r="AV582" s="3">
        <f>SUM(AJ582 - AN582 - AU582)</f>
        <v>91333</v>
      </c>
      <c r="AW582" s="11">
        <v>0</v>
      </c>
      <c r="AX582" s="11">
        <v>0</v>
      </c>
      <c r="AY582" s="11">
        <v>0</v>
      </c>
      <c r="AZ582" s="11">
        <v>0</v>
      </c>
      <c r="BA582" s="3">
        <f t="shared" si="87"/>
        <v>91333</v>
      </c>
    </row>
    <row r="583" spans="1:53" x14ac:dyDescent="0.25">
      <c r="A583" s="1" t="s">
        <v>581</v>
      </c>
      <c r="B583" s="9" t="s">
        <v>1168</v>
      </c>
      <c r="C583" s="9" t="s">
        <v>1075</v>
      </c>
      <c r="D583" s="9" t="s">
        <v>2164</v>
      </c>
      <c r="E583" s="9" t="s">
        <v>1012</v>
      </c>
      <c r="F583" s="10">
        <v>44655</v>
      </c>
      <c r="G583" s="9" t="s">
        <v>1019</v>
      </c>
      <c r="I583" s="9" t="s">
        <v>1014</v>
      </c>
      <c r="J583" s="9" t="s">
        <v>1015</v>
      </c>
      <c r="K583" s="8" t="s">
        <v>1006</v>
      </c>
      <c r="L583" s="8" t="s">
        <v>1007</v>
      </c>
      <c r="M583" s="8" t="s">
        <v>2933</v>
      </c>
      <c r="N583" s="8" t="s">
        <v>2937</v>
      </c>
      <c r="O583" s="1" t="s">
        <v>2934</v>
      </c>
      <c r="P583">
        <v>30</v>
      </c>
      <c r="Q583">
        <v>30</v>
      </c>
      <c r="R583">
        <v>0</v>
      </c>
      <c r="S583">
        <f t="shared" si="89"/>
        <v>30</v>
      </c>
      <c r="T583" s="1" t="s">
        <v>2935</v>
      </c>
      <c r="U583" s="1" t="s">
        <v>2932</v>
      </c>
      <c r="V583" s="3">
        <f t="shared" si="90"/>
        <v>40000</v>
      </c>
      <c r="W583" s="3">
        <f t="shared" si="91"/>
        <v>16000</v>
      </c>
      <c r="X583" s="3">
        <f t="shared" si="83"/>
        <v>1250</v>
      </c>
      <c r="Y583" s="3">
        <f t="shared" si="84"/>
        <v>1600</v>
      </c>
      <c r="Z583" s="3">
        <f t="shared" si="85"/>
        <v>1800</v>
      </c>
      <c r="AA583" s="3">
        <v>0</v>
      </c>
      <c r="AB583" s="3">
        <f>ROUND(U583 - (V583+W583+X583+Y583) - (U583/Q583 * 2),0)</f>
        <v>34483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f>SUM(V583+W583+X583+Y583+AB583)</f>
        <v>93333</v>
      </c>
      <c r="AK583" s="3">
        <f>SUM(AJ583-AA583)</f>
        <v>93333</v>
      </c>
      <c r="AL583" s="3">
        <f>IF(V583&lt;=15000,V583*12%,1800)</f>
        <v>1800</v>
      </c>
      <c r="AM583" s="3">
        <v>0</v>
      </c>
      <c r="AN583" s="3">
        <f t="shared" si="86"/>
        <v>1800</v>
      </c>
      <c r="AO583" s="12">
        <v>200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3">
        <f t="shared" si="88"/>
        <v>200</v>
      </c>
      <c r="AV583" s="3">
        <f>SUM(AJ583 - AN583 - AU583)</f>
        <v>91333</v>
      </c>
      <c r="AW583" s="11">
        <v>0</v>
      </c>
      <c r="AX583" s="11">
        <v>0</v>
      </c>
      <c r="AY583" s="11">
        <v>0</v>
      </c>
      <c r="AZ583" s="11">
        <v>0</v>
      </c>
      <c r="BA583" s="3">
        <f t="shared" si="87"/>
        <v>91333</v>
      </c>
    </row>
    <row r="584" spans="1:53" x14ac:dyDescent="0.25">
      <c r="A584" s="1" t="s">
        <v>582</v>
      </c>
      <c r="B584" s="9" t="s">
        <v>1738</v>
      </c>
      <c r="C584" s="9" t="s">
        <v>1026</v>
      </c>
      <c r="D584" s="9" t="s">
        <v>2163</v>
      </c>
      <c r="E584" s="9" t="s">
        <v>1008</v>
      </c>
      <c r="F584" s="10">
        <v>44657</v>
      </c>
      <c r="G584" s="9" t="s">
        <v>1019</v>
      </c>
      <c r="I584" s="9" t="s">
        <v>1014</v>
      </c>
      <c r="J584" s="9" t="s">
        <v>1015</v>
      </c>
      <c r="K584" s="8" t="s">
        <v>1006</v>
      </c>
      <c r="L584" s="8" t="s">
        <v>1007</v>
      </c>
      <c r="M584" s="8" t="s">
        <v>2933</v>
      </c>
      <c r="N584" s="8" t="s">
        <v>2937</v>
      </c>
      <c r="O584" s="1" t="s">
        <v>2934</v>
      </c>
      <c r="P584">
        <v>30</v>
      </c>
      <c r="Q584">
        <v>30</v>
      </c>
      <c r="R584">
        <v>0</v>
      </c>
      <c r="S584">
        <f t="shared" si="89"/>
        <v>30</v>
      </c>
      <c r="T584" s="1" t="s">
        <v>2935</v>
      </c>
      <c r="U584" s="1" t="s">
        <v>2932</v>
      </c>
      <c r="V584" s="3">
        <f t="shared" si="90"/>
        <v>40000</v>
      </c>
      <c r="W584" s="3">
        <f t="shared" si="91"/>
        <v>16000</v>
      </c>
      <c r="X584" s="3">
        <f t="shared" si="83"/>
        <v>1250</v>
      </c>
      <c r="Y584" s="3">
        <f t="shared" si="84"/>
        <v>1600</v>
      </c>
      <c r="Z584" s="3">
        <f t="shared" si="85"/>
        <v>1800</v>
      </c>
      <c r="AA584" s="3">
        <v>0</v>
      </c>
      <c r="AB584" s="3">
        <f>ROUND(U584 - (V584+W584+X584+Y584) - (U584/Q584 * 2),0)</f>
        <v>34483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f>SUM(V584+W584+X584+Y584+AB584)</f>
        <v>93333</v>
      </c>
      <c r="AK584" s="3">
        <f>SUM(AJ584-AA584)</f>
        <v>93333</v>
      </c>
      <c r="AL584" s="3">
        <f>IF(V584&lt;=15000,V584*12%,1800)</f>
        <v>1800</v>
      </c>
      <c r="AM584" s="3">
        <v>0</v>
      </c>
      <c r="AN584" s="3">
        <f t="shared" si="86"/>
        <v>1800</v>
      </c>
      <c r="AO584" s="12">
        <v>200</v>
      </c>
      <c r="AP584" s="12">
        <v>0</v>
      </c>
      <c r="AQ584" s="12">
        <v>0</v>
      </c>
      <c r="AR584" s="12">
        <v>0</v>
      </c>
      <c r="AS584" s="12">
        <v>0</v>
      </c>
      <c r="AT584" s="12">
        <v>0</v>
      </c>
      <c r="AU584" s="3">
        <f t="shared" si="88"/>
        <v>200</v>
      </c>
      <c r="AV584" s="3">
        <f>SUM(AJ584 - AN584 - AU584)</f>
        <v>91333</v>
      </c>
      <c r="AW584" s="11">
        <v>0</v>
      </c>
      <c r="AX584" s="11">
        <v>0</v>
      </c>
      <c r="AY584" s="11">
        <v>0</v>
      </c>
      <c r="AZ584" s="11">
        <v>0</v>
      </c>
      <c r="BA584" s="3">
        <f t="shared" si="87"/>
        <v>91333</v>
      </c>
    </row>
    <row r="585" spans="1:53" x14ac:dyDescent="0.25">
      <c r="A585" s="1" t="s">
        <v>583</v>
      </c>
      <c r="B585" s="9" t="s">
        <v>2161</v>
      </c>
      <c r="C585" s="9" t="s">
        <v>1839</v>
      </c>
      <c r="D585" s="9" t="s">
        <v>2162</v>
      </c>
      <c r="E585" s="9" t="s">
        <v>1012</v>
      </c>
      <c r="F585" s="10">
        <v>44665</v>
      </c>
      <c r="G585" s="9" t="s">
        <v>1019</v>
      </c>
      <c r="I585" s="9" t="s">
        <v>1042</v>
      </c>
      <c r="J585" s="9" t="s">
        <v>1595</v>
      </c>
      <c r="K585" s="8" t="s">
        <v>1006</v>
      </c>
      <c r="L585" s="8" t="s">
        <v>1007</v>
      </c>
      <c r="M585" s="8" t="s">
        <v>2933</v>
      </c>
      <c r="N585" s="8" t="s">
        <v>2937</v>
      </c>
      <c r="O585" s="1" t="s">
        <v>2934</v>
      </c>
      <c r="P585">
        <v>30</v>
      </c>
      <c r="Q585">
        <v>30</v>
      </c>
      <c r="R585">
        <v>0</v>
      </c>
      <c r="S585">
        <f t="shared" si="89"/>
        <v>30</v>
      </c>
      <c r="T585" s="1" t="s">
        <v>2935</v>
      </c>
      <c r="U585" s="1" t="s">
        <v>2932</v>
      </c>
      <c r="V585" s="3">
        <f t="shared" si="90"/>
        <v>40000</v>
      </c>
      <c r="W585" s="3">
        <f t="shared" si="91"/>
        <v>16000</v>
      </c>
      <c r="X585" s="3">
        <f t="shared" si="83"/>
        <v>1250</v>
      </c>
      <c r="Y585" s="3">
        <f t="shared" si="84"/>
        <v>1600</v>
      </c>
      <c r="Z585" s="3">
        <f t="shared" si="85"/>
        <v>1800</v>
      </c>
      <c r="AA585" s="3">
        <v>0</v>
      </c>
      <c r="AB585" s="3">
        <f>ROUND(U585 - (V585+W585+X585+Y585) - (U585/Q585 * 2),0)</f>
        <v>34483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f>SUM(V585+W585+X585+Y585+AB585)</f>
        <v>93333</v>
      </c>
      <c r="AK585" s="3">
        <f>SUM(AJ585-AA585)</f>
        <v>93333</v>
      </c>
      <c r="AL585" s="3">
        <f>IF(V585&lt;=15000,V585*12%,1800)</f>
        <v>1800</v>
      </c>
      <c r="AM585" s="3">
        <v>0</v>
      </c>
      <c r="AN585" s="3">
        <f t="shared" si="86"/>
        <v>1800</v>
      </c>
      <c r="AO585" s="12">
        <v>200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3">
        <f t="shared" si="88"/>
        <v>200</v>
      </c>
      <c r="AV585" s="3">
        <f>SUM(AJ585 - AN585 - AU585)</f>
        <v>91333</v>
      </c>
      <c r="AW585" s="11">
        <v>0</v>
      </c>
      <c r="AX585" s="11">
        <v>0</v>
      </c>
      <c r="AY585" s="11">
        <v>0</v>
      </c>
      <c r="AZ585" s="11">
        <v>0</v>
      </c>
      <c r="BA585" s="3">
        <f t="shared" si="87"/>
        <v>91333</v>
      </c>
    </row>
    <row r="586" spans="1:53" x14ac:dyDescent="0.25">
      <c r="A586" s="1" t="s">
        <v>584</v>
      </c>
      <c r="B586" s="9" t="s">
        <v>2159</v>
      </c>
      <c r="C586" s="9" t="s">
        <v>1663</v>
      </c>
      <c r="D586" s="9" t="s">
        <v>2160</v>
      </c>
      <c r="E586" s="9" t="s">
        <v>1012</v>
      </c>
      <c r="F586" s="10">
        <v>44685</v>
      </c>
      <c r="G586" s="9" t="s">
        <v>1013</v>
      </c>
      <c r="I586" s="9" t="s">
        <v>1042</v>
      </c>
      <c r="J586" s="9" t="s">
        <v>1440</v>
      </c>
      <c r="K586" s="8" t="s">
        <v>1006</v>
      </c>
      <c r="L586" s="8" t="s">
        <v>1007</v>
      </c>
      <c r="M586" s="8" t="s">
        <v>2933</v>
      </c>
      <c r="N586" s="8" t="s">
        <v>2937</v>
      </c>
      <c r="O586" s="1" t="s">
        <v>2934</v>
      </c>
      <c r="P586">
        <v>30</v>
      </c>
      <c r="Q586">
        <v>30</v>
      </c>
      <c r="R586">
        <v>0</v>
      </c>
      <c r="S586">
        <f t="shared" si="89"/>
        <v>30</v>
      </c>
      <c r="T586" s="1" t="s">
        <v>2935</v>
      </c>
      <c r="U586" s="1" t="s">
        <v>2932</v>
      </c>
      <c r="V586" s="3">
        <f t="shared" si="90"/>
        <v>40000</v>
      </c>
      <c r="W586" s="3">
        <f t="shared" si="91"/>
        <v>16000</v>
      </c>
      <c r="X586" s="3">
        <f t="shared" si="83"/>
        <v>1250</v>
      </c>
      <c r="Y586" s="3">
        <f t="shared" si="84"/>
        <v>1600</v>
      </c>
      <c r="Z586" s="3">
        <f t="shared" si="85"/>
        <v>1800</v>
      </c>
      <c r="AA586" s="3">
        <v>0</v>
      </c>
      <c r="AB586" s="3">
        <f>ROUND(U586 - (V586+W586+X586+Y586) - (U586/Q586 * 2),0)</f>
        <v>34483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f>SUM(V586+W586+X586+Y586+AB586)</f>
        <v>93333</v>
      </c>
      <c r="AK586" s="3">
        <f>SUM(AJ586-AA586)</f>
        <v>93333</v>
      </c>
      <c r="AL586" s="3">
        <f>IF(V586&lt;=15000,V586*12%,1800)</f>
        <v>1800</v>
      </c>
      <c r="AM586" s="3">
        <v>0</v>
      </c>
      <c r="AN586" s="3">
        <f t="shared" si="86"/>
        <v>1800</v>
      </c>
      <c r="AO586" s="12">
        <v>200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3">
        <f t="shared" si="88"/>
        <v>200</v>
      </c>
      <c r="AV586" s="3">
        <f>SUM(AJ586 - AN586 - AU586)</f>
        <v>91333</v>
      </c>
      <c r="AW586" s="11">
        <v>0</v>
      </c>
      <c r="AX586" s="11">
        <v>0</v>
      </c>
      <c r="AY586" s="11">
        <v>0</v>
      </c>
      <c r="AZ586" s="11">
        <v>0</v>
      </c>
      <c r="BA586" s="3">
        <f t="shared" si="87"/>
        <v>91333</v>
      </c>
    </row>
    <row r="587" spans="1:53" x14ac:dyDescent="0.25">
      <c r="A587" s="1" t="s">
        <v>585</v>
      </c>
      <c r="B587" s="9" t="s">
        <v>2157</v>
      </c>
      <c r="C587" s="9" t="s">
        <v>1173</v>
      </c>
      <c r="D587" s="9" t="s">
        <v>2158</v>
      </c>
      <c r="E587" s="9" t="s">
        <v>1012</v>
      </c>
      <c r="F587" s="10">
        <v>44669</v>
      </c>
      <c r="G587" s="9" t="s">
        <v>1013</v>
      </c>
      <c r="I587" s="9" t="s">
        <v>1035</v>
      </c>
      <c r="J587" s="9" t="s">
        <v>1048</v>
      </c>
      <c r="K587" s="8" t="s">
        <v>1006</v>
      </c>
      <c r="L587" s="8" t="s">
        <v>1007</v>
      </c>
      <c r="M587" s="8" t="s">
        <v>2933</v>
      </c>
      <c r="N587" s="8" t="s">
        <v>2937</v>
      </c>
      <c r="O587" s="1" t="s">
        <v>2934</v>
      </c>
      <c r="P587">
        <v>30</v>
      </c>
      <c r="Q587">
        <v>30</v>
      </c>
      <c r="R587">
        <v>0</v>
      </c>
      <c r="S587">
        <f t="shared" si="89"/>
        <v>30</v>
      </c>
      <c r="T587" s="1" t="s">
        <v>2935</v>
      </c>
      <c r="U587" s="1" t="s">
        <v>2932</v>
      </c>
      <c r="V587" s="3">
        <f t="shared" si="90"/>
        <v>40000</v>
      </c>
      <c r="W587" s="3">
        <f t="shared" si="91"/>
        <v>16000</v>
      </c>
      <c r="X587" s="3">
        <f t="shared" si="83"/>
        <v>1250</v>
      </c>
      <c r="Y587" s="3">
        <f t="shared" si="84"/>
        <v>1600</v>
      </c>
      <c r="Z587" s="3">
        <f t="shared" si="85"/>
        <v>1800</v>
      </c>
      <c r="AA587" s="3">
        <v>0</v>
      </c>
      <c r="AB587" s="3">
        <f>ROUND(U587 - (V587+W587+X587+Y587) - (U587/Q587 * 2),0)</f>
        <v>34483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f>SUM(V587+W587+X587+Y587+AB587)</f>
        <v>93333</v>
      </c>
      <c r="AK587" s="3">
        <f>SUM(AJ587-AA587)</f>
        <v>93333</v>
      </c>
      <c r="AL587" s="3">
        <f>IF(V587&lt;=15000,V587*12%,1800)</f>
        <v>1800</v>
      </c>
      <c r="AM587" s="3">
        <v>0</v>
      </c>
      <c r="AN587" s="3">
        <f t="shared" si="86"/>
        <v>1800</v>
      </c>
      <c r="AO587" s="12">
        <v>200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3">
        <f t="shared" si="88"/>
        <v>200</v>
      </c>
      <c r="AV587" s="3">
        <f>SUM(AJ587 - AN587 - AU587)</f>
        <v>91333</v>
      </c>
      <c r="AW587" s="11">
        <v>0</v>
      </c>
      <c r="AX587" s="11">
        <v>0</v>
      </c>
      <c r="AY587" s="11">
        <v>0</v>
      </c>
      <c r="AZ587" s="11">
        <v>0</v>
      </c>
      <c r="BA587" s="3">
        <f t="shared" si="87"/>
        <v>91333</v>
      </c>
    </row>
    <row r="588" spans="1:53" x14ac:dyDescent="0.25">
      <c r="A588" s="1" t="s">
        <v>586</v>
      </c>
      <c r="B588" s="9" t="s">
        <v>2155</v>
      </c>
      <c r="C588" s="9" t="s">
        <v>1115</v>
      </c>
      <c r="D588" s="9" t="s">
        <v>2156</v>
      </c>
      <c r="E588" s="9" t="s">
        <v>1012</v>
      </c>
      <c r="F588" s="10">
        <v>44669</v>
      </c>
      <c r="G588" s="9" t="s">
        <v>1013</v>
      </c>
      <c r="I588" s="9" t="s">
        <v>1035</v>
      </c>
      <c r="J588" s="9" t="s">
        <v>1048</v>
      </c>
      <c r="K588" s="8" t="s">
        <v>1006</v>
      </c>
      <c r="L588" s="8" t="s">
        <v>1007</v>
      </c>
      <c r="M588" s="8" t="s">
        <v>2933</v>
      </c>
      <c r="N588" s="8" t="s">
        <v>2937</v>
      </c>
      <c r="O588" s="1" t="s">
        <v>2934</v>
      </c>
      <c r="P588">
        <v>30</v>
      </c>
      <c r="Q588">
        <v>30</v>
      </c>
      <c r="R588">
        <v>0</v>
      </c>
      <c r="S588">
        <f t="shared" si="89"/>
        <v>30</v>
      </c>
      <c r="T588" s="1" t="s">
        <v>2935</v>
      </c>
      <c r="U588" s="1" t="s">
        <v>2932</v>
      </c>
      <c r="V588" s="3">
        <f t="shared" si="90"/>
        <v>40000</v>
      </c>
      <c r="W588" s="3">
        <f t="shared" si="91"/>
        <v>16000</v>
      </c>
      <c r="X588" s="3">
        <f t="shared" si="83"/>
        <v>1250</v>
      </c>
      <c r="Y588" s="3">
        <f t="shared" si="84"/>
        <v>1600</v>
      </c>
      <c r="Z588" s="3">
        <f t="shared" si="85"/>
        <v>1800</v>
      </c>
      <c r="AA588" s="3">
        <v>0</v>
      </c>
      <c r="AB588" s="3">
        <f>ROUND(U588 - (V588+W588+X588+Y588) - (U588/Q588 * 2),0)</f>
        <v>34483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f>SUM(V588+W588+X588+Y588+AB588)</f>
        <v>93333</v>
      </c>
      <c r="AK588" s="3">
        <f>SUM(AJ588-AA588)</f>
        <v>93333</v>
      </c>
      <c r="AL588" s="3">
        <f>IF(V588&lt;=15000,V588*12%,1800)</f>
        <v>1800</v>
      </c>
      <c r="AM588" s="3">
        <v>0</v>
      </c>
      <c r="AN588" s="3">
        <f t="shared" si="86"/>
        <v>1800</v>
      </c>
      <c r="AO588" s="12">
        <v>200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3">
        <f t="shared" si="88"/>
        <v>200</v>
      </c>
      <c r="AV588" s="3">
        <f>SUM(AJ588 - AN588 - AU588)</f>
        <v>91333</v>
      </c>
      <c r="AW588" s="11">
        <v>0</v>
      </c>
      <c r="AX588" s="11">
        <v>0</v>
      </c>
      <c r="AY588" s="11">
        <v>0</v>
      </c>
      <c r="AZ588" s="11">
        <v>0</v>
      </c>
      <c r="BA588" s="3">
        <f t="shared" si="87"/>
        <v>91333</v>
      </c>
    </row>
    <row r="589" spans="1:53" x14ac:dyDescent="0.25">
      <c r="A589" s="1" t="s">
        <v>587</v>
      </c>
      <c r="B589" s="9" t="s">
        <v>2153</v>
      </c>
      <c r="C589" s="9" t="s">
        <v>1115</v>
      </c>
      <c r="D589" s="9" t="s">
        <v>2154</v>
      </c>
      <c r="E589" s="9" t="s">
        <v>1012</v>
      </c>
      <c r="F589" s="10">
        <v>44669</v>
      </c>
      <c r="G589" s="9" t="s">
        <v>1013</v>
      </c>
      <c r="I589" s="9" t="s">
        <v>1035</v>
      </c>
      <c r="J589" s="9" t="s">
        <v>1048</v>
      </c>
      <c r="K589" s="8" t="s">
        <v>1006</v>
      </c>
      <c r="L589" s="8" t="s">
        <v>1007</v>
      </c>
      <c r="M589" s="8" t="s">
        <v>2933</v>
      </c>
      <c r="N589" s="8" t="s">
        <v>2937</v>
      </c>
      <c r="O589" s="1" t="s">
        <v>2934</v>
      </c>
      <c r="P589">
        <v>30</v>
      </c>
      <c r="Q589">
        <v>30</v>
      </c>
      <c r="R589">
        <v>0</v>
      </c>
      <c r="S589">
        <f t="shared" si="89"/>
        <v>30</v>
      </c>
      <c r="T589" s="1" t="s">
        <v>2935</v>
      </c>
      <c r="U589" s="1" t="s">
        <v>2932</v>
      </c>
      <c r="V589" s="3">
        <f t="shared" si="90"/>
        <v>40000</v>
      </c>
      <c r="W589" s="3">
        <f t="shared" si="91"/>
        <v>16000</v>
      </c>
      <c r="X589" s="3">
        <f t="shared" si="83"/>
        <v>1250</v>
      </c>
      <c r="Y589" s="3">
        <f t="shared" si="84"/>
        <v>1600</v>
      </c>
      <c r="Z589" s="3">
        <f t="shared" si="85"/>
        <v>1800</v>
      </c>
      <c r="AA589" s="3">
        <v>0</v>
      </c>
      <c r="AB589" s="3">
        <f>ROUND(U589 - (V589+W589+X589+Y589) - (U589/Q589 * 2),0)</f>
        <v>34483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f>SUM(V589+W589+X589+Y589+AB589)</f>
        <v>93333</v>
      </c>
      <c r="AK589" s="3">
        <f>SUM(AJ589-AA589)</f>
        <v>93333</v>
      </c>
      <c r="AL589" s="3">
        <f>IF(V589&lt;=15000,V589*12%,1800)</f>
        <v>1800</v>
      </c>
      <c r="AM589" s="3">
        <v>0</v>
      </c>
      <c r="AN589" s="3">
        <f t="shared" si="86"/>
        <v>1800</v>
      </c>
      <c r="AO589" s="12">
        <v>200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3">
        <f t="shared" si="88"/>
        <v>200</v>
      </c>
      <c r="AV589" s="3">
        <f>SUM(AJ589 - AN589 - AU589)</f>
        <v>91333</v>
      </c>
      <c r="AW589" s="11">
        <v>0</v>
      </c>
      <c r="AX589" s="11">
        <v>0</v>
      </c>
      <c r="AY589" s="11">
        <v>0</v>
      </c>
      <c r="AZ589" s="11">
        <v>0</v>
      </c>
      <c r="BA589" s="3">
        <f t="shared" si="87"/>
        <v>91333</v>
      </c>
    </row>
    <row r="590" spans="1:53" x14ac:dyDescent="0.25">
      <c r="A590" s="1" t="s">
        <v>588</v>
      </c>
      <c r="B590" s="9" t="s">
        <v>2151</v>
      </c>
      <c r="C590" s="9" t="s">
        <v>1327</v>
      </c>
      <c r="D590" s="9" t="s">
        <v>2152</v>
      </c>
      <c r="E590" s="9" t="s">
        <v>1012</v>
      </c>
      <c r="F590" s="10">
        <v>44671</v>
      </c>
      <c r="G590" s="9" t="s">
        <v>1019</v>
      </c>
      <c r="I590" s="9" t="s">
        <v>1035</v>
      </c>
      <c r="J590" s="9" t="s">
        <v>1031</v>
      </c>
      <c r="K590" s="8" t="s">
        <v>1006</v>
      </c>
      <c r="L590" s="8" t="s">
        <v>1007</v>
      </c>
      <c r="M590" s="8" t="s">
        <v>2933</v>
      </c>
      <c r="N590" s="8" t="s">
        <v>2937</v>
      </c>
      <c r="O590" s="1" t="s">
        <v>2934</v>
      </c>
      <c r="P590">
        <v>30</v>
      </c>
      <c r="Q590">
        <v>30</v>
      </c>
      <c r="R590">
        <v>0</v>
      </c>
      <c r="S590">
        <f t="shared" si="89"/>
        <v>30</v>
      </c>
      <c r="T590" s="1" t="s">
        <v>2935</v>
      </c>
      <c r="U590" s="1" t="s">
        <v>2932</v>
      </c>
      <c r="V590" s="3">
        <f t="shared" si="90"/>
        <v>40000</v>
      </c>
      <c r="W590" s="3">
        <f t="shared" si="91"/>
        <v>16000</v>
      </c>
      <c r="X590" s="3">
        <f t="shared" si="83"/>
        <v>1250</v>
      </c>
      <c r="Y590" s="3">
        <f t="shared" si="84"/>
        <v>1600</v>
      </c>
      <c r="Z590" s="3">
        <f t="shared" si="85"/>
        <v>1800</v>
      </c>
      <c r="AA590" s="3">
        <v>0</v>
      </c>
      <c r="AB590" s="3">
        <f>ROUND(U590 - (V590+W590+X590+Y590) - (U590/Q590 * 2),0)</f>
        <v>34483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f>SUM(V590+W590+X590+Y590+AB590)</f>
        <v>93333</v>
      </c>
      <c r="AK590" s="3">
        <f>SUM(AJ590-AA590)</f>
        <v>93333</v>
      </c>
      <c r="AL590" s="3">
        <f>IF(V590&lt;=15000,V590*12%,1800)</f>
        <v>1800</v>
      </c>
      <c r="AM590" s="3">
        <v>0</v>
      </c>
      <c r="AN590" s="3">
        <f t="shared" si="86"/>
        <v>1800</v>
      </c>
      <c r="AO590" s="12">
        <v>200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3">
        <f t="shared" si="88"/>
        <v>200</v>
      </c>
      <c r="AV590" s="3">
        <f>SUM(AJ590 - AN590 - AU590)</f>
        <v>91333</v>
      </c>
      <c r="AW590" s="11">
        <v>0</v>
      </c>
      <c r="AX590" s="11">
        <v>0</v>
      </c>
      <c r="AY590" s="11">
        <v>0</v>
      </c>
      <c r="AZ590" s="11">
        <v>0</v>
      </c>
      <c r="BA590" s="3">
        <f t="shared" si="87"/>
        <v>91333</v>
      </c>
    </row>
    <row r="591" spans="1:53" x14ac:dyDescent="0.25">
      <c r="A591" s="1" t="s">
        <v>589</v>
      </c>
      <c r="B591" s="9" t="s">
        <v>2206</v>
      </c>
      <c r="C591" s="9" t="s">
        <v>1010</v>
      </c>
      <c r="D591" s="9" t="s">
        <v>2207</v>
      </c>
      <c r="E591" s="9" t="s">
        <v>1012</v>
      </c>
      <c r="F591" s="10">
        <v>44669</v>
      </c>
      <c r="G591" s="9" t="s">
        <v>1013</v>
      </c>
      <c r="I591" s="9" t="s">
        <v>1014</v>
      </c>
      <c r="J591" s="9" t="s">
        <v>1015</v>
      </c>
      <c r="K591" s="8" t="s">
        <v>1006</v>
      </c>
      <c r="L591" s="8" t="s">
        <v>1007</v>
      </c>
      <c r="M591" s="8" t="s">
        <v>2933</v>
      </c>
      <c r="N591" s="8" t="s">
        <v>2937</v>
      </c>
      <c r="O591" s="1" t="s">
        <v>2934</v>
      </c>
      <c r="P591">
        <v>30</v>
      </c>
      <c r="Q591">
        <v>30</v>
      </c>
      <c r="R591">
        <v>0</v>
      </c>
      <c r="S591">
        <f t="shared" si="89"/>
        <v>30</v>
      </c>
      <c r="T591" s="1" t="s">
        <v>2935</v>
      </c>
      <c r="U591" s="1" t="s">
        <v>2932</v>
      </c>
      <c r="V591" s="3">
        <f t="shared" si="90"/>
        <v>40000</v>
      </c>
      <c r="W591" s="3">
        <f t="shared" si="91"/>
        <v>16000</v>
      </c>
      <c r="X591" s="3">
        <f t="shared" si="83"/>
        <v>1250</v>
      </c>
      <c r="Y591" s="3">
        <f t="shared" si="84"/>
        <v>1600</v>
      </c>
      <c r="Z591" s="3">
        <f t="shared" si="85"/>
        <v>1800</v>
      </c>
      <c r="AA591" s="3">
        <v>0</v>
      </c>
      <c r="AB591" s="3">
        <f>ROUND(U591 - (V591+W591+X591+Y591) - (U591/Q591 * 2),0)</f>
        <v>34483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f>SUM(V591+W591+X591+Y591+AB591)</f>
        <v>93333</v>
      </c>
      <c r="AK591" s="3">
        <f>SUM(AJ591-AA591)</f>
        <v>93333</v>
      </c>
      <c r="AL591" s="3">
        <f>IF(V591&lt;=15000,V591*12%,1800)</f>
        <v>1800</v>
      </c>
      <c r="AM591" s="3">
        <v>0</v>
      </c>
      <c r="AN591" s="3">
        <f t="shared" si="86"/>
        <v>1800</v>
      </c>
      <c r="AO591" s="12">
        <v>200</v>
      </c>
      <c r="AP591" s="12">
        <v>0</v>
      </c>
      <c r="AQ591" s="12">
        <v>0</v>
      </c>
      <c r="AR591" s="12">
        <v>0</v>
      </c>
      <c r="AS591" s="12">
        <v>0</v>
      </c>
      <c r="AT591" s="12">
        <v>0</v>
      </c>
      <c r="AU591" s="3">
        <f t="shared" si="88"/>
        <v>200</v>
      </c>
      <c r="AV591" s="3">
        <f>SUM(AJ591 - AN591 - AU591)</f>
        <v>91333</v>
      </c>
      <c r="AW591" s="11">
        <v>0</v>
      </c>
      <c r="AX591" s="11">
        <v>0</v>
      </c>
      <c r="AY591" s="11">
        <v>0</v>
      </c>
      <c r="AZ591" s="11">
        <v>0</v>
      </c>
      <c r="BA591" s="3">
        <f t="shared" si="87"/>
        <v>91333</v>
      </c>
    </row>
    <row r="592" spans="1:53" x14ac:dyDescent="0.25">
      <c r="A592" s="1" t="s">
        <v>590</v>
      </c>
      <c r="B592" s="9" t="s">
        <v>2203</v>
      </c>
      <c r="C592" s="9" t="s">
        <v>2204</v>
      </c>
      <c r="D592" s="9" t="s">
        <v>2205</v>
      </c>
      <c r="E592" s="9" t="s">
        <v>1012</v>
      </c>
      <c r="F592" s="10">
        <v>44669</v>
      </c>
      <c r="G592" s="9" t="s">
        <v>1019</v>
      </c>
      <c r="I592" s="9" t="s">
        <v>1014</v>
      </c>
      <c r="J592" s="9" t="s">
        <v>1595</v>
      </c>
      <c r="K592" s="8" t="s">
        <v>1006</v>
      </c>
      <c r="L592" s="8" t="s">
        <v>1007</v>
      </c>
      <c r="M592" s="8" t="s">
        <v>2933</v>
      </c>
      <c r="N592" s="8" t="s">
        <v>2937</v>
      </c>
      <c r="O592" s="1" t="s">
        <v>2934</v>
      </c>
      <c r="P592">
        <v>30</v>
      </c>
      <c r="Q592">
        <v>30</v>
      </c>
      <c r="R592">
        <v>0</v>
      </c>
      <c r="S592">
        <f t="shared" si="89"/>
        <v>30</v>
      </c>
      <c r="T592" s="1" t="s">
        <v>2935</v>
      </c>
      <c r="U592" s="1" t="s">
        <v>2932</v>
      </c>
      <c r="V592" s="3">
        <f t="shared" si="90"/>
        <v>40000</v>
      </c>
      <c r="W592" s="3">
        <f t="shared" si="91"/>
        <v>16000</v>
      </c>
      <c r="X592" s="3">
        <f t="shared" si="83"/>
        <v>1250</v>
      </c>
      <c r="Y592" s="3">
        <f t="shared" si="84"/>
        <v>1600</v>
      </c>
      <c r="Z592" s="3">
        <f t="shared" si="85"/>
        <v>1800</v>
      </c>
      <c r="AA592" s="3">
        <v>0</v>
      </c>
      <c r="AB592" s="3">
        <f>ROUND(U592 - (V592+W592+X592+Y592) - (U592/Q592 * 2),0)</f>
        <v>34483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f>SUM(V592+W592+X592+Y592+AB592)</f>
        <v>93333</v>
      </c>
      <c r="AK592" s="3">
        <f>SUM(AJ592-AA592)</f>
        <v>93333</v>
      </c>
      <c r="AL592" s="3">
        <f>IF(V592&lt;=15000,V592*12%,1800)</f>
        <v>1800</v>
      </c>
      <c r="AM592" s="3">
        <v>0</v>
      </c>
      <c r="AN592" s="3">
        <f t="shared" si="86"/>
        <v>1800</v>
      </c>
      <c r="AO592" s="12">
        <v>200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3">
        <f t="shared" si="88"/>
        <v>200</v>
      </c>
      <c r="AV592" s="3">
        <f>SUM(AJ592 - AN592 - AU592)</f>
        <v>91333</v>
      </c>
      <c r="AW592" s="11">
        <v>0</v>
      </c>
      <c r="AX592" s="11">
        <v>0</v>
      </c>
      <c r="AY592" s="11">
        <v>0</v>
      </c>
      <c r="AZ592" s="11">
        <v>0</v>
      </c>
      <c r="BA592" s="3">
        <f t="shared" si="87"/>
        <v>91333</v>
      </c>
    </row>
    <row r="593" spans="1:53" x14ac:dyDescent="0.25">
      <c r="A593" s="1" t="s">
        <v>591</v>
      </c>
      <c r="B593" s="9" t="s">
        <v>2201</v>
      </c>
      <c r="C593" s="9" t="s">
        <v>1519</v>
      </c>
      <c r="D593" s="9" t="s">
        <v>2202</v>
      </c>
      <c r="E593" s="9" t="s">
        <v>1012</v>
      </c>
      <c r="F593" s="10">
        <v>44676</v>
      </c>
      <c r="G593" s="9" t="s">
        <v>1019</v>
      </c>
      <c r="I593" s="9" t="s">
        <v>1035</v>
      </c>
      <c r="J593" s="9" t="s">
        <v>1440</v>
      </c>
      <c r="K593" s="8" t="s">
        <v>1006</v>
      </c>
      <c r="L593" s="8" t="s">
        <v>1007</v>
      </c>
      <c r="M593" s="8" t="s">
        <v>2933</v>
      </c>
      <c r="N593" s="8" t="s">
        <v>2937</v>
      </c>
      <c r="O593" s="1" t="s">
        <v>2934</v>
      </c>
      <c r="P593">
        <v>30</v>
      </c>
      <c r="Q593">
        <v>30</v>
      </c>
      <c r="R593">
        <v>0</v>
      </c>
      <c r="S593">
        <f t="shared" si="89"/>
        <v>30</v>
      </c>
      <c r="T593" s="1" t="s">
        <v>2935</v>
      </c>
      <c r="U593" s="1" t="s">
        <v>2932</v>
      </c>
      <c r="V593" s="3">
        <f t="shared" si="90"/>
        <v>40000</v>
      </c>
      <c r="W593" s="3">
        <f t="shared" si="91"/>
        <v>16000</v>
      </c>
      <c r="X593" s="3">
        <f t="shared" si="83"/>
        <v>1250</v>
      </c>
      <c r="Y593" s="3">
        <f t="shared" si="84"/>
        <v>1600</v>
      </c>
      <c r="Z593" s="3">
        <f t="shared" si="85"/>
        <v>1800</v>
      </c>
      <c r="AA593" s="3">
        <v>0</v>
      </c>
      <c r="AB593" s="3">
        <f>ROUND(U593 - (V593+W593+X593+Y593) - (U593/Q593 * 2),0)</f>
        <v>34483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f>SUM(V593+W593+X593+Y593+AB593)</f>
        <v>93333</v>
      </c>
      <c r="AK593" s="3">
        <f>SUM(AJ593-AA593)</f>
        <v>93333</v>
      </c>
      <c r="AL593" s="3">
        <f>IF(V593&lt;=15000,V593*12%,1800)</f>
        <v>1800</v>
      </c>
      <c r="AM593" s="3">
        <v>0</v>
      </c>
      <c r="AN593" s="3">
        <f t="shared" si="86"/>
        <v>1800</v>
      </c>
      <c r="AO593" s="12">
        <v>200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3">
        <f t="shared" si="88"/>
        <v>200</v>
      </c>
      <c r="AV593" s="3">
        <f>SUM(AJ593 - AN593 - AU593)</f>
        <v>91333</v>
      </c>
      <c r="AW593" s="11">
        <v>0</v>
      </c>
      <c r="AX593" s="11">
        <v>0</v>
      </c>
      <c r="AY593" s="11">
        <v>0</v>
      </c>
      <c r="AZ593" s="11">
        <v>0</v>
      </c>
      <c r="BA593" s="3">
        <f t="shared" si="87"/>
        <v>91333</v>
      </c>
    </row>
    <row r="594" spans="1:53" x14ac:dyDescent="0.25">
      <c r="A594" s="1" t="s">
        <v>592</v>
      </c>
      <c r="B594" s="9" t="s">
        <v>2199</v>
      </c>
      <c r="C594" s="9" t="s">
        <v>1023</v>
      </c>
      <c r="D594" s="9" t="s">
        <v>2200</v>
      </c>
      <c r="E594" s="9" t="s">
        <v>1012</v>
      </c>
      <c r="F594" s="10">
        <v>44678</v>
      </c>
      <c r="G594" s="9" t="s">
        <v>1019</v>
      </c>
      <c r="I594" s="9" t="s">
        <v>2009</v>
      </c>
      <c r="J594" s="9" t="s">
        <v>1021</v>
      </c>
      <c r="K594" s="8" t="s">
        <v>1006</v>
      </c>
      <c r="L594" s="8" t="s">
        <v>1007</v>
      </c>
      <c r="M594" s="8" t="s">
        <v>2933</v>
      </c>
      <c r="N594" s="8" t="s">
        <v>2937</v>
      </c>
      <c r="O594" s="1" t="s">
        <v>2934</v>
      </c>
      <c r="P594">
        <v>30</v>
      </c>
      <c r="Q594">
        <v>30</v>
      </c>
      <c r="R594">
        <v>0</v>
      </c>
      <c r="S594">
        <f t="shared" si="89"/>
        <v>30</v>
      </c>
      <c r="T594" s="1" t="s">
        <v>2935</v>
      </c>
      <c r="U594" s="1" t="s">
        <v>2932</v>
      </c>
      <c r="V594" s="3">
        <f t="shared" si="90"/>
        <v>40000</v>
      </c>
      <c r="W594" s="3">
        <f t="shared" si="91"/>
        <v>16000</v>
      </c>
      <c r="X594" s="3">
        <f t="shared" si="83"/>
        <v>1250</v>
      </c>
      <c r="Y594" s="3">
        <f t="shared" si="84"/>
        <v>1600</v>
      </c>
      <c r="Z594" s="3">
        <f t="shared" si="85"/>
        <v>1800</v>
      </c>
      <c r="AA594" s="3">
        <v>0</v>
      </c>
      <c r="AB594" s="3">
        <f>ROUND(U594 - (V594+W594+X594+Y594) - (U594/Q594 * 2),0)</f>
        <v>34483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f>SUM(V594+W594+X594+Y594+AB594)</f>
        <v>93333</v>
      </c>
      <c r="AK594" s="3">
        <f>SUM(AJ594-AA594)</f>
        <v>93333</v>
      </c>
      <c r="AL594" s="3">
        <f>IF(V594&lt;=15000,V594*12%,1800)</f>
        <v>1800</v>
      </c>
      <c r="AM594" s="3">
        <v>0</v>
      </c>
      <c r="AN594" s="3">
        <f t="shared" si="86"/>
        <v>1800</v>
      </c>
      <c r="AO594" s="12">
        <v>200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3">
        <f t="shared" si="88"/>
        <v>200</v>
      </c>
      <c r="AV594" s="3">
        <f>SUM(AJ594 - AN594 - AU594)</f>
        <v>91333</v>
      </c>
      <c r="AW594" s="11">
        <v>0</v>
      </c>
      <c r="AX594" s="11">
        <v>0</v>
      </c>
      <c r="AY594" s="11">
        <v>0</v>
      </c>
      <c r="AZ594" s="11">
        <v>0</v>
      </c>
      <c r="BA594" s="3">
        <f t="shared" si="87"/>
        <v>91333</v>
      </c>
    </row>
    <row r="595" spans="1:53" x14ac:dyDescent="0.25">
      <c r="A595" s="1" t="s">
        <v>593</v>
      </c>
      <c r="B595" s="9" t="s">
        <v>2197</v>
      </c>
      <c r="C595" s="9" t="s">
        <v>1063</v>
      </c>
      <c r="D595" s="9" t="s">
        <v>2198</v>
      </c>
      <c r="E595" s="9" t="s">
        <v>1012</v>
      </c>
      <c r="F595" s="10">
        <v>44664</v>
      </c>
      <c r="G595" s="9" t="s">
        <v>1013</v>
      </c>
      <c r="I595" s="9" t="s">
        <v>1014</v>
      </c>
      <c r="J595" s="9" t="s">
        <v>1015</v>
      </c>
      <c r="K595" s="8" t="s">
        <v>1006</v>
      </c>
      <c r="L595" s="8" t="s">
        <v>1007</v>
      </c>
      <c r="M595" s="8" t="s">
        <v>2933</v>
      </c>
      <c r="N595" s="8" t="s">
        <v>2937</v>
      </c>
      <c r="O595" s="1" t="s">
        <v>2934</v>
      </c>
      <c r="P595">
        <v>30</v>
      </c>
      <c r="Q595">
        <v>30</v>
      </c>
      <c r="R595">
        <v>0</v>
      </c>
      <c r="S595">
        <f t="shared" si="89"/>
        <v>30</v>
      </c>
      <c r="T595" s="1" t="s">
        <v>2935</v>
      </c>
      <c r="U595" s="1" t="s">
        <v>2932</v>
      </c>
      <c r="V595" s="3">
        <f t="shared" si="90"/>
        <v>40000</v>
      </c>
      <c r="W595" s="3">
        <f t="shared" si="91"/>
        <v>16000</v>
      </c>
      <c r="X595" s="3">
        <f t="shared" si="83"/>
        <v>1250</v>
      </c>
      <c r="Y595" s="3">
        <f t="shared" si="84"/>
        <v>1600</v>
      </c>
      <c r="Z595" s="3">
        <f t="shared" si="85"/>
        <v>1800</v>
      </c>
      <c r="AA595" s="3">
        <v>0</v>
      </c>
      <c r="AB595" s="3">
        <f>ROUND(U595 - (V595+W595+X595+Y595) - (U595/Q595 * 2),0)</f>
        <v>34483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f>SUM(V595+W595+X595+Y595+AB595)</f>
        <v>93333</v>
      </c>
      <c r="AK595" s="3">
        <f>SUM(AJ595-AA595)</f>
        <v>93333</v>
      </c>
      <c r="AL595" s="3">
        <f>IF(V595&lt;=15000,V595*12%,1800)</f>
        <v>1800</v>
      </c>
      <c r="AM595" s="3">
        <v>0</v>
      </c>
      <c r="AN595" s="3">
        <f t="shared" si="86"/>
        <v>1800</v>
      </c>
      <c r="AO595" s="12">
        <v>200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3">
        <f t="shared" si="88"/>
        <v>200</v>
      </c>
      <c r="AV595" s="3">
        <f>SUM(AJ595 - AN595 - AU595)</f>
        <v>91333</v>
      </c>
      <c r="AW595" s="11">
        <v>0</v>
      </c>
      <c r="AX595" s="11">
        <v>0</v>
      </c>
      <c r="AY595" s="11">
        <v>0</v>
      </c>
      <c r="AZ595" s="11">
        <v>0</v>
      </c>
      <c r="BA595" s="3">
        <f t="shared" si="87"/>
        <v>91333</v>
      </c>
    </row>
    <row r="596" spans="1:53" x14ac:dyDescent="0.25">
      <c r="A596" s="1" t="s">
        <v>594</v>
      </c>
      <c r="B596" s="9" t="s">
        <v>2196</v>
      </c>
      <c r="C596" s="9" t="s">
        <v>1063</v>
      </c>
      <c r="D596" s="9">
        <v>0</v>
      </c>
      <c r="E596" s="9" t="s">
        <v>1012</v>
      </c>
      <c r="F596" s="10">
        <v>44676</v>
      </c>
      <c r="G596" s="9" t="s">
        <v>1019</v>
      </c>
      <c r="I596" s="9" t="s">
        <v>1065</v>
      </c>
      <c r="J596" s="9" t="s">
        <v>1015</v>
      </c>
      <c r="K596" s="8" t="s">
        <v>1006</v>
      </c>
      <c r="L596" s="8" t="s">
        <v>1007</v>
      </c>
      <c r="M596" s="8" t="s">
        <v>2933</v>
      </c>
      <c r="N596" s="8" t="s">
        <v>2937</v>
      </c>
      <c r="O596" s="1" t="s">
        <v>2934</v>
      </c>
      <c r="P596">
        <v>30</v>
      </c>
      <c r="Q596">
        <v>30</v>
      </c>
      <c r="R596">
        <v>0</v>
      </c>
      <c r="S596">
        <f t="shared" si="89"/>
        <v>30</v>
      </c>
      <c r="T596" s="1" t="s">
        <v>2935</v>
      </c>
      <c r="U596" s="1" t="s">
        <v>2932</v>
      </c>
      <c r="V596" s="3">
        <f t="shared" si="90"/>
        <v>40000</v>
      </c>
      <c r="W596" s="3">
        <f t="shared" si="91"/>
        <v>16000</v>
      </c>
      <c r="X596" s="3">
        <f t="shared" si="83"/>
        <v>1250</v>
      </c>
      <c r="Y596" s="3">
        <f t="shared" si="84"/>
        <v>1600</v>
      </c>
      <c r="Z596" s="3">
        <f t="shared" si="85"/>
        <v>1800</v>
      </c>
      <c r="AA596" s="3">
        <v>0</v>
      </c>
      <c r="AB596" s="3">
        <f>ROUND(U596 - (V596+W596+X596+Y596) - (U596/Q596 * 2),0)</f>
        <v>34483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f>SUM(V596+W596+X596+Y596+AB596)</f>
        <v>93333</v>
      </c>
      <c r="AK596" s="3">
        <f>SUM(AJ596-AA596)</f>
        <v>93333</v>
      </c>
      <c r="AL596" s="3">
        <f>IF(V596&lt;=15000,V596*12%,1800)</f>
        <v>1800</v>
      </c>
      <c r="AM596" s="3">
        <v>0</v>
      </c>
      <c r="AN596" s="3">
        <f t="shared" si="86"/>
        <v>1800</v>
      </c>
      <c r="AO596" s="12">
        <v>200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3">
        <f t="shared" si="88"/>
        <v>200</v>
      </c>
      <c r="AV596" s="3">
        <f>SUM(AJ596 - AN596 - AU596)</f>
        <v>91333</v>
      </c>
      <c r="AW596" s="11">
        <v>0</v>
      </c>
      <c r="AX596" s="11">
        <v>0</v>
      </c>
      <c r="AY596" s="11">
        <v>0</v>
      </c>
      <c r="AZ596" s="11">
        <v>0</v>
      </c>
      <c r="BA596" s="3">
        <f t="shared" si="87"/>
        <v>91333</v>
      </c>
    </row>
    <row r="597" spans="1:53" x14ac:dyDescent="0.25">
      <c r="A597" s="1" t="s">
        <v>595</v>
      </c>
      <c r="B597" s="9" t="s">
        <v>2194</v>
      </c>
      <c r="C597" s="9" t="s">
        <v>1063</v>
      </c>
      <c r="D597" s="9" t="s">
        <v>2195</v>
      </c>
      <c r="E597" s="9" t="s">
        <v>1008</v>
      </c>
      <c r="F597" s="10">
        <v>45726</v>
      </c>
      <c r="G597" s="9" t="s">
        <v>1013</v>
      </c>
      <c r="I597" s="9" t="s">
        <v>1014</v>
      </c>
      <c r="J597" s="9" t="s">
        <v>1015</v>
      </c>
      <c r="K597" s="8" t="s">
        <v>1006</v>
      </c>
      <c r="L597" s="8" t="s">
        <v>1007</v>
      </c>
      <c r="M597" s="8" t="s">
        <v>2933</v>
      </c>
      <c r="N597" s="8" t="s">
        <v>2937</v>
      </c>
      <c r="O597" s="1" t="s">
        <v>2934</v>
      </c>
      <c r="P597">
        <v>30</v>
      </c>
      <c r="Q597">
        <v>30</v>
      </c>
      <c r="R597">
        <v>0</v>
      </c>
      <c r="S597">
        <f t="shared" si="89"/>
        <v>30</v>
      </c>
      <c r="T597" s="1" t="s">
        <v>2935</v>
      </c>
      <c r="U597" s="1" t="s">
        <v>2932</v>
      </c>
      <c r="V597" s="3">
        <f t="shared" si="90"/>
        <v>40000</v>
      </c>
      <c r="W597" s="3">
        <f t="shared" si="91"/>
        <v>16000</v>
      </c>
      <c r="X597" s="3">
        <f t="shared" si="83"/>
        <v>1250</v>
      </c>
      <c r="Y597" s="3">
        <f t="shared" si="84"/>
        <v>1600</v>
      </c>
      <c r="Z597" s="3">
        <f t="shared" si="85"/>
        <v>1800</v>
      </c>
      <c r="AA597" s="3">
        <v>0</v>
      </c>
      <c r="AB597" s="3">
        <f>ROUND(U597 - (V597+W597+X597+Y597) - (U597/Q597 * 2),0)</f>
        <v>34483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f>SUM(V597+W597+X597+Y597+AB597)</f>
        <v>93333</v>
      </c>
      <c r="AK597" s="3">
        <f>SUM(AJ597-AA597)</f>
        <v>93333</v>
      </c>
      <c r="AL597" s="3">
        <f>IF(V597&lt;=15000,V597*12%,1800)</f>
        <v>1800</v>
      </c>
      <c r="AM597" s="3">
        <v>0</v>
      </c>
      <c r="AN597" s="3">
        <f t="shared" si="86"/>
        <v>1800</v>
      </c>
      <c r="AO597" s="12">
        <v>200</v>
      </c>
      <c r="AP597" s="12">
        <v>0</v>
      </c>
      <c r="AQ597" s="12">
        <v>0</v>
      </c>
      <c r="AR597" s="12">
        <v>0</v>
      </c>
      <c r="AS597" s="12">
        <v>0</v>
      </c>
      <c r="AT597" s="12">
        <v>0</v>
      </c>
      <c r="AU597" s="3">
        <f t="shared" si="88"/>
        <v>200</v>
      </c>
      <c r="AV597" s="3">
        <f>SUM(AJ597 - AN597 - AU597)</f>
        <v>91333</v>
      </c>
      <c r="AW597" s="11">
        <v>0</v>
      </c>
      <c r="AX597" s="11">
        <v>0</v>
      </c>
      <c r="AY597" s="11">
        <v>0</v>
      </c>
      <c r="AZ597" s="11">
        <v>0</v>
      </c>
      <c r="BA597" s="3">
        <f t="shared" si="87"/>
        <v>91333</v>
      </c>
    </row>
    <row r="598" spans="1:53" x14ac:dyDescent="0.25">
      <c r="A598" s="1" t="s">
        <v>596</v>
      </c>
      <c r="B598" s="9" t="s">
        <v>1094</v>
      </c>
      <c r="C598" s="9" t="s">
        <v>1063</v>
      </c>
      <c r="D598" s="9" t="s">
        <v>2193</v>
      </c>
      <c r="E598" s="9" t="s">
        <v>1012</v>
      </c>
      <c r="F598" s="10">
        <v>45726</v>
      </c>
      <c r="G598" s="9" t="s">
        <v>1013</v>
      </c>
      <c r="I598" s="9" t="s">
        <v>1014</v>
      </c>
      <c r="J598" s="9" t="s">
        <v>1015</v>
      </c>
      <c r="K598" s="8" t="s">
        <v>1006</v>
      </c>
      <c r="L598" s="8" t="s">
        <v>1007</v>
      </c>
      <c r="M598" s="8" t="s">
        <v>2933</v>
      </c>
      <c r="N598" s="8" t="s">
        <v>2937</v>
      </c>
      <c r="O598" s="1" t="s">
        <v>2934</v>
      </c>
      <c r="P598">
        <v>30</v>
      </c>
      <c r="Q598">
        <v>30</v>
      </c>
      <c r="R598">
        <v>0</v>
      </c>
      <c r="S598">
        <f t="shared" si="89"/>
        <v>30</v>
      </c>
      <c r="T598" s="1" t="s">
        <v>2935</v>
      </c>
      <c r="U598" s="1" t="s">
        <v>2932</v>
      </c>
      <c r="V598" s="3">
        <f t="shared" si="90"/>
        <v>40000</v>
      </c>
      <c r="W598" s="3">
        <f t="shared" si="91"/>
        <v>16000</v>
      </c>
      <c r="X598" s="3">
        <f t="shared" si="83"/>
        <v>1250</v>
      </c>
      <c r="Y598" s="3">
        <f t="shared" si="84"/>
        <v>1600</v>
      </c>
      <c r="Z598" s="3">
        <f t="shared" si="85"/>
        <v>1800</v>
      </c>
      <c r="AA598" s="3">
        <v>0</v>
      </c>
      <c r="AB598" s="3">
        <f>ROUND(U598 - (V598+W598+X598+Y598) - (U598/Q598 * 2),0)</f>
        <v>34483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f>SUM(V598+W598+X598+Y598+AB598)</f>
        <v>93333</v>
      </c>
      <c r="AK598" s="3">
        <f>SUM(AJ598-AA598)</f>
        <v>93333</v>
      </c>
      <c r="AL598" s="3">
        <f>IF(V598&lt;=15000,V598*12%,1800)</f>
        <v>1800</v>
      </c>
      <c r="AM598" s="3">
        <v>0</v>
      </c>
      <c r="AN598" s="3">
        <f t="shared" si="86"/>
        <v>1800</v>
      </c>
      <c r="AO598" s="12">
        <v>200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3">
        <f t="shared" si="88"/>
        <v>200</v>
      </c>
      <c r="AV598" s="3">
        <f>SUM(AJ598 - AN598 - AU598)</f>
        <v>91333</v>
      </c>
      <c r="AW598" s="11">
        <v>0</v>
      </c>
      <c r="AX598" s="11">
        <v>0</v>
      </c>
      <c r="AY598" s="11">
        <v>0</v>
      </c>
      <c r="AZ598" s="11">
        <v>0</v>
      </c>
      <c r="BA598" s="3">
        <f t="shared" si="87"/>
        <v>91333</v>
      </c>
    </row>
    <row r="599" spans="1:53" x14ac:dyDescent="0.25">
      <c r="A599" s="1" t="s">
        <v>597</v>
      </c>
      <c r="B599" s="9" t="s">
        <v>2191</v>
      </c>
      <c r="C599" s="9" t="s">
        <v>1216</v>
      </c>
      <c r="D599" s="9" t="s">
        <v>2192</v>
      </c>
      <c r="E599" s="9" t="s">
        <v>1012</v>
      </c>
      <c r="F599" s="10">
        <v>45726</v>
      </c>
      <c r="G599" s="9" t="s">
        <v>1019</v>
      </c>
      <c r="I599" s="9" t="s">
        <v>1020</v>
      </c>
      <c r="J599" s="9" t="s">
        <v>1021</v>
      </c>
      <c r="K599" s="8" t="s">
        <v>1006</v>
      </c>
      <c r="L599" s="8" t="s">
        <v>1007</v>
      </c>
      <c r="M599" s="8" t="s">
        <v>2933</v>
      </c>
      <c r="N599" s="8" t="s">
        <v>2937</v>
      </c>
      <c r="O599" s="1" t="s">
        <v>2934</v>
      </c>
      <c r="P599">
        <v>30</v>
      </c>
      <c r="Q599">
        <v>30</v>
      </c>
      <c r="R599">
        <v>0</v>
      </c>
      <c r="S599">
        <f t="shared" si="89"/>
        <v>30</v>
      </c>
      <c r="T599" s="1" t="s">
        <v>2935</v>
      </c>
      <c r="U599" s="1" t="s">
        <v>2932</v>
      </c>
      <c r="V599" s="3">
        <f t="shared" si="90"/>
        <v>40000</v>
      </c>
      <c r="W599" s="3">
        <f t="shared" si="91"/>
        <v>16000</v>
      </c>
      <c r="X599" s="3">
        <f t="shared" si="83"/>
        <v>1250</v>
      </c>
      <c r="Y599" s="3">
        <f t="shared" si="84"/>
        <v>1600</v>
      </c>
      <c r="Z599" s="3">
        <f t="shared" si="85"/>
        <v>1800</v>
      </c>
      <c r="AA599" s="3">
        <v>0</v>
      </c>
      <c r="AB599" s="3">
        <f>ROUND(U599 - (V599+W599+X599+Y599) - (U599/Q599 * 2),0)</f>
        <v>34483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f>SUM(V599+W599+X599+Y599+AB599)</f>
        <v>93333</v>
      </c>
      <c r="AK599" s="3">
        <f>SUM(AJ599-AA599)</f>
        <v>93333</v>
      </c>
      <c r="AL599" s="3">
        <f>IF(V599&lt;=15000,V599*12%,1800)</f>
        <v>1800</v>
      </c>
      <c r="AM599" s="3">
        <v>0</v>
      </c>
      <c r="AN599" s="3">
        <f t="shared" si="86"/>
        <v>1800</v>
      </c>
      <c r="AO599" s="12">
        <v>200</v>
      </c>
      <c r="AP599" s="12">
        <v>0</v>
      </c>
      <c r="AQ599" s="12">
        <v>0</v>
      </c>
      <c r="AR599" s="12">
        <v>0</v>
      </c>
      <c r="AS599" s="12">
        <v>0</v>
      </c>
      <c r="AT599" s="12">
        <v>0</v>
      </c>
      <c r="AU599" s="3">
        <f t="shared" si="88"/>
        <v>200</v>
      </c>
      <c r="AV599" s="3">
        <f>SUM(AJ599 - AN599 - AU599)</f>
        <v>91333</v>
      </c>
      <c r="AW599" s="11">
        <v>0</v>
      </c>
      <c r="AX599" s="11">
        <v>0</v>
      </c>
      <c r="AY599" s="11">
        <v>0</v>
      </c>
      <c r="AZ599" s="11">
        <v>0</v>
      </c>
      <c r="BA599" s="3">
        <f t="shared" si="87"/>
        <v>91333</v>
      </c>
    </row>
    <row r="600" spans="1:53" x14ac:dyDescent="0.25">
      <c r="A600" s="1" t="s">
        <v>598</v>
      </c>
      <c r="B600" s="9" t="s">
        <v>2189</v>
      </c>
      <c r="C600" s="9" t="s">
        <v>1063</v>
      </c>
      <c r="D600" s="9" t="s">
        <v>2190</v>
      </c>
      <c r="E600" s="9" t="s">
        <v>1012</v>
      </c>
      <c r="F600" s="10">
        <v>45728</v>
      </c>
      <c r="G600" s="9" t="s">
        <v>1013</v>
      </c>
      <c r="I600" s="9" t="s">
        <v>1014</v>
      </c>
      <c r="J600" s="9" t="s">
        <v>1015</v>
      </c>
      <c r="K600" s="8" t="s">
        <v>1006</v>
      </c>
      <c r="L600" s="8" t="s">
        <v>1007</v>
      </c>
      <c r="M600" s="8" t="s">
        <v>2933</v>
      </c>
      <c r="N600" s="8" t="s">
        <v>2937</v>
      </c>
      <c r="O600" s="1" t="s">
        <v>2934</v>
      </c>
      <c r="P600">
        <v>30</v>
      </c>
      <c r="Q600">
        <v>30</v>
      </c>
      <c r="R600">
        <v>0</v>
      </c>
      <c r="S600">
        <f t="shared" si="89"/>
        <v>30</v>
      </c>
      <c r="T600" s="1" t="s">
        <v>2935</v>
      </c>
      <c r="U600" s="1" t="s">
        <v>2932</v>
      </c>
      <c r="V600" s="3">
        <f t="shared" si="90"/>
        <v>40000</v>
      </c>
      <c r="W600" s="3">
        <f t="shared" si="91"/>
        <v>16000</v>
      </c>
      <c r="X600" s="3">
        <f t="shared" si="83"/>
        <v>1250</v>
      </c>
      <c r="Y600" s="3">
        <f t="shared" si="84"/>
        <v>1600</v>
      </c>
      <c r="Z600" s="3">
        <f t="shared" si="85"/>
        <v>1800</v>
      </c>
      <c r="AA600" s="3">
        <v>0</v>
      </c>
      <c r="AB600" s="3">
        <f>ROUND(U600 - (V600+W600+X600+Y600) - (U600/Q600 * 2),0)</f>
        <v>34483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f>SUM(V600+W600+X600+Y600+AB600)</f>
        <v>93333</v>
      </c>
      <c r="AK600" s="3">
        <f>SUM(AJ600-AA600)</f>
        <v>93333</v>
      </c>
      <c r="AL600" s="3">
        <f>IF(V600&lt;=15000,V600*12%,1800)</f>
        <v>1800</v>
      </c>
      <c r="AM600" s="3">
        <v>0</v>
      </c>
      <c r="AN600" s="3">
        <f t="shared" si="86"/>
        <v>1800</v>
      </c>
      <c r="AO600" s="12">
        <v>200</v>
      </c>
      <c r="AP600" s="12">
        <v>0</v>
      </c>
      <c r="AQ600" s="12">
        <v>0</v>
      </c>
      <c r="AR600" s="12">
        <v>0</v>
      </c>
      <c r="AS600" s="12">
        <v>0</v>
      </c>
      <c r="AT600" s="12">
        <v>0</v>
      </c>
      <c r="AU600" s="3">
        <f t="shared" si="88"/>
        <v>200</v>
      </c>
      <c r="AV600" s="3">
        <f>SUM(AJ600 - AN600 - AU600)</f>
        <v>91333</v>
      </c>
      <c r="AW600" s="11">
        <v>0</v>
      </c>
      <c r="AX600" s="11">
        <v>0</v>
      </c>
      <c r="AY600" s="11">
        <v>0</v>
      </c>
      <c r="AZ600" s="11">
        <v>0</v>
      </c>
      <c r="BA600" s="3">
        <f t="shared" si="87"/>
        <v>91333</v>
      </c>
    </row>
    <row r="601" spans="1:53" x14ac:dyDescent="0.25">
      <c r="A601" s="1" t="s">
        <v>599</v>
      </c>
      <c r="B601" s="9" t="s">
        <v>2187</v>
      </c>
      <c r="C601" s="9" t="s">
        <v>1169</v>
      </c>
      <c r="D601" s="9" t="s">
        <v>2188</v>
      </c>
      <c r="E601" s="9" t="s">
        <v>1008</v>
      </c>
      <c r="F601" s="10">
        <v>45733</v>
      </c>
      <c r="G601" s="9" t="s">
        <v>1013</v>
      </c>
      <c r="I601" s="9" t="s">
        <v>1020</v>
      </c>
      <c r="J601" s="9" t="s">
        <v>1171</v>
      </c>
      <c r="K601" s="8" t="s">
        <v>1006</v>
      </c>
      <c r="L601" s="8" t="s">
        <v>1007</v>
      </c>
      <c r="M601" s="8" t="s">
        <v>2933</v>
      </c>
      <c r="N601" s="8" t="s">
        <v>2937</v>
      </c>
      <c r="O601" s="1" t="s">
        <v>2934</v>
      </c>
      <c r="P601">
        <v>30</v>
      </c>
      <c r="Q601">
        <v>30</v>
      </c>
      <c r="R601">
        <v>0</v>
      </c>
      <c r="S601">
        <f t="shared" si="89"/>
        <v>30</v>
      </c>
      <c r="T601" s="1" t="s">
        <v>2935</v>
      </c>
      <c r="U601" s="1" t="s">
        <v>2932</v>
      </c>
      <c r="V601" s="3">
        <f t="shared" si="90"/>
        <v>40000</v>
      </c>
      <c r="W601" s="3">
        <f t="shared" si="91"/>
        <v>16000</v>
      </c>
      <c r="X601" s="3">
        <f t="shared" si="83"/>
        <v>1250</v>
      </c>
      <c r="Y601" s="3">
        <f t="shared" si="84"/>
        <v>1600</v>
      </c>
      <c r="Z601" s="3">
        <f t="shared" si="85"/>
        <v>1800</v>
      </c>
      <c r="AA601" s="3">
        <v>0</v>
      </c>
      <c r="AB601" s="3">
        <f>ROUND(U601 - (V601+W601+X601+Y601) - (U601/Q601 * 2),0)</f>
        <v>34483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f>SUM(V601+W601+X601+Y601+AB601)</f>
        <v>93333</v>
      </c>
      <c r="AK601" s="3">
        <f>SUM(AJ601-AA601)</f>
        <v>93333</v>
      </c>
      <c r="AL601" s="3">
        <f>IF(V601&lt;=15000,V601*12%,1800)</f>
        <v>1800</v>
      </c>
      <c r="AM601" s="3">
        <v>0</v>
      </c>
      <c r="AN601" s="3">
        <f t="shared" si="86"/>
        <v>1800</v>
      </c>
      <c r="AO601" s="12">
        <v>200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3">
        <f t="shared" si="88"/>
        <v>200</v>
      </c>
      <c r="AV601" s="3">
        <f>SUM(AJ601 - AN601 - AU601)</f>
        <v>91333</v>
      </c>
      <c r="AW601" s="11">
        <v>0</v>
      </c>
      <c r="AX601" s="11">
        <v>0</v>
      </c>
      <c r="AY601" s="11">
        <v>0</v>
      </c>
      <c r="AZ601" s="11">
        <v>0</v>
      </c>
      <c r="BA601" s="3">
        <f t="shared" si="87"/>
        <v>91333</v>
      </c>
    </row>
    <row r="602" spans="1:53" x14ac:dyDescent="0.25">
      <c r="A602" s="1" t="s">
        <v>600</v>
      </c>
      <c r="B602" s="9" t="s">
        <v>1403</v>
      </c>
      <c r="C602" s="9" t="s">
        <v>1029</v>
      </c>
      <c r="D602" s="9" t="s">
        <v>2186</v>
      </c>
      <c r="E602" s="9" t="s">
        <v>1008</v>
      </c>
      <c r="F602" s="10">
        <v>45735</v>
      </c>
      <c r="G602" s="9" t="s">
        <v>1019</v>
      </c>
      <c r="I602" s="9" t="s">
        <v>1014</v>
      </c>
      <c r="J602" s="9" t="s">
        <v>1031</v>
      </c>
      <c r="K602" s="8" t="s">
        <v>1006</v>
      </c>
      <c r="L602" s="8" t="s">
        <v>1007</v>
      </c>
      <c r="M602" s="8" t="s">
        <v>2933</v>
      </c>
      <c r="N602" s="8" t="s">
        <v>2937</v>
      </c>
      <c r="O602" s="1" t="s">
        <v>2934</v>
      </c>
      <c r="P602">
        <v>30</v>
      </c>
      <c r="Q602">
        <v>30</v>
      </c>
      <c r="R602">
        <v>0</v>
      </c>
      <c r="S602">
        <f t="shared" si="89"/>
        <v>30</v>
      </c>
      <c r="T602" s="1" t="s">
        <v>2935</v>
      </c>
      <c r="U602" s="1" t="s">
        <v>2932</v>
      </c>
      <c r="V602" s="3">
        <f t="shared" si="90"/>
        <v>40000</v>
      </c>
      <c r="W602" s="3">
        <f t="shared" si="91"/>
        <v>16000</v>
      </c>
      <c r="X602" s="3">
        <f t="shared" si="83"/>
        <v>1250</v>
      </c>
      <c r="Y602" s="3">
        <f t="shared" si="84"/>
        <v>1600</v>
      </c>
      <c r="Z602" s="3">
        <f t="shared" si="85"/>
        <v>1800</v>
      </c>
      <c r="AA602" s="3">
        <v>0</v>
      </c>
      <c r="AB602" s="3">
        <f>ROUND(U602 - (V602+W602+X602+Y602) - (U602/Q602 * 2),0)</f>
        <v>34483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f>SUM(V602+W602+X602+Y602+AB602)</f>
        <v>93333</v>
      </c>
      <c r="AK602" s="3">
        <f>SUM(AJ602-AA602)</f>
        <v>93333</v>
      </c>
      <c r="AL602" s="3">
        <f>IF(V602&lt;=15000,V602*12%,1800)</f>
        <v>1800</v>
      </c>
      <c r="AM602" s="3">
        <v>0</v>
      </c>
      <c r="AN602" s="3">
        <f t="shared" si="86"/>
        <v>1800</v>
      </c>
      <c r="AO602" s="12">
        <v>200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3">
        <f t="shared" si="88"/>
        <v>200</v>
      </c>
      <c r="AV602" s="3">
        <f>SUM(AJ602 - AN602 - AU602)</f>
        <v>91333</v>
      </c>
      <c r="AW602" s="11">
        <v>0</v>
      </c>
      <c r="AX602" s="11">
        <v>0</v>
      </c>
      <c r="AY602" s="11">
        <v>0</v>
      </c>
      <c r="AZ602" s="11">
        <v>0</v>
      </c>
      <c r="BA602" s="3">
        <f t="shared" si="87"/>
        <v>91333</v>
      </c>
    </row>
    <row r="603" spans="1:53" x14ac:dyDescent="0.25">
      <c r="A603" s="1" t="s">
        <v>601</v>
      </c>
      <c r="B603" s="9" t="s">
        <v>2184</v>
      </c>
      <c r="C603" s="9" t="s">
        <v>1023</v>
      </c>
      <c r="D603" s="9" t="s">
        <v>2185</v>
      </c>
      <c r="E603" s="9" t="s">
        <v>1012</v>
      </c>
      <c r="F603" s="10">
        <v>45749</v>
      </c>
      <c r="G603" s="9" t="s">
        <v>1013</v>
      </c>
      <c r="I603" s="9" t="s">
        <v>1014</v>
      </c>
      <c r="J603" s="9" t="s">
        <v>1021</v>
      </c>
      <c r="K603" s="8" t="s">
        <v>1006</v>
      </c>
      <c r="L603" s="8" t="s">
        <v>1007</v>
      </c>
      <c r="M603" s="8" t="s">
        <v>2933</v>
      </c>
      <c r="N603" s="8" t="s">
        <v>2937</v>
      </c>
      <c r="O603" s="1" t="s">
        <v>2934</v>
      </c>
      <c r="P603">
        <v>30</v>
      </c>
      <c r="Q603">
        <v>30</v>
      </c>
      <c r="R603">
        <v>0</v>
      </c>
      <c r="S603">
        <f t="shared" si="89"/>
        <v>30</v>
      </c>
      <c r="T603" s="1" t="s">
        <v>2935</v>
      </c>
      <c r="U603" s="1" t="s">
        <v>2932</v>
      </c>
      <c r="V603" s="3">
        <f t="shared" si="90"/>
        <v>40000</v>
      </c>
      <c r="W603" s="3">
        <f t="shared" si="91"/>
        <v>16000</v>
      </c>
      <c r="X603" s="3">
        <f t="shared" si="83"/>
        <v>1250</v>
      </c>
      <c r="Y603" s="3">
        <f t="shared" si="84"/>
        <v>1600</v>
      </c>
      <c r="Z603" s="3">
        <f t="shared" si="85"/>
        <v>1800</v>
      </c>
      <c r="AA603" s="3">
        <v>0</v>
      </c>
      <c r="AB603" s="3">
        <f>ROUND(U603 - (V603+W603+X603+Y603) - (U603/Q603 * 2),0)</f>
        <v>34483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f>SUM(V603+W603+X603+Y603+AB603)</f>
        <v>93333</v>
      </c>
      <c r="AK603" s="3">
        <f>SUM(AJ603-AA603)</f>
        <v>93333</v>
      </c>
      <c r="AL603" s="3">
        <f>IF(V603&lt;=15000,V603*12%,1800)</f>
        <v>1800</v>
      </c>
      <c r="AM603" s="3">
        <v>0</v>
      </c>
      <c r="AN603" s="3">
        <f t="shared" si="86"/>
        <v>1800</v>
      </c>
      <c r="AO603" s="12">
        <v>200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3">
        <f t="shared" si="88"/>
        <v>200</v>
      </c>
      <c r="AV603" s="3">
        <f>SUM(AJ603 - AN603 - AU603)</f>
        <v>91333</v>
      </c>
      <c r="AW603" s="11">
        <v>0</v>
      </c>
      <c r="AX603" s="11">
        <v>0</v>
      </c>
      <c r="AY603" s="11">
        <v>0</v>
      </c>
      <c r="AZ603" s="11">
        <v>0</v>
      </c>
      <c r="BA603" s="3">
        <f t="shared" si="87"/>
        <v>91333</v>
      </c>
    </row>
    <row r="604" spans="1:53" x14ac:dyDescent="0.25">
      <c r="A604" s="1" t="s">
        <v>602</v>
      </c>
      <c r="B604" s="9" t="s">
        <v>2182</v>
      </c>
      <c r="C604" s="9" t="s">
        <v>1010</v>
      </c>
      <c r="D604" s="9" t="s">
        <v>2183</v>
      </c>
      <c r="E604" s="9" t="s">
        <v>1008</v>
      </c>
      <c r="F604" s="10">
        <v>45749</v>
      </c>
      <c r="G604" s="9" t="s">
        <v>1013</v>
      </c>
      <c r="I604" s="9" t="s">
        <v>1014</v>
      </c>
      <c r="J604" s="9" t="s">
        <v>1015</v>
      </c>
      <c r="K604" s="8" t="s">
        <v>1006</v>
      </c>
      <c r="L604" s="8" t="s">
        <v>1007</v>
      </c>
      <c r="M604" s="8" t="s">
        <v>2933</v>
      </c>
      <c r="N604" s="8" t="s">
        <v>2937</v>
      </c>
      <c r="O604" s="1" t="s">
        <v>2934</v>
      </c>
      <c r="P604">
        <v>30</v>
      </c>
      <c r="Q604">
        <v>30</v>
      </c>
      <c r="R604">
        <v>0</v>
      </c>
      <c r="S604">
        <f t="shared" si="89"/>
        <v>30</v>
      </c>
      <c r="T604" s="1" t="s">
        <v>2935</v>
      </c>
      <c r="U604" s="1" t="s">
        <v>2932</v>
      </c>
      <c r="V604" s="3">
        <f t="shared" si="90"/>
        <v>40000</v>
      </c>
      <c r="W604" s="3">
        <f t="shared" si="91"/>
        <v>16000</v>
      </c>
      <c r="X604" s="3">
        <f t="shared" si="83"/>
        <v>1250</v>
      </c>
      <c r="Y604" s="3">
        <f t="shared" si="84"/>
        <v>1600</v>
      </c>
      <c r="Z604" s="3">
        <f t="shared" si="85"/>
        <v>1800</v>
      </c>
      <c r="AA604" s="3">
        <v>0</v>
      </c>
      <c r="AB604" s="3">
        <f>ROUND(U604 - (V604+W604+X604+Y604) - (U604/Q604 * 2),0)</f>
        <v>34483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f>SUM(V604+W604+X604+Y604+AB604)</f>
        <v>93333</v>
      </c>
      <c r="AK604" s="3">
        <f>SUM(AJ604-AA604)</f>
        <v>93333</v>
      </c>
      <c r="AL604" s="3">
        <f>IF(V604&lt;=15000,V604*12%,1800)</f>
        <v>1800</v>
      </c>
      <c r="AM604" s="3">
        <v>0</v>
      </c>
      <c r="AN604" s="3">
        <f t="shared" si="86"/>
        <v>1800</v>
      </c>
      <c r="AO604" s="12">
        <v>200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3">
        <f t="shared" si="88"/>
        <v>200</v>
      </c>
      <c r="AV604" s="3">
        <f>SUM(AJ604 - AN604 - AU604)</f>
        <v>91333</v>
      </c>
      <c r="AW604" s="11">
        <v>0</v>
      </c>
      <c r="AX604" s="11">
        <v>0</v>
      </c>
      <c r="AY604" s="11">
        <v>0</v>
      </c>
      <c r="AZ604" s="11">
        <v>0</v>
      </c>
      <c r="BA604" s="3">
        <f t="shared" si="87"/>
        <v>91333</v>
      </c>
    </row>
    <row r="605" spans="1:53" x14ac:dyDescent="0.25">
      <c r="A605" s="1" t="s">
        <v>603</v>
      </c>
      <c r="B605" s="9" t="s">
        <v>2180</v>
      </c>
      <c r="C605" s="9" t="s">
        <v>1216</v>
      </c>
      <c r="D605" s="9" t="s">
        <v>2181</v>
      </c>
      <c r="E605" s="9" t="s">
        <v>1008</v>
      </c>
      <c r="F605" s="10">
        <v>45754</v>
      </c>
      <c r="G605" s="9" t="s">
        <v>1019</v>
      </c>
      <c r="I605" s="9" t="s">
        <v>1014</v>
      </c>
      <c r="J605" s="9" t="s">
        <v>1021</v>
      </c>
      <c r="K605" s="8" t="s">
        <v>1006</v>
      </c>
      <c r="L605" s="8" t="s">
        <v>1007</v>
      </c>
      <c r="M605" s="8" t="s">
        <v>2933</v>
      </c>
      <c r="N605" s="8" t="s">
        <v>2937</v>
      </c>
      <c r="O605" s="1" t="s">
        <v>2934</v>
      </c>
      <c r="P605">
        <v>30</v>
      </c>
      <c r="Q605">
        <v>30</v>
      </c>
      <c r="R605">
        <v>0</v>
      </c>
      <c r="S605">
        <f t="shared" si="89"/>
        <v>30</v>
      </c>
      <c r="T605" s="1" t="s">
        <v>2935</v>
      </c>
      <c r="U605" s="1" t="s">
        <v>2932</v>
      </c>
      <c r="V605" s="3">
        <f t="shared" si="90"/>
        <v>40000</v>
      </c>
      <c r="W605" s="3">
        <f t="shared" si="91"/>
        <v>16000</v>
      </c>
      <c r="X605" s="3">
        <f t="shared" si="83"/>
        <v>1250</v>
      </c>
      <c r="Y605" s="3">
        <f t="shared" si="84"/>
        <v>1600</v>
      </c>
      <c r="Z605" s="3">
        <f t="shared" si="85"/>
        <v>1800</v>
      </c>
      <c r="AA605" s="3">
        <v>0</v>
      </c>
      <c r="AB605" s="3">
        <f>ROUND(U605 - (V605+W605+X605+Y605) - (U605/Q605 * 2),0)</f>
        <v>34483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f>SUM(V605+W605+X605+Y605+AB605)</f>
        <v>93333</v>
      </c>
      <c r="AK605" s="3">
        <f>SUM(AJ605-AA605)</f>
        <v>93333</v>
      </c>
      <c r="AL605" s="3">
        <f>IF(V605&lt;=15000,V605*12%,1800)</f>
        <v>1800</v>
      </c>
      <c r="AM605" s="3">
        <v>0</v>
      </c>
      <c r="AN605" s="3">
        <f t="shared" si="86"/>
        <v>1800</v>
      </c>
      <c r="AO605" s="12">
        <v>200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3">
        <f t="shared" si="88"/>
        <v>200</v>
      </c>
      <c r="AV605" s="3">
        <f>SUM(AJ605 - AN605 - AU605)</f>
        <v>91333</v>
      </c>
      <c r="AW605" s="11">
        <v>0</v>
      </c>
      <c r="AX605" s="11">
        <v>0</v>
      </c>
      <c r="AY605" s="11">
        <v>0</v>
      </c>
      <c r="AZ605" s="11">
        <v>0</v>
      </c>
      <c r="BA605" s="3">
        <f t="shared" si="87"/>
        <v>91333</v>
      </c>
    </row>
    <row r="606" spans="1:53" x14ac:dyDescent="0.25">
      <c r="A606" s="1" t="s">
        <v>604</v>
      </c>
      <c r="B606" s="9" t="s">
        <v>2178</v>
      </c>
      <c r="C606" s="9" t="s">
        <v>1128</v>
      </c>
      <c r="D606" s="9" t="s">
        <v>2179</v>
      </c>
      <c r="E606" s="9" t="s">
        <v>1008</v>
      </c>
      <c r="F606" s="10">
        <v>45768</v>
      </c>
      <c r="G606" s="9" t="s">
        <v>1013</v>
      </c>
      <c r="I606" s="9" t="s">
        <v>1035</v>
      </c>
      <c r="J606" s="9" t="s">
        <v>1048</v>
      </c>
      <c r="K606" s="8" t="s">
        <v>1006</v>
      </c>
      <c r="L606" s="8" t="s">
        <v>1007</v>
      </c>
      <c r="M606" s="8" t="s">
        <v>2933</v>
      </c>
      <c r="N606" s="8" t="s">
        <v>2937</v>
      </c>
      <c r="O606" s="1" t="s">
        <v>2934</v>
      </c>
      <c r="P606">
        <v>30</v>
      </c>
      <c r="Q606">
        <v>30</v>
      </c>
      <c r="R606">
        <v>0</v>
      </c>
      <c r="S606">
        <f t="shared" si="89"/>
        <v>30</v>
      </c>
      <c r="T606" s="1" t="s">
        <v>2935</v>
      </c>
      <c r="U606" s="1" t="s">
        <v>2932</v>
      </c>
      <c r="V606" s="3">
        <f t="shared" si="90"/>
        <v>40000</v>
      </c>
      <c r="W606" s="3">
        <f t="shared" si="91"/>
        <v>16000</v>
      </c>
      <c r="X606" s="3">
        <f t="shared" si="83"/>
        <v>1250</v>
      </c>
      <c r="Y606" s="3">
        <f t="shared" si="84"/>
        <v>1600</v>
      </c>
      <c r="Z606" s="3">
        <f t="shared" si="85"/>
        <v>1800</v>
      </c>
      <c r="AA606" s="3">
        <v>0</v>
      </c>
      <c r="AB606" s="3">
        <f>ROUND(U606 - (V606+W606+X606+Y606) - (U606/Q606 * 2),0)</f>
        <v>34483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f>SUM(V606+W606+X606+Y606+AB606)</f>
        <v>93333</v>
      </c>
      <c r="AK606" s="3">
        <f>SUM(AJ606-AA606)</f>
        <v>93333</v>
      </c>
      <c r="AL606" s="3">
        <f>IF(V606&lt;=15000,V606*12%,1800)</f>
        <v>1800</v>
      </c>
      <c r="AM606" s="3">
        <v>0</v>
      </c>
      <c r="AN606" s="3">
        <f t="shared" si="86"/>
        <v>1800</v>
      </c>
      <c r="AO606" s="12">
        <v>200</v>
      </c>
      <c r="AP606" s="12">
        <v>0</v>
      </c>
      <c r="AQ606" s="12">
        <v>0</v>
      </c>
      <c r="AR606" s="12">
        <v>0</v>
      </c>
      <c r="AS606" s="12">
        <v>0</v>
      </c>
      <c r="AT606" s="12">
        <v>0</v>
      </c>
      <c r="AU606" s="3">
        <f t="shared" si="88"/>
        <v>200</v>
      </c>
      <c r="AV606" s="3">
        <f>SUM(AJ606 - AN606 - AU606)</f>
        <v>91333</v>
      </c>
      <c r="AW606" s="11">
        <v>0</v>
      </c>
      <c r="AX606" s="11">
        <v>0</v>
      </c>
      <c r="AY606" s="11">
        <v>0</v>
      </c>
      <c r="AZ606" s="11">
        <v>0</v>
      </c>
      <c r="BA606" s="3">
        <f t="shared" si="87"/>
        <v>91333</v>
      </c>
    </row>
    <row r="607" spans="1:53" x14ac:dyDescent="0.25">
      <c r="A607" s="1" t="s">
        <v>605</v>
      </c>
      <c r="B607" s="9" t="s">
        <v>2237</v>
      </c>
      <c r="C607" s="9" t="s">
        <v>1063</v>
      </c>
      <c r="D607" s="9" t="s">
        <v>2238</v>
      </c>
      <c r="E607" s="9" t="s">
        <v>1008</v>
      </c>
      <c r="F607" s="10">
        <v>45754</v>
      </c>
      <c r="G607" s="9" t="s">
        <v>1013</v>
      </c>
      <c r="I607" s="9" t="s">
        <v>1014</v>
      </c>
      <c r="J607" s="9" t="s">
        <v>1015</v>
      </c>
      <c r="K607" s="8" t="s">
        <v>1006</v>
      </c>
      <c r="L607" s="8" t="s">
        <v>1007</v>
      </c>
      <c r="M607" s="8" t="s">
        <v>2933</v>
      </c>
      <c r="N607" s="8" t="s">
        <v>2937</v>
      </c>
      <c r="O607" s="1" t="s">
        <v>2934</v>
      </c>
      <c r="P607">
        <v>30</v>
      </c>
      <c r="Q607">
        <v>30</v>
      </c>
      <c r="R607">
        <v>0</v>
      </c>
      <c r="S607">
        <f t="shared" si="89"/>
        <v>30</v>
      </c>
      <c r="T607" s="1" t="s">
        <v>2935</v>
      </c>
      <c r="U607" s="1" t="s">
        <v>2932</v>
      </c>
      <c r="V607" s="3">
        <f t="shared" si="90"/>
        <v>40000</v>
      </c>
      <c r="W607" s="3">
        <f t="shared" si="91"/>
        <v>16000</v>
      </c>
      <c r="X607" s="3">
        <f t="shared" si="83"/>
        <v>1250</v>
      </c>
      <c r="Y607" s="3">
        <f t="shared" si="84"/>
        <v>1600</v>
      </c>
      <c r="Z607" s="3">
        <f t="shared" si="85"/>
        <v>1800</v>
      </c>
      <c r="AA607" s="3">
        <v>0</v>
      </c>
      <c r="AB607" s="3">
        <f>ROUND(U607 - (V607+W607+X607+Y607) - (U607/Q607 * 2),0)</f>
        <v>34483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f>SUM(V607+W607+X607+Y607+AB607)</f>
        <v>93333</v>
      </c>
      <c r="AK607" s="3">
        <f>SUM(AJ607-AA607)</f>
        <v>93333</v>
      </c>
      <c r="AL607" s="3">
        <f>IF(V607&lt;=15000,V607*12%,1800)</f>
        <v>1800</v>
      </c>
      <c r="AM607" s="3">
        <v>0</v>
      </c>
      <c r="AN607" s="3">
        <f t="shared" si="86"/>
        <v>1800</v>
      </c>
      <c r="AO607" s="12">
        <v>200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3">
        <f t="shared" si="88"/>
        <v>200</v>
      </c>
      <c r="AV607" s="3">
        <f>SUM(AJ607 - AN607 - AU607)</f>
        <v>91333</v>
      </c>
      <c r="AW607" s="11">
        <v>0</v>
      </c>
      <c r="AX607" s="11">
        <v>0</v>
      </c>
      <c r="AY607" s="11">
        <v>0</v>
      </c>
      <c r="AZ607" s="11">
        <v>0</v>
      </c>
      <c r="BA607" s="3">
        <f t="shared" si="87"/>
        <v>91333</v>
      </c>
    </row>
    <row r="608" spans="1:53" x14ac:dyDescent="0.25">
      <c r="A608" s="1" t="s">
        <v>606</v>
      </c>
      <c r="B608" s="9" t="s">
        <v>2007</v>
      </c>
      <c r="C608" s="9" t="s">
        <v>1029</v>
      </c>
      <c r="D608" s="9" t="s">
        <v>2236</v>
      </c>
      <c r="E608" s="9" t="s">
        <v>1008</v>
      </c>
      <c r="F608" s="10">
        <v>45761</v>
      </c>
      <c r="G608" s="9" t="s">
        <v>1013</v>
      </c>
      <c r="I608" s="9" t="s">
        <v>1020</v>
      </c>
      <c r="J608" s="9" t="s">
        <v>1031</v>
      </c>
      <c r="K608" s="8" t="s">
        <v>1006</v>
      </c>
      <c r="L608" s="8" t="s">
        <v>1007</v>
      </c>
      <c r="M608" s="8" t="s">
        <v>2933</v>
      </c>
      <c r="N608" s="8" t="s">
        <v>2937</v>
      </c>
      <c r="O608" s="1" t="s">
        <v>2934</v>
      </c>
      <c r="P608">
        <v>30</v>
      </c>
      <c r="Q608">
        <v>30</v>
      </c>
      <c r="R608">
        <v>0</v>
      </c>
      <c r="S608">
        <f t="shared" si="89"/>
        <v>30</v>
      </c>
      <c r="T608" s="1" t="s">
        <v>2935</v>
      </c>
      <c r="U608" s="1" t="s">
        <v>2932</v>
      </c>
      <c r="V608" s="3">
        <f t="shared" si="90"/>
        <v>40000</v>
      </c>
      <c r="W608" s="3">
        <f t="shared" si="91"/>
        <v>16000</v>
      </c>
      <c r="X608" s="3">
        <f t="shared" si="83"/>
        <v>1250</v>
      </c>
      <c r="Y608" s="3">
        <f t="shared" si="84"/>
        <v>1600</v>
      </c>
      <c r="Z608" s="3">
        <f t="shared" si="85"/>
        <v>1800</v>
      </c>
      <c r="AA608" s="3">
        <v>0</v>
      </c>
      <c r="AB608" s="3">
        <f>ROUND(U608 - (V608+W608+X608+Y608) - (U608/Q608 * 2),0)</f>
        <v>34483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f>SUM(V608+W608+X608+Y608+AB608)</f>
        <v>93333</v>
      </c>
      <c r="AK608" s="3">
        <f>SUM(AJ608-AA608)</f>
        <v>93333</v>
      </c>
      <c r="AL608" s="3">
        <f>IF(V608&lt;=15000,V608*12%,1800)</f>
        <v>1800</v>
      </c>
      <c r="AM608" s="3">
        <v>0</v>
      </c>
      <c r="AN608" s="3">
        <f t="shared" si="86"/>
        <v>1800</v>
      </c>
      <c r="AO608" s="12">
        <v>200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3">
        <f t="shared" si="88"/>
        <v>200</v>
      </c>
      <c r="AV608" s="3">
        <f>SUM(AJ608 - AN608 - AU608)</f>
        <v>91333</v>
      </c>
      <c r="AW608" s="11">
        <v>0</v>
      </c>
      <c r="AX608" s="11">
        <v>0</v>
      </c>
      <c r="AY608" s="11">
        <v>0</v>
      </c>
      <c r="AZ608" s="11">
        <v>0</v>
      </c>
      <c r="BA608" s="3">
        <f t="shared" si="87"/>
        <v>91333</v>
      </c>
    </row>
    <row r="609" spans="1:53" x14ac:dyDescent="0.25">
      <c r="A609" s="1" t="s">
        <v>607</v>
      </c>
      <c r="B609" s="9" t="s">
        <v>2234</v>
      </c>
      <c r="C609" s="9" t="s">
        <v>1063</v>
      </c>
      <c r="D609" s="9" t="s">
        <v>2235</v>
      </c>
      <c r="E609" s="9" t="s">
        <v>1008</v>
      </c>
      <c r="F609" s="10">
        <v>45768</v>
      </c>
      <c r="G609" s="9" t="s">
        <v>1019</v>
      </c>
      <c r="I609" s="9" t="s">
        <v>1014</v>
      </c>
      <c r="J609" s="9" t="s">
        <v>1015</v>
      </c>
      <c r="K609" s="8" t="s">
        <v>1006</v>
      </c>
      <c r="L609" s="8" t="s">
        <v>1007</v>
      </c>
      <c r="M609" s="8" t="s">
        <v>2933</v>
      </c>
      <c r="N609" s="8" t="s">
        <v>2937</v>
      </c>
      <c r="O609" s="1" t="s">
        <v>2934</v>
      </c>
      <c r="P609">
        <v>30</v>
      </c>
      <c r="Q609">
        <v>30</v>
      </c>
      <c r="R609">
        <v>0</v>
      </c>
      <c r="S609">
        <f t="shared" si="89"/>
        <v>30</v>
      </c>
      <c r="T609" s="1" t="s">
        <v>2935</v>
      </c>
      <c r="U609" s="1" t="s">
        <v>2932</v>
      </c>
      <c r="V609" s="3">
        <f t="shared" si="90"/>
        <v>40000</v>
      </c>
      <c r="W609" s="3">
        <f t="shared" si="91"/>
        <v>16000</v>
      </c>
      <c r="X609" s="3">
        <f t="shared" si="83"/>
        <v>1250</v>
      </c>
      <c r="Y609" s="3">
        <f t="shared" si="84"/>
        <v>1600</v>
      </c>
      <c r="Z609" s="3">
        <f t="shared" si="85"/>
        <v>1800</v>
      </c>
      <c r="AA609" s="3">
        <v>0</v>
      </c>
      <c r="AB609" s="3">
        <f>ROUND(U609 - (V609+W609+X609+Y609) - (U609/Q609 * 2),0)</f>
        <v>34483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f>SUM(V609+W609+X609+Y609+AB609)</f>
        <v>93333</v>
      </c>
      <c r="AK609" s="3">
        <f>SUM(AJ609-AA609)</f>
        <v>93333</v>
      </c>
      <c r="AL609" s="3">
        <f>IF(V609&lt;=15000,V609*12%,1800)</f>
        <v>1800</v>
      </c>
      <c r="AM609" s="3">
        <v>0</v>
      </c>
      <c r="AN609" s="3">
        <f t="shared" si="86"/>
        <v>1800</v>
      </c>
      <c r="AO609" s="12">
        <v>200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3">
        <f t="shared" si="88"/>
        <v>200</v>
      </c>
      <c r="AV609" s="3">
        <f>SUM(AJ609 - AN609 - AU609)</f>
        <v>91333</v>
      </c>
      <c r="AW609" s="11">
        <v>0</v>
      </c>
      <c r="AX609" s="11">
        <v>0</v>
      </c>
      <c r="AY609" s="11">
        <v>0</v>
      </c>
      <c r="AZ609" s="11">
        <v>0</v>
      </c>
      <c r="BA609" s="3">
        <f t="shared" si="87"/>
        <v>91333</v>
      </c>
    </row>
    <row r="610" spans="1:53" x14ac:dyDescent="0.25">
      <c r="A610" s="1" t="s">
        <v>608</v>
      </c>
      <c r="B610" s="9" t="s">
        <v>2232</v>
      </c>
      <c r="C610" s="9" t="s">
        <v>1010</v>
      </c>
      <c r="D610" s="9" t="s">
        <v>2233</v>
      </c>
      <c r="E610" s="9" t="s">
        <v>1008</v>
      </c>
      <c r="F610" s="10">
        <v>45768</v>
      </c>
      <c r="G610" s="9" t="s">
        <v>1019</v>
      </c>
      <c r="I610" s="9" t="s">
        <v>1014</v>
      </c>
      <c r="J610" s="9" t="s">
        <v>1015</v>
      </c>
      <c r="K610" s="8" t="s">
        <v>1006</v>
      </c>
      <c r="L610" s="8" t="s">
        <v>1007</v>
      </c>
      <c r="M610" s="8" t="s">
        <v>2933</v>
      </c>
      <c r="N610" s="8" t="s">
        <v>2937</v>
      </c>
      <c r="O610" s="1" t="s">
        <v>2934</v>
      </c>
      <c r="P610">
        <v>30</v>
      </c>
      <c r="Q610">
        <v>30</v>
      </c>
      <c r="R610">
        <v>0</v>
      </c>
      <c r="S610">
        <f t="shared" si="89"/>
        <v>30</v>
      </c>
      <c r="T610" s="1" t="s">
        <v>2935</v>
      </c>
      <c r="U610" s="1" t="s">
        <v>2932</v>
      </c>
      <c r="V610" s="3">
        <f t="shared" si="90"/>
        <v>40000</v>
      </c>
      <c r="W610" s="3">
        <f t="shared" si="91"/>
        <v>16000</v>
      </c>
      <c r="X610" s="3">
        <f t="shared" si="83"/>
        <v>1250</v>
      </c>
      <c r="Y610" s="3">
        <f t="shared" si="84"/>
        <v>1600</v>
      </c>
      <c r="Z610" s="3">
        <f t="shared" si="85"/>
        <v>1800</v>
      </c>
      <c r="AA610" s="3">
        <v>0</v>
      </c>
      <c r="AB610" s="3">
        <f>ROUND(U610 - (V610+W610+X610+Y610) - (U610/Q610 * 2),0)</f>
        <v>34483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f>SUM(V610+W610+X610+Y610+AB610)</f>
        <v>93333</v>
      </c>
      <c r="AK610" s="3">
        <f>SUM(AJ610-AA610)</f>
        <v>93333</v>
      </c>
      <c r="AL610" s="3">
        <f>IF(V610&lt;=15000,V610*12%,1800)</f>
        <v>1800</v>
      </c>
      <c r="AM610" s="3">
        <v>0</v>
      </c>
      <c r="AN610" s="3">
        <f t="shared" si="86"/>
        <v>1800</v>
      </c>
      <c r="AO610" s="12">
        <v>200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3">
        <f t="shared" si="88"/>
        <v>200</v>
      </c>
      <c r="AV610" s="3">
        <f>SUM(AJ610 - AN610 - AU610)</f>
        <v>91333</v>
      </c>
      <c r="AW610" s="11">
        <v>0</v>
      </c>
      <c r="AX610" s="11">
        <v>0</v>
      </c>
      <c r="AY610" s="11">
        <v>0</v>
      </c>
      <c r="AZ610" s="11">
        <v>0</v>
      </c>
      <c r="BA610" s="3">
        <f t="shared" si="87"/>
        <v>91333</v>
      </c>
    </row>
    <row r="611" spans="1:53" x14ac:dyDescent="0.25">
      <c r="A611" s="1" t="s">
        <v>609</v>
      </c>
      <c r="B611" s="9" t="s">
        <v>2230</v>
      </c>
      <c r="C611" s="9" t="s">
        <v>1010</v>
      </c>
      <c r="D611" s="9" t="s">
        <v>2231</v>
      </c>
      <c r="E611" s="9" t="s">
        <v>1008</v>
      </c>
      <c r="F611" s="10">
        <v>45768</v>
      </c>
      <c r="G611" s="9" t="s">
        <v>1019</v>
      </c>
      <c r="I611" s="9" t="s">
        <v>1014</v>
      </c>
      <c r="J611" s="9" t="s">
        <v>1015</v>
      </c>
      <c r="K611" s="8" t="s">
        <v>1006</v>
      </c>
      <c r="L611" s="8" t="s">
        <v>1007</v>
      </c>
      <c r="M611" s="8" t="s">
        <v>2933</v>
      </c>
      <c r="N611" s="8" t="s">
        <v>2937</v>
      </c>
      <c r="O611" s="1" t="s">
        <v>2934</v>
      </c>
      <c r="P611">
        <v>30</v>
      </c>
      <c r="Q611">
        <v>30</v>
      </c>
      <c r="R611">
        <v>0</v>
      </c>
      <c r="S611">
        <f t="shared" si="89"/>
        <v>30</v>
      </c>
      <c r="T611" s="1" t="s">
        <v>2935</v>
      </c>
      <c r="U611" s="1" t="s">
        <v>2932</v>
      </c>
      <c r="V611" s="3">
        <f t="shared" si="90"/>
        <v>40000</v>
      </c>
      <c r="W611" s="3">
        <f t="shared" si="91"/>
        <v>16000</v>
      </c>
      <c r="X611" s="3">
        <f t="shared" si="83"/>
        <v>1250</v>
      </c>
      <c r="Y611" s="3">
        <f t="shared" si="84"/>
        <v>1600</v>
      </c>
      <c r="Z611" s="3">
        <f t="shared" si="85"/>
        <v>1800</v>
      </c>
      <c r="AA611" s="3">
        <v>0</v>
      </c>
      <c r="AB611" s="3">
        <f>ROUND(U611 - (V611+W611+X611+Y611) - (U611/Q611 * 2),0)</f>
        <v>34483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f>SUM(V611+W611+X611+Y611+AB611)</f>
        <v>93333</v>
      </c>
      <c r="AK611" s="3">
        <f>SUM(AJ611-AA611)</f>
        <v>93333</v>
      </c>
      <c r="AL611" s="3">
        <f>IF(V611&lt;=15000,V611*12%,1800)</f>
        <v>1800</v>
      </c>
      <c r="AM611" s="3">
        <v>0</v>
      </c>
      <c r="AN611" s="3">
        <f t="shared" si="86"/>
        <v>1800</v>
      </c>
      <c r="AO611" s="12">
        <v>200</v>
      </c>
      <c r="AP611" s="12">
        <v>0</v>
      </c>
      <c r="AQ611" s="12">
        <v>0</v>
      </c>
      <c r="AR611" s="12">
        <v>0</v>
      </c>
      <c r="AS611" s="12">
        <v>0</v>
      </c>
      <c r="AT611" s="12">
        <v>0</v>
      </c>
      <c r="AU611" s="3">
        <f t="shared" si="88"/>
        <v>200</v>
      </c>
      <c r="AV611" s="3">
        <f>SUM(AJ611 - AN611 - AU611)</f>
        <v>91333</v>
      </c>
      <c r="AW611" s="11">
        <v>0</v>
      </c>
      <c r="AX611" s="11">
        <v>0</v>
      </c>
      <c r="AY611" s="11">
        <v>0</v>
      </c>
      <c r="AZ611" s="11">
        <v>0</v>
      </c>
      <c r="BA611" s="3">
        <f t="shared" si="87"/>
        <v>91333</v>
      </c>
    </row>
    <row r="612" spans="1:53" x14ac:dyDescent="0.25">
      <c r="A612" s="1" t="s">
        <v>610</v>
      </c>
      <c r="B612" s="9" t="s">
        <v>2228</v>
      </c>
      <c r="C612" s="9" t="s">
        <v>1063</v>
      </c>
      <c r="D612" s="9" t="s">
        <v>2229</v>
      </c>
      <c r="E612" s="9" t="s">
        <v>1012</v>
      </c>
      <c r="F612" s="10">
        <v>45768</v>
      </c>
      <c r="G612" s="9" t="s">
        <v>1013</v>
      </c>
      <c r="I612" s="9" t="s">
        <v>1014</v>
      </c>
      <c r="J612" s="9" t="s">
        <v>1015</v>
      </c>
      <c r="K612" s="8" t="s">
        <v>1006</v>
      </c>
      <c r="L612" s="8" t="s">
        <v>1007</v>
      </c>
      <c r="M612" s="8" t="s">
        <v>2933</v>
      </c>
      <c r="N612" s="8" t="s">
        <v>2937</v>
      </c>
      <c r="O612" s="1" t="s">
        <v>2934</v>
      </c>
      <c r="P612">
        <v>30</v>
      </c>
      <c r="Q612">
        <v>30</v>
      </c>
      <c r="R612">
        <v>0</v>
      </c>
      <c r="S612">
        <f t="shared" si="89"/>
        <v>30</v>
      </c>
      <c r="T612" s="1" t="s">
        <v>2935</v>
      </c>
      <c r="U612" s="1" t="s">
        <v>2932</v>
      </c>
      <c r="V612" s="3">
        <f t="shared" si="90"/>
        <v>40000</v>
      </c>
      <c r="W612" s="3">
        <f t="shared" si="91"/>
        <v>16000</v>
      </c>
      <c r="X612" s="3">
        <f t="shared" si="83"/>
        <v>1250</v>
      </c>
      <c r="Y612" s="3">
        <f t="shared" si="84"/>
        <v>1600</v>
      </c>
      <c r="Z612" s="3">
        <f t="shared" si="85"/>
        <v>1800</v>
      </c>
      <c r="AA612" s="3">
        <v>0</v>
      </c>
      <c r="AB612" s="3">
        <f>ROUND(U612 - (V612+W612+X612+Y612) - (U612/Q612 * 2),0)</f>
        <v>34483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f>SUM(V612+W612+X612+Y612+AB612)</f>
        <v>93333</v>
      </c>
      <c r="AK612" s="3">
        <f>SUM(AJ612-AA612)</f>
        <v>93333</v>
      </c>
      <c r="AL612" s="3">
        <f>IF(V612&lt;=15000,V612*12%,1800)</f>
        <v>1800</v>
      </c>
      <c r="AM612" s="3">
        <v>0</v>
      </c>
      <c r="AN612" s="3">
        <f t="shared" si="86"/>
        <v>1800</v>
      </c>
      <c r="AO612" s="12">
        <v>200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3">
        <f t="shared" si="88"/>
        <v>200</v>
      </c>
      <c r="AV612" s="3">
        <f>SUM(AJ612 - AN612 - AU612)</f>
        <v>91333</v>
      </c>
      <c r="AW612" s="11">
        <v>0</v>
      </c>
      <c r="AX612" s="11">
        <v>0</v>
      </c>
      <c r="AY612" s="11">
        <v>0</v>
      </c>
      <c r="AZ612" s="11">
        <v>0</v>
      </c>
      <c r="BA612" s="3">
        <f t="shared" si="87"/>
        <v>91333</v>
      </c>
    </row>
    <row r="613" spans="1:53" x14ac:dyDescent="0.25">
      <c r="A613" s="1" t="s">
        <v>611</v>
      </c>
      <c r="B613" s="9" t="s">
        <v>2226</v>
      </c>
      <c r="C613" s="9" t="s">
        <v>1063</v>
      </c>
      <c r="D613" s="9" t="s">
        <v>2227</v>
      </c>
      <c r="E613" s="9" t="s">
        <v>1008</v>
      </c>
      <c r="F613" s="10">
        <v>45768</v>
      </c>
      <c r="G613" s="9" t="s">
        <v>1013</v>
      </c>
      <c r="I613" s="9" t="s">
        <v>1014</v>
      </c>
      <c r="J613" s="9" t="s">
        <v>1015</v>
      </c>
      <c r="K613" s="8" t="s">
        <v>1006</v>
      </c>
      <c r="L613" s="8" t="s">
        <v>1007</v>
      </c>
      <c r="M613" s="8" t="s">
        <v>2933</v>
      </c>
      <c r="N613" s="8" t="s">
        <v>2937</v>
      </c>
      <c r="O613" s="1" t="s">
        <v>2934</v>
      </c>
      <c r="P613">
        <v>30</v>
      </c>
      <c r="Q613">
        <v>30</v>
      </c>
      <c r="R613">
        <v>0</v>
      </c>
      <c r="S613">
        <f t="shared" si="89"/>
        <v>30</v>
      </c>
      <c r="T613" s="1" t="s">
        <v>2935</v>
      </c>
      <c r="U613" s="1" t="s">
        <v>2932</v>
      </c>
      <c r="V613" s="3">
        <f t="shared" si="90"/>
        <v>40000</v>
      </c>
      <c r="W613" s="3">
        <f t="shared" si="91"/>
        <v>16000</v>
      </c>
      <c r="X613" s="3">
        <f t="shared" si="83"/>
        <v>1250</v>
      </c>
      <c r="Y613" s="3">
        <f t="shared" si="84"/>
        <v>1600</v>
      </c>
      <c r="Z613" s="3">
        <f t="shared" si="85"/>
        <v>1800</v>
      </c>
      <c r="AA613" s="3">
        <v>0</v>
      </c>
      <c r="AB613" s="3">
        <f>ROUND(U613 - (V613+W613+X613+Y613) - (U613/Q613 * 2),0)</f>
        <v>34483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f>SUM(V613+W613+X613+Y613+AB613)</f>
        <v>93333</v>
      </c>
      <c r="AK613" s="3">
        <f>SUM(AJ613-AA613)</f>
        <v>93333</v>
      </c>
      <c r="AL613" s="3">
        <f>IF(V613&lt;=15000,V613*12%,1800)</f>
        <v>1800</v>
      </c>
      <c r="AM613" s="3">
        <v>0</v>
      </c>
      <c r="AN613" s="3">
        <f t="shared" si="86"/>
        <v>1800</v>
      </c>
      <c r="AO613" s="12">
        <v>200</v>
      </c>
      <c r="AP613" s="12">
        <v>0</v>
      </c>
      <c r="AQ613" s="12">
        <v>0</v>
      </c>
      <c r="AR613" s="12">
        <v>0</v>
      </c>
      <c r="AS613" s="12">
        <v>0</v>
      </c>
      <c r="AT613" s="12">
        <v>0</v>
      </c>
      <c r="AU613" s="3">
        <f t="shared" si="88"/>
        <v>200</v>
      </c>
      <c r="AV613" s="3">
        <f>SUM(AJ613 - AN613 - AU613)</f>
        <v>91333</v>
      </c>
      <c r="AW613" s="11">
        <v>0</v>
      </c>
      <c r="AX613" s="11">
        <v>0</v>
      </c>
      <c r="AY613" s="11">
        <v>0</v>
      </c>
      <c r="AZ613" s="11">
        <v>0</v>
      </c>
      <c r="BA613" s="3">
        <f t="shared" si="87"/>
        <v>91333</v>
      </c>
    </row>
    <row r="614" spans="1:53" x14ac:dyDescent="0.25">
      <c r="A614" s="1" t="s">
        <v>612</v>
      </c>
      <c r="B614" s="9" t="s">
        <v>2224</v>
      </c>
      <c r="C614" s="9" t="s">
        <v>1063</v>
      </c>
      <c r="D614" s="9" t="s">
        <v>2225</v>
      </c>
      <c r="E614" s="9" t="s">
        <v>1008</v>
      </c>
      <c r="F614" s="10">
        <v>45768</v>
      </c>
      <c r="G614" s="9" t="s">
        <v>1013</v>
      </c>
      <c r="I614" s="9" t="s">
        <v>1014</v>
      </c>
      <c r="J614" s="9" t="s">
        <v>1015</v>
      </c>
      <c r="K614" s="8" t="s">
        <v>1006</v>
      </c>
      <c r="L614" s="8" t="s">
        <v>1007</v>
      </c>
      <c r="M614" s="8" t="s">
        <v>2933</v>
      </c>
      <c r="N614" s="8" t="s">
        <v>2937</v>
      </c>
      <c r="O614" s="1" t="s">
        <v>2934</v>
      </c>
      <c r="P614">
        <v>30</v>
      </c>
      <c r="Q614">
        <v>30</v>
      </c>
      <c r="R614">
        <v>0</v>
      </c>
      <c r="S614">
        <f t="shared" si="89"/>
        <v>30</v>
      </c>
      <c r="T614" s="1" t="s">
        <v>2935</v>
      </c>
      <c r="U614" s="1" t="s">
        <v>2932</v>
      </c>
      <c r="V614" s="3">
        <f t="shared" si="90"/>
        <v>40000</v>
      </c>
      <c r="W614" s="3">
        <f t="shared" si="91"/>
        <v>16000</v>
      </c>
      <c r="X614" s="3">
        <f t="shared" si="83"/>
        <v>1250</v>
      </c>
      <c r="Y614" s="3">
        <f t="shared" si="84"/>
        <v>1600</v>
      </c>
      <c r="Z614" s="3">
        <f t="shared" si="85"/>
        <v>1800</v>
      </c>
      <c r="AA614" s="3">
        <v>0</v>
      </c>
      <c r="AB614" s="3">
        <f>ROUND(U614 - (V614+W614+X614+Y614) - (U614/Q614 * 2),0)</f>
        <v>34483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f>SUM(V614+W614+X614+Y614+AB614)</f>
        <v>93333</v>
      </c>
      <c r="AK614" s="3">
        <f>SUM(AJ614-AA614)</f>
        <v>93333</v>
      </c>
      <c r="AL614" s="3">
        <f>IF(V614&lt;=15000,V614*12%,1800)</f>
        <v>1800</v>
      </c>
      <c r="AM614" s="3">
        <v>0</v>
      </c>
      <c r="AN614" s="3">
        <f t="shared" si="86"/>
        <v>1800</v>
      </c>
      <c r="AO614" s="12">
        <v>200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3">
        <f t="shared" si="88"/>
        <v>200</v>
      </c>
      <c r="AV614" s="3">
        <f>SUM(AJ614 - AN614 - AU614)</f>
        <v>91333</v>
      </c>
      <c r="AW614" s="11">
        <v>0</v>
      </c>
      <c r="AX614" s="11">
        <v>0</v>
      </c>
      <c r="AY614" s="11">
        <v>0</v>
      </c>
      <c r="AZ614" s="11">
        <v>0</v>
      </c>
      <c r="BA614" s="3">
        <f t="shared" si="87"/>
        <v>91333</v>
      </c>
    </row>
    <row r="615" spans="1:53" x14ac:dyDescent="0.25">
      <c r="A615" s="1" t="s">
        <v>613</v>
      </c>
      <c r="B615" s="9" t="s">
        <v>2222</v>
      </c>
      <c r="C615" s="9" t="s">
        <v>1063</v>
      </c>
      <c r="D615" s="9" t="s">
        <v>2223</v>
      </c>
      <c r="E615" s="9" t="s">
        <v>1012</v>
      </c>
      <c r="F615" s="10">
        <v>45761</v>
      </c>
      <c r="G615" s="9" t="s">
        <v>1013</v>
      </c>
      <c r="I615" s="9" t="s">
        <v>1014</v>
      </c>
      <c r="J615" s="9" t="s">
        <v>1015</v>
      </c>
      <c r="K615" s="8" t="s">
        <v>1006</v>
      </c>
      <c r="L615" s="8" t="s">
        <v>1007</v>
      </c>
      <c r="M615" s="8" t="s">
        <v>2933</v>
      </c>
      <c r="N615" s="8" t="s">
        <v>2937</v>
      </c>
      <c r="O615" s="1" t="s">
        <v>2934</v>
      </c>
      <c r="P615">
        <v>30</v>
      </c>
      <c r="Q615">
        <v>30</v>
      </c>
      <c r="R615">
        <v>0</v>
      </c>
      <c r="S615">
        <f t="shared" si="89"/>
        <v>30</v>
      </c>
      <c r="T615" s="1" t="s">
        <v>2935</v>
      </c>
      <c r="U615" s="1" t="s">
        <v>2932</v>
      </c>
      <c r="V615" s="3">
        <f t="shared" si="90"/>
        <v>40000</v>
      </c>
      <c r="W615" s="3">
        <f t="shared" si="91"/>
        <v>16000</v>
      </c>
      <c r="X615" s="3">
        <f t="shared" si="83"/>
        <v>1250</v>
      </c>
      <c r="Y615" s="3">
        <f t="shared" si="84"/>
        <v>1600</v>
      </c>
      <c r="Z615" s="3">
        <f t="shared" si="85"/>
        <v>1800</v>
      </c>
      <c r="AA615" s="3">
        <v>0</v>
      </c>
      <c r="AB615" s="3">
        <f>ROUND(U615 - (V615+W615+X615+Y615) - (U615/Q615 * 2),0)</f>
        <v>34483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f>SUM(V615+W615+X615+Y615+AB615)</f>
        <v>93333</v>
      </c>
      <c r="AK615" s="3">
        <f>SUM(AJ615-AA615)</f>
        <v>93333</v>
      </c>
      <c r="AL615" s="3">
        <f>IF(V615&lt;=15000,V615*12%,1800)</f>
        <v>1800</v>
      </c>
      <c r="AM615" s="3">
        <v>0</v>
      </c>
      <c r="AN615" s="3">
        <f t="shared" si="86"/>
        <v>1800</v>
      </c>
      <c r="AO615" s="12">
        <v>200</v>
      </c>
      <c r="AP615" s="12">
        <v>0</v>
      </c>
      <c r="AQ615" s="12">
        <v>0</v>
      </c>
      <c r="AR615" s="12">
        <v>0</v>
      </c>
      <c r="AS615" s="12">
        <v>0</v>
      </c>
      <c r="AT615" s="12">
        <v>0</v>
      </c>
      <c r="AU615" s="3">
        <f t="shared" si="88"/>
        <v>200</v>
      </c>
      <c r="AV615" s="3">
        <f>SUM(AJ615 - AN615 - AU615)</f>
        <v>91333</v>
      </c>
      <c r="AW615" s="11">
        <v>0</v>
      </c>
      <c r="AX615" s="11">
        <v>0</v>
      </c>
      <c r="AY615" s="11">
        <v>0</v>
      </c>
      <c r="AZ615" s="11">
        <v>0</v>
      </c>
      <c r="BA615" s="3">
        <f t="shared" si="87"/>
        <v>91333</v>
      </c>
    </row>
    <row r="616" spans="1:53" x14ac:dyDescent="0.25">
      <c r="A616" s="1" t="s">
        <v>614</v>
      </c>
      <c r="B616" s="9" t="s">
        <v>2220</v>
      </c>
      <c r="C616" s="9" t="s">
        <v>1063</v>
      </c>
      <c r="D616" s="9" t="s">
        <v>2221</v>
      </c>
      <c r="E616" s="9" t="s">
        <v>1008</v>
      </c>
      <c r="F616" s="10">
        <v>45770</v>
      </c>
      <c r="G616" s="9" t="s">
        <v>1019</v>
      </c>
      <c r="I616" s="9" t="s">
        <v>1014</v>
      </c>
      <c r="J616" s="9" t="s">
        <v>1015</v>
      </c>
      <c r="K616" s="8" t="s">
        <v>1006</v>
      </c>
      <c r="L616" s="8" t="s">
        <v>1007</v>
      </c>
      <c r="M616" s="8" t="s">
        <v>2933</v>
      </c>
      <c r="N616" s="8" t="s">
        <v>2937</v>
      </c>
      <c r="O616" s="1" t="s">
        <v>2934</v>
      </c>
      <c r="P616">
        <v>30</v>
      </c>
      <c r="Q616">
        <v>30</v>
      </c>
      <c r="R616">
        <v>0</v>
      </c>
      <c r="S616">
        <f t="shared" si="89"/>
        <v>30</v>
      </c>
      <c r="T616" s="1" t="s">
        <v>2935</v>
      </c>
      <c r="U616" s="1" t="s">
        <v>2932</v>
      </c>
      <c r="V616" s="3">
        <f t="shared" si="90"/>
        <v>40000</v>
      </c>
      <c r="W616" s="3">
        <f t="shared" si="91"/>
        <v>16000</v>
      </c>
      <c r="X616" s="3">
        <f t="shared" si="83"/>
        <v>1250</v>
      </c>
      <c r="Y616" s="3">
        <f t="shared" si="84"/>
        <v>1600</v>
      </c>
      <c r="Z616" s="3">
        <f t="shared" si="85"/>
        <v>1800</v>
      </c>
      <c r="AA616" s="3">
        <v>0</v>
      </c>
      <c r="AB616" s="3">
        <f>ROUND(U616 - (V616+W616+X616+Y616) - (U616/Q616 * 2),0)</f>
        <v>34483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f>SUM(V616+W616+X616+Y616+AB616)</f>
        <v>93333</v>
      </c>
      <c r="AK616" s="3">
        <f>SUM(AJ616-AA616)</f>
        <v>93333</v>
      </c>
      <c r="AL616" s="3">
        <f>IF(V616&lt;=15000,V616*12%,1800)</f>
        <v>1800</v>
      </c>
      <c r="AM616" s="3">
        <v>0</v>
      </c>
      <c r="AN616" s="3">
        <f t="shared" si="86"/>
        <v>1800</v>
      </c>
      <c r="AO616" s="12">
        <v>200</v>
      </c>
      <c r="AP616" s="12">
        <v>0</v>
      </c>
      <c r="AQ616" s="12">
        <v>0</v>
      </c>
      <c r="AR616" s="12">
        <v>0</v>
      </c>
      <c r="AS616" s="12">
        <v>0</v>
      </c>
      <c r="AT616" s="12">
        <v>0</v>
      </c>
      <c r="AU616" s="3">
        <f t="shared" si="88"/>
        <v>200</v>
      </c>
      <c r="AV616" s="3">
        <f>SUM(AJ616 - AN616 - AU616)</f>
        <v>91333</v>
      </c>
      <c r="AW616" s="11">
        <v>0</v>
      </c>
      <c r="AX616" s="11">
        <v>0</v>
      </c>
      <c r="AY616" s="11">
        <v>0</v>
      </c>
      <c r="AZ616" s="11">
        <v>0</v>
      </c>
      <c r="BA616" s="3">
        <f t="shared" si="87"/>
        <v>91333</v>
      </c>
    </row>
    <row r="617" spans="1:53" x14ac:dyDescent="0.25">
      <c r="A617" s="1" t="s">
        <v>615</v>
      </c>
      <c r="B617" s="9" t="s">
        <v>2218</v>
      </c>
      <c r="C617" s="9" t="s">
        <v>1063</v>
      </c>
      <c r="D617" s="9" t="s">
        <v>2219</v>
      </c>
      <c r="E617" s="9" t="s">
        <v>1008</v>
      </c>
      <c r="F617" s="10">
        <v>45770</v>
      </c>
      <c r="G617" s="9" t="s">
        <v>1013</v>
      </c>
      <c r="I617" s="9" t="s">
        <v>1014</v>
      </c>
      <c r="J617" s="9" t="s">
        <v>1015</v>
      </c>
      <c r="K617" s="8" t="s">
        <v>1006</v>
      </c>
      <c r="L617" s="8" t="s">
        <v>1007</v>
      </c>
      <c r="M617" s="8" t="s">
        <v>2933</v>
      </c>
      <c r="N617" s="8" t="s">
        <v>2937</v>
      </c>
      <c r="O617" s="1" t="s">
        <v>2934</v>
      </c>
      <c r="P617">
        <v>30</v>
      </c>
      <c r="Q617">
        <v>30</v>
      </c>
      <c r="R617">
        <v>0</v>
      </c>
      <c r="S617">
        <f t="shared" si="89"/>
        <v>30</v>
      </c>
      <c r="T617" s="1" t="s">
        <v>2935</v>
      </c>
      <c r="U617" s="1" t="s">
        <v>2932</v>
      </c>
      <c r="V617" s="3">
        <f t="shared" si="90"/>
        <v>40000</v>
      </c>
      <c r="W617" s="3">
        <f t="shared" si="91"/>
        <v>16000</v>
      </c>
      <c r="X617" s="3">
        <f t="shared" si="83"/>
        <v>1250</v>
      </c>
      <c r="Y617" s="3">
        <f t="shared" si="84"/>
        <v>1600</v>
      </c>
      <c r="Z617" s="3">
        <f t="shared" si="85"/>
        <v>1800</v>
      </c>
      <c r="AA617" s="3">
        <v>0</v>
      </c>
      <c r="AB617" s="3">
        <f>ROUND(U617 - (V617+W617+X617+Y617) - (U617/Q617 * 2),0)</f>
        <v>34483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f>SUM(V617+W617+X617+Y617+AB617)</f>
        <v>93333</v>
      </c>
      <c r="AK617" s="3">
        <f>SUM(AJ617-AA617)</f>
        <v>93333</v>
      </c>
      <c r="AL617" s="3">
        <f>IF(V617&lt;=15000,V617*12%,1800)</f>
        <v>1800</v>
      </c>
      <c r="AM617" s="3">
        <v>0</v>
      </c>
      <c r="AN617" s="3">
        <f t="shared" si="86"/>
        <v>1800</v>
      </c>
      <c r="AO617" s="12">
        <v>200</v>
      </c>
      <c r="AP617" s="12">
        <v>0</v>
      </c>
      <c r="AQ617" s="12">
        <v>0</v>
      </c>
      <c r="AR617" s="12">
        <v>0</v>
      </c>
      <c r="AS617" s="12">
        <v>0</v>
      </c>
      <c r="AT617" s="12">
        <v>0</v>
      </c>
      <c r="AU617" s="3">
        <f t="shared" si="88"/>
        <v>200</v>
      </c>
      <c r="AV617" s="3">
        <f>SUM(AJ617 - AN617 - AU617)</f>
        <v>91333</v>
      </c>
      <c r="AW617" s="11">
        <v>0</v>
      </c>
      <c r="AX617" s="11">
        <v>0</v>
      </c>
      <c r="AY617" s="11">
        <v>0</v>
      </c>
      <c r="AZ617" s="11">
        <v>0</v>
      </c>
      <c r="BA617" s="3">
        <f t="shared" si="87"/>
        <v>91333</v>
      </c>
    </row>
    <row r="618" spans="1:53" x14ac:dyDescent="0.25">
      <c r="A618" s="1" t="s">
        <v>616</v>
      </c>
      <c r="B618" s="9" t="s">
        <v>2216</v>
      </c>
      <c r="C618" s="9" t="s">
        <v>1063</v>
      </c>
      <c r="D618" s="9" t="s">
        <v>2217</v>
      </c>
      <c r="E618" s="9" t="s">
        <v>1012</v>
      </c>
      <c r="F618" s="10">
        <v>45770</v>
      </c>
      <c r="G618" s="9" t="s">
        <v>1013</v>
      </c>
      <c r="I618" s="9" t="s">
        <v>1014</v>
      </c>
      <c r="J618" s="9" t="s">
        <v>1015</v>
      </c>
      <c r="K618" s="8" t="s">
        <v>1006</v>
      </c>
      <c r="L618" s="8" t="s">
        <v>1007</v>
      </c>
      <c r="M618" s="8" t="s">
        <v>2933</v>
      </c>
      <c r="N618" s="8" t="s">
        <v>2937</v>
      </c>
      <c r="O618" s="1" t="s">
        <v>2934</v>
      </c>
      <c r="P618">
        <v>30</v>
      </c>
      <c r="Q618">
        <v>30</v>
      </c>
      <c r="R618">
        <v>0</v>
      </c>
      <c r="S618">
        <f t="shared" si="89"/>
        <v>30</v>
      </c>
      <c r="T618" s="1" t="s">
        <v>2935</v>
      </c>
      <c r="U618" s="1" t="s">
        <v>2932</v>
      </c>
      <c r="V618" s="3">
        <f t="shared" si="90"/>
        <v>40000</v>
      </c>
      <c r="W618" s="3">
        <f t="shared" si="91"/>
        <v>16000</v>
      </c>
      <c r="X618" s="3">
        <f t="shared" si="83"/>
        <v>1250</v>
      </c>
      <c r="Y618" s="3">
        <f t="shared" si="84"/>
        <v>1600</v>
      </c>
      <c r="Z618" s="3">
        <f t="shared" si="85"/>
        <v>1800</v>
      </c>
      <c r="AA618" s="3">
        <v>0</v>
      </c>
      <c r="AB618" s="3">
        <f>ROUND(U618 - (V618+W618+X618+Y618) - (U618/Q618 * 2),0)</f>
        <v>34483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f>SUM(V618+W618+X618+Y618+AB618)</f>
        <v>93333</v>
      </c>
      <c r="AK618" s="3">
        <f>SUM(AJ618-AA618)</f>
        <v>93333</v>
      </c>
      <c r="AL618" s="3">
        <f>IF(V618&lt;=15000,V618*12%,1800)</f>
        <v>1800</v>
      </c>
      <c r="AM618" s="3">
        <v>0</v>
      </c>
      <c r="AN618" s="3">
        <f t="shared" si="86"/>
        <v>1800</v>
      </c>
      <c r="AO618" s="12">
        <v>200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3">
        <f t="shared" si="88"/>
        <v>200</v>
      </c>
      <c r="AV618" s="3">
        <f>SUM(AJ618 - AN618 - AU618)</f>
        <v>91333</v>
      </c>
      <c r="AW618" s="11">
        <v>0</v>
      </c>
      <c r="AX618" s="11">
        <v>0</v>
      </c>
      <c r="AY618" s="11">
        <v>0</v>
      </c>
      <c r="AZ618" s="11">
        <v>0</v>
      </c>
      <c r="BA618" s="3">
        <f t="shared" si="87"/>
        <v>91333</v>
      </c>
    </row>
    <row r="619" spans="1:53" x14ac:dyDescent="0.25">
      <c r="A619" s="1" t="s">
        <v>617</v>
      </c>
      <c r="B619" s="9" t="s">
        <v>2214</v>
      </c>
      <c r="C619" s="9" t="s">
        <v>1063</v>
      </c>
      <c r="D619" s="9" t="s">
        <v>2215</v>
      </c>
      <c r="E619" s="9" t="s">
        <v>1008</v>
      </c>
      <c r="F619" s="10">
        <v>45771</v>
      </c>
      <c r="G619" s="9" t="s">
        <v>1019</v>
      </c>
      <c r="I619" s="9" t="s">
        <v>1014</v>
      </c>
      <c r="J619" s="9" t="s">
        <v>1015</v>
      </c>
      <c r="K619" s="8" t="s">
        <v>1006</v>
      </c>
      <c r="L619" s="8" t="s">
        <v>1007</v>
      </c>
      <c r="M619" s="8" t="s">
        <v>2933</v>
      </c>
      <c r="N619" s="8" t="s">
        <v>2937</v>
      </c>
      <c r="O619" s="1" t="s">
        <v>2934</v>
      </c>
      <c r="P619">
        <v>30</v>
      </c>
      <c r="Q619">
        <v>30</v>
      </c>
      <c r="R619">
        <v>0</v>
      </c>
      <c r="S619">
        <f t="shared" si="89"/>
        <v>30</v>
      </c>
      <c r="T619" s="1" t="s">
        <v>2935</v>
      </c>
      <c r="U619" s="1" t="s">
        <v>2932</v>
      </c>
      <c r="V619" s="3">
        <f t="shared" si="90"/>
        <v>40000</v>
      </c>
      <c r="W619" s="3">
        <f t="shared" si="91"/>
        <v>16000</v>
      </c>
      <c r="X619" s="3">
        <f t="shared" si="83"/>
        <v>1250</v>
      </c>
      <c r="Y619" s="3">
        <f t="shared" si="84"/>
        <v>1600</v>
      </c>
      <c r="Z619" s="3">
        <f t="shared" si="85"/>
        <v>1800</v>
      </c>
      <c r="AA619" s="3">
        <v>0</v>
      </c>
      <c r="AB619" s="3">
        <f>ROUND(U619 - (V619+W619+X619+Y619) - (U619/Q619 * 2),0)</f>
        <v>34483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f>SUM(V619+W619+X619+Y619+AB619)</f>
        <v>93333</v>
      </c>
      <c r="AK619" s="3">
        <f>SUM(AJ619-AA619)</f>
        <v>93333</v>
      </c>
      <c r="AL619" s="3">
        <f>IF(V619&lt;=15000,V619*12%,1800)</f>
        <v>1800</v>
      </c>
      <c r="AM619" s="3">
        <v>0</v>
      </c>
      <c r="AN619" s="3">
        <f t="shared" si="86"/>
        <v>1800</v>
      </c>
      <c r="AO619" s="12">
        <v>200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3">
        <f t="shared" si="88"/>
        <v>200</v>
      </c>
      <c r="AV619" s="3">
        <f>SUM(AJ619 - AN619 - AU619)</f>
        <v>91333</v>
      </c>
      <c r="AW619" s="11">
        <v>0</v>
      </c>
      <c r="AX619" s="11">
        <v>0</v>
      </c>
      <c r="AY619" s="11">
        <v>0</v>
      </c>
      <c r="AZ619" s="11">
        <v>0</v>
      </c>
      <c r="BA619" s="3">
        <f t="shared" si="87"/>
        <v>91333</v>
      </c>
    </row>
    <row r="620" spans="1:53" x14ac:dyDescent="0.25">
      <c r="A620" s="1" t="s">
        <v>618</v>
      </c>
      <c r="B620" s="9" t="s">
        <v>2212</v>
      </c>
      <c r="C620" s="9" t="s">
        <v>1063</v>
      </c>
      <c r="D620" s="9" t="s">
        <v>2213</v>
      </c>
      <c r="E620" s="9" t="s">
        <v>1008</v>
      </c>
      <c r="F620" s="10">
        <v>45771</v>
      </c>
      <c r="G620" s="9" t="s">
        <v>1019</v>
      </c>
      <c r="I620" s="9" t="s">
        <v>1014</v>
      </c>
      <c r="J620" s="9" t="s">
        <v>1015</v>
      </c>
      <c r="K620" s="8" t="s">
        <v>1006</v>
      </c>
      <c r="L620" s="8" t="s">
        <v>1007</v>
      </c>
      <c r="M620" s="8" t="s">
        <v>2933</v>
      </c>
      <c r="N620" s="8" t="s">
        <v>2937</v>
      </c>
      <c r="O620" s="1" t="s">
        <v>2934</v>
      </c>
      <c r="P620">
        <v>30</v>
      </c>
      <c r="Q620">
        <v>30</v>
      </c>
      <c r="R620">
        <v>0</v>
      </c>
      <c r="S620">
        <f t="shared" si="89"/>
        <v>30</v>
      </c>
      <c r="T620" s="1" t="s">
        <v>2935</v>
      </c>
      <c r="U620" s="1" t="s">
        <v>2932</v>
      </c>
      <c r="V620" s="3">
        <f t="shared" si="90"/>
        <v>40000</v>
      </c>
      <c r="W620" s="3">
        <f t="shared" si="91"/>
        <v>16000</v>
      </c>
      <c r="X620" s="3">
        <f t="shared" si="83"/>
        <v>1250</v>
      </c>
      <c r="Y620" s="3">
        <f t="shared" si="84"/>
        <v>1600</v>
      </c>
      <c r="Z620" s="3">
        <f t="shared" si="85"/>
        <v>1800</v>
      </c>
      <c r="AA620" s="3">
        <v>0</v>
      </c>
      <c r="AB620" s="3">
        <f>ROUND(U620 - (V620+W620+X620+Y620) - (U620/Q620 * 2),0)</f>
        <v>34483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f>SUM(V620+W620+X620+Y620+AB620)</f>
        <v>93333</v>
      </c>
      <c r="AK620" s="3">
        <f>SUM(AJ620-AA620)</f>
        <v>93333</v>
      </c>
      <c r="AL620" s="3">
        <f>IF(V620&lt;=15000,V620*12%,1800)</f>
        <v>1800</v>
      </c>
      <c r="AM620" s="3">
        <v>0</v>
      </c>
      <c r="AN620" s="3">
        <f t="shared" si="86"/>
        <v>1800</v>
      </c>
      <c r="AO620" s="12">
        <v>200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3">
        <f t="shared" si="88"/>
        <v>200</v>
      </c>
      <c r="AV620" s="3">
        <f>SUM(AJ620 - AN620 - AU620)</f>
        <v>91333</v>
      </c>
      <c r="AW620" s="11">
        <v>0</v>
      </c>
      <c r="AX620" s="11">
        <v>0</v>
      </c>
      <c r="AY620" s="11">
        <v>0</v>
      </c>
      <c r="AZ620" s="11">
        <v>0</v>
      </c>
      <c r="BA620" s="3">
        <f t="shared" si="87"/>
        <v>91333</v>
      </c>
    </row>
    <row r="621" spans="1:53" x14ac:dyDescent="0.25">
      <c r="A621" s="1" t="s">
        <v>619</v>
      </c>
      <c r="B621" s="9" t="s">
        <v>2210</v>
      </c>
      <c r="C621" s="9" t="s">
        <v>1169</v>
      </c>
      <c r="D621" s="9" t="s">
        <v>2211</v>
      </c>
      <c r="E621" s="9" t="s">
        <v>1012</v>
      </c>
      <c r="F621" s="10">
        <v>45761</v>
      </c>
      <c r="G621" s="9" t="s">
        <v>1019</v>
      </c>
      <c r="I621" s="9" t="s">
        <v>1014</v>
      </c>
      <c r="J621" s="9" t="s">
        <v>1171</v>
      </c>
      <c r="K621" s="8" t="s">
        <v>1006</v>
      </c>
      <c r="L621" s="8" t="s">
        <v>1007</v>
      </c>
      <c r="M621" s="8" t="s">
        <v>2933</v>
      </c>
      <c r="N621" s="8" t="s">
        <v>2937</v>
      </c>
      <c r="O621" s="1" t="s">
        <v>2934</v>
      </c>
      <c r="P621">
        <v>30</v>
      </c>
      <c r="Q621">
        <v>30</v>
      </c>
      <c r="R621">
        <v>0</v>
      </c>
      <c r="S621">
        <f t="shared" si="89"/>
        <v>30</v>
      </c>
      <c r="T621" s="1" t="s">
        <v>2935</v>
      </c>
      <c r="U621" s="1" t="s">
        <v>2932</v>
      </c>
      <c r="V621" s="3">
        <f t="shared" si="90"/>
        <v>40000</v>
      </c>
      <c r="W621" s="3">
        <f t="shared" si="91"/>
        <v>16000</v>
      </c>
      <c r="X621" s="3">
        <f t="shared" si="83"/>
        <v>1250</v>
      </c>
      <c r="Y621" s="3">
        <f t="shared" si="84"/>
        <v>1600</v>
      </c>
      <c r="Z621" s="3">
        <f t="shared" si="85"/>
        <v>1800</v>
      </c>
      <c r="AA621" s="3">
        <v>0</v>
      </c>
      <c r="AB621" s="3">
        <f>ROUND(U621 - (V621+W621+X621+Y621) - (U621/Q621 * 2),0)</f>
        <v>34483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f>SUM(V621+W621+X621+Y621+AB621)</f>
        <v>93333</v>
      </c>
      <c r="AK621" s="3">
        <f>SUM(AJ621-AA621)</f>
        <v>93333</v>
      </c>
      <c r="AL621" s="3">
        <f>IF(V621&lt;=15000,V621*12%,1800)</f>
        <v>1800</v>
      </c>
      <c r="AM621" s="3">
        <v>0</v>
      </c>
      <c r="AN621" s="3">
        <f t="shared" si="86"/>
        <v>1800</v>
      </c>
      <c r="AO621" s="12">
        <v>200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3">
        <f t="shared" si="88"/>
        <v>200</v>
      </c>
      <c r="AV621" s="3">
        <f>SUM(AJ621 - AN621 - AU621)</f>
        <v>91333</v>
      </c>
      <c r="AW621" s="11">
        <v>0</v>
      </c>
      <c r="AX621" s="11">
        <v>0</v>
      </c>
      <c r="AY621" s="11">
        <v>0</v>
      </c>
      <c r="AZ621" s="11">
        <v>0</v>
      </c>
      <c r="BA621" s="3">
        <f t="shared" si="87"/>
        <v>91333</v>
      </c>
    </row>
    <row r="622" spans="1:53" x14ac:dyDescent="0.25">
      <c r="A622" s="1" t="s">
        <v>620</v>
      </c>
      <c r="B622" s="9" t="s">
        <v>2208</v>
      </c>
      <c r="C622" s="9" t="s">
        <v>2209</v>
      </c>
      <c r="D622" s="9">
        <v>0</v>
      </c>
      <c r="E622" s="9" t="s">
        <v>1008</v>
      </c>
      <c r="F622" s="10">
        <v>45775</v>
      </c>
      <c r="G622" s="9" t="s">
        <v>1019</v>
      </c>
      <c r="I622" s="9" t="s">
        <v>1042</v>
      </c>
      <c r="J622" s="9" t="s">
        <v>1031</v>
      </c>
      <c r="K622" s="8" t="s">
        <v>1006</v>
      </c>
      <c r="L622" s="8" t="s">
        <v>1007</v>
      </c>
      <c r="M622" s="8" t="s">
        <v>2933</v>
      </c>
      <c r="N622" s="8" t="s">
        <v>2937</v>
      </c>
      <c r="O622" s="1" t="s">
        <v>2934</v>
      </c>
      <c r="P622">
        <v>30</v>
      </c>
      <c r="Q622">
        <v>30</v>
      </c>
      <c r="R622">
        <v>0</v>
      </c>
      <c r="S622">
        <f t="shared" si="89"/>
        <v>30</v>
      </c>
      <c r="T622" s="1" t="s">
        <v>2935</v>
      </c>
      <c r="U622" s="1" t="s">
        <v>2932</v>
      </c>
      <c r="V622" s="3">
        <f t="shared" si="90"/>
        <v>40000</v>
      </c>
      <c r="W622" s="3">
        <f t="shared" si="91"/>
        <v>16000</v>
      </c>
      <c r="X622" s="3">
        <f t="shared" si="83"/>
        <v>1250</v>
      </c>
      <c r="Y622" s="3">
        <f t="shared" si="84"/>
        <v>1600</v>
      </c>
      <c r="Z622" s="3">
        <f t="shared" si="85"/>
        <v>1800</v>
      </c>
      <c r="AA622" s="3">
        <v>0</v>
      </c>
      <c r="AB622" s="3">
        <f>ROUND(U622 - (V622+W622+X622+Y622) - (U622/Q622 * 2),0)</f>
        <v>34483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f>SUM(V622+W622+X622+Y622+AB622)</f>
        <v>93333</v>
      </c>
      <c r="AK622" s="3">
        <f>SUM(AJ622-AA622)</f>
        <v>93333</v>
      </c>
      <c r="AL622" s="3">
        <f>IF(V622&lt;=15000,V622*12%,1800)</f>
        <v>1800</v>
      </c>
      <c r="AM622" s="3">
        <v>0</v>
      </c>
      <c r="AN622" s="3">
        <f t="shared" si="86"/>
        <v>1800</v>
      </c>
      <c r="AO622" s="12">
        <v>200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3">
        <f t="shared" si="88"/>
        <v>200</v>
      </c>
      <c r="AV622" s="3">
        <f>SUM(AJ622 - AN622 - AU622)</f>
        <v>91333</v>
      </c>
      <c r="AW622" s="11">
        <v>0</v>
      </c>
      <c r="AX622" s="11">
        <v>0</v>
      </c>
      <c r="AY622" s="11">
        <v>0</v>
      </c>
      <c r="AZ622" s="11">
        <v>0</v>
      </c>
      <c r="BA622" s="3">
        <f t="shared" si="87"/>
        <v>91333</v>
      </c>
    </row>
    <row r="623" spans="1:53" x14ac:dyDescent="0.25">
      <c r="A623" s="1" t="s">
        <v>621</v>
      </c>
      <c r="B623" s="9" t="s">
        <v>2082</v>
      </c>
      <c r="C623" s="9" t="s">
        <v>1444</v>
      </c>
      <c r="D623" s="9" t="s">
        <v>2270</v>
      </c>
      <c r="E623" s="9" t="s">
        <v>1008</v>
      </c>
      <c r="F623" s="10">
        <v>40226</v>
      </c>
      <c r="G623" s="9" t="s">
        <v>1013</v>
      </c>
      <c r="I623" s="9" t="s">
        <v>1014</v>
      </c>
      <c r="J623" s="9" t="s">
        <v>1021</v>
      </c>
      <c r="K623" s="8" t="s">
        <v>1006</v>
      </c>
      <c r="L623" s="8" t="s">
        <v>1007</v>
      </c>
      <c r="M623" s="8" t="s">
        <v>2933</v>
      </c>
      <c r="N623" s="8" t="s">
        <v>2937</v>
      </c>
      <c r="O623" s="1" t="s">
        <v>2934</v>
      </c>
      <c r="P623">
        <v>30</v>
      </c>
      <c r="Q623">
        <v>30</v>
      </c>
      <c r="R623">
        <v>0</v>
      </c>
      <c r="S623">
        <f t="shared" si="89"/>
        <v>30</v>
      </c>
      <c r="T623" s="1" t="s">
        <v>2935</v>
      </c>
      <c r="U623" s="1" t="s">
        <v>2932</v>
      </c>
      <c r="V623" s="3">
        <f t="shared" si="90"/>
        <v>40000</v>
      </c>
      <c r="W623" s="3">
        <f t="shared" si="91"/>
        <v>16000</v>
      </c>
      <c r="X623" s="3">
        <f t="shared" si="83"/>
        <v>1250</v>
      </c>
      <c r="Y623" s="3">
        <f t="shared" si="84"/>
        <v>1600</v>
      </c>
      <c r="Z623" s="3">
        <f t="shared" si="85"/>
        <v>1800</v>
      </c>
      <c r="AA623" s="3">
        <v>0</v>
      </c>
      <c r="AB623" s="3">
        <f>ROUND(U623 - (V623+W623+X623+Y623) - (U623/Q623 * 2),0)</f>
        <v>34483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f>SUM(V623+W623+X623+Y623+AB623)</f>
        <v>93333</v>
      </c>
      <c r="AK623" s="3">
        <f>SUM(AJ623-AA623)</f>
        <v>93333</v>
      </c>
      <c r="AL623" s="3">
        <f>IF(V623&lt;=15000,V623*12%,1800)</f>
        <v>1800</v>
      </c>
      <c r="AM623" s="3">
        <v>0</v>
      </c>
      <c r="AN623" s="3">
        <f t="shared" si="86"/>
        <v>1800</v>
      </c>
      <c r="AO623" s="12">
        <v>200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3">
        <f t="shared" si="88"/>
        <v>200</v>
      </c>
      <c r="AV623" s="3">
        <f>SUM(AJ623 - AN623 - AU623)</f>
        <v>91333</v>
      </c>
      <c r="AW623" s="11">
        <v>0</v>
      </c>
      <c r="AX623" s="11">
        <v>0</v>
      </c>
      <c r="AY623" s="11">
        <v>0</v>
      </c>
      <c r="AZ623" s="11">
        <v>0</v>
      </c>
      <c r="BA623" s="3">
        <f t="shared" si="87"/>
        <v>91333</v>
      </c>
    </row>
    <row r="624" spans="1:53" x14ac:dyDescent="0.25">
      <c r="A624" s="1" t="s">
        <v>622</v>
      </c>
      <c r="B624" s="9" t="s">
        <v>2268</v>
      </c>
      <c r="C624" s="9" t="s">
        <v>1063</v>
      </c>
      <c r="D624" s="9" t="s">
        <v>2269</v>
      </c>
      <c r="E624" s="9" t="s">
        <v>1008</v>
      </c>
      <c r="F624" s="10">
        <v>45789</v>
      </c>
      <c r="G624" s="9" t="s">
        <v>1013</v>
      </c>
      <c r="I624" s="9" t="s">
        <v>1014</v>
      </c>
      <c r="J624" s="9" t="s">
        <v>1015</v>
      </c>
      <c r="K624" s="8" t="s">
        <v>1006</v>
      </c>
      <c r="L624" s="8" t="s">
        <v>1007</v>
      </c>
      <c r="M624" s="8" t="s">
        <v>2933</v>
      </c>
      <c r="N624" s="8" t="s">
        <v>2937</v>
      </c>
      <c r="O624" s="1" t="s">
        <v>2934</v>
      </c>
      <c r="P624">
        <v>30</v>
      </c>
      <c r="Q624">
        <v>30</v>
      </c>
      <c r="R624">
        <v>0</v>
      </c>
      <c r="S624">
        <f t="shared" si="89"/>
        <v>30</v>
      </c>
      <c r="T624" s="1" t="s">
        <v>2935</v>
      </c>
      <c r="U624" s="1" t="s">
        <v>2932</v>
      </c>
      <c r="V624" s="3">
        <f t="shared" si="90"/>
        <v>40000</v>
      </c>
      <c r="W624" s="3">
        <f t="shared" si="91"/>
        <v>16000</v>
      </c>
      <c r="X624" s="3">
        <f t="shared" si="83"/>
        <v>1250</v>
      </c>
      <c r="Y624" s="3">
        <f t="shared" si="84"/>
        <v>1600</v>
      </c>
      <c r="Z624" s="3">
        <f t="shared" si="85"/>
        <v>1800</v>
      </c>
      <c r="AA624" s="3">
        <v>0</v>
      </c>
      <c r="AB624" s="3">
        <f>ROUND(U624 - (V624+W624+X624+Y624) - (U624/Q624 * 2),0)</f>
        <v>34483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f>SUM(V624+W624+X624+Y624+AB624)</f>
        <v>93333</v>
      </c>
      <c r="AK624" s="3">
        <f>SUM(AJ624-AA624)</f>
        <v>93333</v>
      </c>
      <c r="AL624" s="3">
        <f>IF(V624&lt;=15000,V624*12%,1800)</f>
        <v>1800</v>
      </c>
      <c r="AM624" s="3">
        <v>0</v>
      </c>
      <c r="AN624" s="3">
        <f t="shared" si="86"/>
        <v>1800</v>
      </c>
      <c r="AO624" s="12">
        <v>200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3">
        <f t="shared" si="88"/>
        <v>200</v>
      </c>
      <c r="AV624" s="3">
        <f>SUM(AJ624 - AN624 - AU624)</f>
        <v>91333</v>
      </c>
      <c r="AW624" s="11">
        <v>0</v>
      </c>
      <c r="AX624" s="11">
        <v>0</v>
      </c>
      <c r="AY624" s="11">
        <v>0</v>
      </c>
      <c r="AZ624" s="11">
        <v>0</v>
      </c>
      <c r="BA624" s="3">
        <f t="shared" si="87"/>
        <v>91333</v>
      </c>
    </row>
    <row r="625" spans="1:53" x14ac:dyDescent="0.25">
      <c r="A625" s="1" t="s">
        <v>623</v>
      </c>
      <c r="B625" s="9" t="s">
        <v>2266</v>
      </c>
      <c r="C625" s="9" t="s">
        <v>1063</v>
      </c>
      <c r="D625" s="9" t="s">
        <v>2267</v>
      </c>
      <c r="E625" s="9" t="s">
        <v>1012</v>
      </c>
      <c r="F625" s="10">
        <v>45789</v>
      </c>
      <c r="G625" s="9" t="s">
        <v>1013</v>
      </c>
      <c r="I625" s="9" t="s">
        <v>1014</v>
      </c>
      <c r="J625" s="9" t="s">
        <v>1015</v>
      </c>
      <c r="K625" s="8" t="s">
        <v>1006</v>
      </c>
      <c r="L625" s="8" t="s">
        <v>1007</v>
      </c>
      <c r="M625" s="8" t="s">
        <v>2933</v>
      </c>
      <c r="N625" s="8" t="s">
        <v>2937</v>
      </c>
      <c r="O625" s="1" t="s">
        <v>2934</v>
      </c>
      <c r="P625">
        <v>30</v>
      </c>
      <c r="Q625">
        <v>30</v>
      </c>
      <c r="R625">
        <v>0</v>
      </c>
      <c r="S625">
        <f t="shared" si="89"/>
        <v>30</v>
      </c>
      <c r="T625" s="1" t="s">
        <v>2935</v>
      </c>
      <c r="U625" s="1" t="s">
        <v>2932</v>
      </c>
      <c r="V625" s="3">
        <f t="shared" si="90"/>
        <v>40000</v>
      </c>
      <c r="W625" s="3">
        <f t="shared" si="91"/>
        <v>16000</v>
      </c>
      <c r="X625" s="3">
        <f t="shared" si="83"/>
        <v>1250</v>
      </c>
      <c r="Y625" s="3">
        <f t="shared" si="84"/>
        <v>1600</v>
      </c>
      <c r="Z625" s="3">
        <f t="shared" si="85"/>
        <v>1800</v>
      </c>
      <c r="AA625" s="3">
        <v>0</v>
      </c>
      <c r="AB625" s="3">
        <f>ROUND(U625 - (V625+W625+X625+Y625) - (U625/Q625 * 2),0)</f>
        <v>34483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f>SUM(V625+W625+X625+Y625+AB625)</f>
        <v>93333</v>
      </c>
      <c r="AK625" s="3">
        <f>SUM(AJ625-AA625)</f>
        <v>93333</v>
      </c>
      <c r="AL625" s="3">
        <f>IF(V625&lt;=15000,V625*12%,1800)</f>
        <v>1800</v>
      </c>
      <c r="AM625" s="3">
        <v>0</v>
      </c>
      <c r="AN625" s="3">
        <f t="shared" si="86"/>
        <v>1800</v>
      </c>
      <c r="AO625" s="12">
        <v>200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3">
        <f t="shared" si="88"/>
        <v>200</v>
      </c>
      <c r="AV625" s="3">
        <f>SUM(AJ625 - AN625 - AU625)</f>
        <v>91333</v>
      </c>
      <c r="AW625" s="11">
        <v>0</v>
      </c>
      <c r="AX625" s="11">
        <v>0</v>
      </c>
      <c r="AY625" s="11">
        <v>0</v>
      </c>
      <c r="AZ625" s="11">
        <v>0</v>
      </c>
      <c r="BA625" s="3">
        <f t="shared" si="87"/>
        <v>91333</v>
      </c>
    </row>
    <row r="626" spans="1:53" x14ac:dyDescent="0.25">
      <c r="A626" s="1" t="s">
        <v>624</v>
      </c>
      <c r="B626" s="9" t="s">
        <v>2264</v>
      </c>
      <c r="C626" s="9" t="s">
        <v>1063</v>
      </c>
      <c r="D626" s="9" t="s">
        <v>2265</v>
      </c>
      <c r="E626" s="9" t="s">
        <v>1012</v>
      </c>
      <c r="F626" s="10">
        <v>45789</v>
      </c>
      <c r="G626" s="9" t="s">
        <v>1019</v>
      </c>
      <c r="I626" s="9" t="s">
        <v>1014</v>
      </c>
      <c r="J626" s="9" t="s">
        <v>1015</v>
      </c>
      <c r="K626" s="8" t="s">
        <v>1006</v>
      </c>
      <c r="L626" s="8" t="s">
        <v>1007</v>
      </c>
      <c r="M626" s="8" t="s">
        <v>2933</v>
      </c>
      <c r="N626" s="8" t="s">
        <v>2937</v>
      </c>
      <c r="O626" s="1" t="s">
        <v>2934</v>
      </c>
      <c r="P626">
        <v>30</v>
      </c>
      <c r="Q626">
        <v>30</v>
      </c>
      <c r="R626">
        <v>0</v>
      </c>
      <c r="S626">
        <f t="shared" si="89"/>
        <v>30</v>
      </c>
      <c r="T626" s="1" t="s">
        <v>2935</v>
      </c>
      <c r="U626" s="1" t="s">
        <v>2932</v>
      </c>
      <c r="V626" s="3">
        <f t="shared" si="90"/>
        <v>40000</v>
      </c>
      <c r="W626" s="3">
        <f t="shared" si="91"/>
        <v>16000</v>
      </c>
      <c r="X626" s="3">
        <f t="shared" si="83"/>
        <v>1250</v>
      </c>
      <c r="Y626" s="3">
        <f t="shared" si="84"/>
        <v>1600</v>
      </c>
      <c r="Z626" s="3">
        <f t="shared" si="85"/>
        <v>1800</v>
      </c>
      <c r="AA626" s="3">
        <v>0</v>
      </c>
      <c r="AB626" s="3">
        <f>ROUND(U626 - (V626+W626+X626+Y626) - (U626/Q626 * 2),0)</f>
        <v>34483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f>SUM(V626+W626+X626+Y626+AB626)</f>
        <v>93333</v>
      </c>
      <c r="AK626" s="3">
        <f>SUM(AJ626-AA626)</f>
        <v>93333</v>
      </c>
      <c r="AL626" s="3">
        <f>IF(V626&lt;=15000,V626*12%,1800)</f>
        <v>1800</v>
      </c>
      <c r="AM626" s="3">
        <v>0</v>
      </c>
      <c r="AN626" s="3">
        <f t="shared" si="86"/>
        <v>1800</v>
      </c>
      <c r="AO626" s="12">
        <v>200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3">
        <f t="shared" si="88"/>
        <v>200</v>
      </c>
      <c r="AV626" s="3">
        <f>SUM(AJ626 - AN626 - AU626)</f>
        <v>91333</v>
      </c>
      <c r="AW626" s="11">
        <v>0</v>
      </c>
      <c r="AX626" s="11">
        <v>0</v>
      </c>
      <c r="AY626" s="11">
        <v>0</v>
      </c>
      <c r="AZ626" s="11">
        <v>0</v>
      </c>
      <c r="BA626" s="3">
        <f t="shared" si="87"/>
        <v>91333</v>
      </c>
    </row>
    <row r="627" spans="1:53" x14ac:dyDescent="0.25">
      <c r="A627" s="1" t="s">
        <v>625</v>
      </c>
      <c r="B627" s="9" t="s">
        <v>2262</v>
      </c>
      <c r="C627" s="9" t="s">
        <v>1023</v>
      </c>
      <c r="D627" s="9" t="s">
        <v>2263</v>
      </c>
      <c r="E627" s="9" t="s">
        <v>1008</v>
      </c>
      <c r="F627" s="10">
        <v>45789</v>
      </c>
      <c r="G627" s="9" t="s">
        <v>1019</v>
      </c>
      <c r="I627" s="9" t="s">
        <v>1020</v>
      </c>
      <c r="J627" s="9" t="s">
        <v>1021</v>
      </c>
      <c r="K627" s="8" t="s">
        <v>1006</v>
      </c>
      <c r="L627" s="8" t="s">
        <v>1007</v>
      </c>
      <c r="M627" s="8" t="s">
        <v>2933</v>
      </c>
      <c r="N627" s="8" t="s">
        <v>2937</v>
      </c>
      <c r="O627" s="1" t="s">
        <v>2934</v>
      </c>
      <c r="P627">
        <v>30</v>
      </c>
      <c r="Q627">
        <v>30</v>
      </c>
      <c r="R627">
        <v>0</v>
      </c>
      <c r="S627">
        <f t="shared" si="89"/>
        <v>30</v>
      </c>
      <c r="T627" s="1" t="s">
        <v>2935</v>
      </c>
      <c r="U627" s="1" t="s">
        <v>2932</v>
      </c>
      <c r="V627" s="3">
        <f t="shared" si="90"/>
        <v>40000</v>
      </c>
      <c r="W627" s="3">
        <f t="shared" si="91"/>
        <v>16000</v>
      </c>
      <c r="X627" s="3">
        <f t="shared" si="83"/>
        <v>1250</v>
      </c>
      <c r="Y627" s="3">
        <f t="shared" si="84"/>
        <v>1600</v>
      </c>
      <c r="Z627" s="3">
        <f t="shared" si="85"/>
        <v>1800</v>
      </c>
      <c r="AA627" s="3">
        <v>0</v>
      </c>
      <c r="AB627" s="3">
        <f>ROUND(U627 - (V627+W627+X627+Y627) - (U627/Q627 * 2),0)</f>
        <v>34483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f>SUM(V627+W627+X627+Y627+AB627)</f>
        <v>93333</v>
      </c>
      <c r="AK627" s="3">
        <f>SUM(AJ627-AA627)</f>
        <v>93333</v>
      </c>
      <c r="AL627" s="3">
        <f>IF(V627&lt;=15000,V627*12%,1800)</f>
        <v>1800</v>
      </c>
      <c r="AM627" s="3">
        <v>0</v>
      </c>
      <c r="AN627" s="3">
        <f t="shared" si="86"/>
        <v>1800</v>
      </c>
      <c r="AO627" s="12">
        <v>200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3">
        <f t="shared" si="88"/>
        <v>200</v>
      </c>
      <c r="AV627" s="3">
        <f>SUM(AJ627 - AN627 - AU627)</f>
        <v>91333</v>
      </c>
      <c r="AW627" s="11">
        <v>0</v>
      </c>
      <c r="AX627" s="11">
        <v>0</v>
      </c>
      <c r="AY627" s="11">
        <v>0</v>
      </c>
      <c r="AZ627" s="11">
        <v>0</v>
      </c>
      <c r="BA627" s="3">
        <f t="shared" si="87"/>
        <v>91333</v>
      </c>
    </row>
    <row r="628" spans="1:53" x14ac:dyDescent="0.25">
      <c r="A628" s="1" t="s">
        <v>626</v>
      </c>
      <c r="B628" s="9" t="s">
        <v>2260</v>
      </c>
      <c r="C628" s="9" t="s">
        <v>1010</v>
      </c>
      <c r="D628" s="9" t="s">
        <v>2261</v>
      </c>
      <c r="E628" s="9" t="s">
        <v>1008</v>
      </c>
      <c r="F628" s="10">
        <v>45778</v>
      </c>
      <c r="G628" s="9" t="s">
        <v>1019</v>
      </c>
      <c r="I628" s="9" t="s">
        <v>1014</v>
      </c>
      <c r="J628" s="9" t="s">
        <v>1052</v>
      </c>
      <c r="K628" s="8" t="s">
        <v>1006</v>
      </c>
      <c r="L628" s="8" t="s">
        <v>1007</v>
      </c>
      <c r="M628" s="8" t="s">
        <v>2933</v>
      </c>
      <c r="N628" s="8" t="s">
        <v>2937</v>
      </c>
      <c r="O628" s="1" t="s">
        <v>2934</v>
      </c>
      <c r="P628">
        <v>30</v>
      </c>
      <c r="Q628">
        <v>30</v>
      </c>
      <c r="R628">
        <v>0</v>
      </c>
      <c r="S628">
        <f t="shared" si="89"/>
        <v>30</v>
      </c>
      <c r="T628" s="1" t="s">
        <v>2935</v>
      </c>
      <c r="U628" s="1" t="s">
        <v>2932</v>
      </c>
      <c r="V628" s="3">
        <f t="shared" si="90"/>
        <v>40000</v>
      </c>
      <c r="W628" s="3">
        <f t="shared" si="91"/>
        <v>16000</v>
      </c>
      <c r="X628" s="3">
        <f t="shared" si="83"/>
        <v>1250</v>
      </c>
      <c r="Y628" s="3">
        <f t="shared" si="84"/>
        <v>1600</v>
      </c>
      <c r="Z628" s="3">
        <f t="shared" si="85"/>
        <v>1800</v>
      </c>
      <c r="AA628" s="3">
        <v>0</v>
      </c>
      <c r="AB628" s="3">
        <f>ROUND(U628 - (V628+W628+X628+Y628) - (U628/Q628 * 2),0)</f>
        <v>34483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f>SUM(V628+W628+X628+Y628+AB628)</f>
        <v>93333</v>
      </c>
      <c r="AK628" s="3">
        <f>SUM(AJ628-AA628)</f>
        <v>93333</v>
      </c>
      <c r="AL628" s="3">
        <f>IF(V628&lt;=15000,V628*12%,1800)</f>
        <v>1800</v>
      </c>
      <c r="AM628" s="3">
        <v>0</v>
      </c>
      <c r="AN628" s="3">
        <f t="shared" si="86"/>
        <v>1800</v>
      </c>
      <c r="AO628" s="12">
        <v>200</v>
      </c>
      <c r="AP628" s="12">
        <v>0</v>
      </c>
      <c r="AQ628" s="12">
        <v>0</v>
      </c>
      <c r="AR628" s="12">
        <v>0</v>
      </c>
      <c r="AS628" s="12">
        <v>0</v>
      </c>
      <c r="AT628" s="12">
        <v>0</v>
      </c>
      <c r="AU628" s="3">
        <f t="shared" si="88"/>
        <v>200</v>
      </c>
      <c r="AV628" s="3">
        <f>SUM(AJ628 - AN628 - AU628)</f>
        <v>91333</v>
      </c>
      <c r="AW628" s="11">
        <v>0</v>
      </c>
      <c r="AX628" s="11">
        <v>0</v>
      </c>
      <c r="AY628" s="11">
        <v>0</v>
      </c>
      <c r="AZ628" s="11">
        <v>0</v>
      </c>
      <c r="BA628" s="3">
        <f t="shared" si="87"/>
        <v>91333</v>
      </c>
    </row>
    <row r="629" spans="1:53" x14ac:dyDescent="0.25">
      <c r="A629" s="1" t="s">
        <v>627</v>
      </c>
      <c r="B629" s="9" t="s">
        <v>1738</v>
      </c>
      <c r="C629" s="9" t="s">
        <v>1063</v>
      </c>
      <c r="D629" s="9" t="s">
        <v>2259</v>
      </c>
      <c r="E629" s="9" t="s">
        <v>1008</v>
      </c>
      <c r="F629" s="10">
        <v>45778</v>
      </c>
      <c r="G629" s="9" t="s">
        <v>1019</v>
      </c>
      <c r="I629" s="9" t="s">
        <v>1014</v>
      </c>
      <c r="J629" s="9" t="s">
        <v>1015</v>
      </c>
      <c r="K629" s="8" t="s">
        <v>1006</v>
      </c>
      <c r="L629" s="8" t="s">
        <v>1007</v>
      </c>
      <c r="M629" s="8" t="s">
        <v>2933</v>
      </c>
      <c r="N629" s="8" t="s">
        <v>2937</v>
      </c>
      <c r="O629" s="1" t="s">
        <v>2934</v>
      </c>
      <c r="P629">
        <v>30</v>
      </c>
      <c r="Q629">
        <v>30</v>
      </c>
      <c r="R629">
        <v>0</v>
      </c>
      <c r="S629">
        <f t="shared" si="89"/>
        <v>30</v>
      </c>
      <c r="T629" s="1" t="s">
        <v>2935</v>
      </c>
      <c r="U629" s="1" t="s">
        <v>2932</v>
      </c>
      <c r="V629" s="3">
        <f t="shared" si="90"/>
        <v>40000</v>
      </c>
      <c r="W629" s="3">
        <f t="shared" si="91"/>
        <v>16000</v>
      </c>
      <c r="X629" s="3">
        <f t="shared" si="83"/>
        <v>1250</v>
      </c>
      <c r="Y629" s="3">
        <f t="shared" si="84"/>
        <v>1600</v>
      </c>
      <c r="Z629" s="3">
        <f t="shared" si="85"/>
        <v>1800</v>
      </c>
      <c r="AA629" s="3">
        <v>0</v>
      </c>
      <c r="AB629" s="3">
        <f>ROUND(U629 - (V629+W629+X629+Y629) - (U629/Q629 * 2),0)</f>
        <v>34483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f>SUM(V629+W629+X629+Y629+AB629)</f>
        <v>93333</v>
      </c>
      <c r="AK629" s="3">
        <f>SUM(AJ629-AA629)</f>
        <v>93333</v>
      </c>
      <c r="AL629" s="3">
        <f>IF(V629&lt;=15000,V629*12%,1800)</f>
        <v>1800</v>
      </c>
      <c r="AM629" s="3">
        <v>0</v>
      </c>
      <c r="AN629" s="3">
        <f t="shared" si="86"/>
        <v>1800</v>
      </c>
      <c r="AO629" s="12">
        <v>200</v>
      </c>
      <c r="AP629" s="12">
        <v>0</v>
      </c>
      <c r="AQ629" s="12">
        <v>0</v>
      </c>
      <c r="AR629" s="12">
        <v>0</v>
      </c>
      <c r="AS629" s="12">
        <v>0</v>
      </c>
      <c r="AT629" s="12">
        <v>0</v>
      </c>
      <c r="AU629" s="3">
        <f t="shared" si="88"/>
        <v>200</v>
      </c>
      <c r="AV629" s="3">
        <f>SUM(AJ629 - AN629 - AU629)</f>
        <v>91333</v>
      </c>
      <c r="AW629" s="11">
        <v>0</v>
      </c>
      <c r="AX629" s="11">
        <v>0</v>
      </c>
      <c r="AY629" s="11">
        <v>0</v>
      </c>
      <c r="AZ629" s="11">
        <v>0</v>
      </c>
      <c r="BA629" s="3">
        <f t="shared" si="87"/>
        <v>91333</v>
      </c>
    </row>
    <row r="630" spans="1:53" x14ac:dyDescent="0.25">
      <c r="A630" s="1" t="s">
        <v>628</v>
      </c>
      <c r="B630" s="9" t="s">
        <v>2256</v>
      </c>
      <c r="C630" s="9" t="s">
        <v>2257</v>
      </c>
      <c r="D630" s="9" t="s">
        <v>2258</v>
      </c>
      <c r="E630" s="9" t="s">
        <v>1008</v>
      </c>
      <c r="F630" s="10">
        <v>44685</v>
      </c>
      <c r="G630" s="9" t="s">
        <v>1013</v>
      </c>
      <c r="I630" s="9" t="s">
        <v>1042</v>
      </c>
      <c r="J630" s="9" t="s">
        <v>1048</v>
      </c>
      <c r="K630" s="8" t="s">
        <v>1006</v>
      </c>
      <c r="L630" s="8" t="s">
        <v>1007</v>
      </c>
      <c r="M630" s="8" t="s">
        <v>2933</v>
      </c>
      <c r="N630" s="8" t="s">
        <v>2937</v>
      </c>
      <c r="O630" s="1" t="s">
        <v>2934</v>
      </c>
      <c r="P630">
        <v>30</v>
      </c>
      <c r="Q630">
        <v>30</v>
      </c>
      <c r="R630">
        <v>0</v>
      </c>
      <c r="S630">
        <f t="shared" si="89"/>
        <v>30</v>
      </c>
      <c r="T630" s="1" t="s">
        <v>2935</v>
      </c>
      <c r="U630" s="1" t="s">
        <v>2932</v>
      </c>
      <c r="V630" s="3">
        <f t="shared" si="90"/>
        <v>40000</v>
      </c>
      <c r="W630" s="3">
        <f t="shared" si="91"/>
        <v>16000</v>
      </c>
      <c r="X630" s="3">
        <f t="shared" si="83"/>
        <v>1250</v>
      </c>
      <c r="Y630" s="3">
        <f t="shared" si="84"/>
        <v>1600</v>
      </c>
      <c r="Z630" s="3">
        <f t="shared" si="85"/>
        <v>1800</v>
      </c>
      <c r="AA630" s="3">
        <v>0</v>
      </c>
      <c r="AB630" s="3">
        <f>ROUND(U630 - (V630+W630+X630+Y630) - (U630/Q630 * 2),0)</f>
        <v>34483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f>SUM(V630+W630+X630+Y630+AB630)</f>
        <v>93333</v>
      </c>
      <c r="AK630" s="3">
        <f>SUM(AJ630-AA630)</f>
        <v>93333</v>
      </c>
      <c r="AL630" s="3">
        <f>IF(V630&lt;=15000,V630*12%,1800)</f>
        <v>1800</v>
      </c>
      <c r="AM630" s="3">
        <v>0</v>
      </c>
      <c r="AN630" s="3">
        <f t="shared" si="86"/>
        <v>1800</v>
      </c>
      <c r="AO630" s="12">
        <v>200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3">
        <f t="shared" si="88"/>
        <v>200</v>
      </c>
      <c r="AV630" s="3">
        <f>SUM(AJ630 - AN630 - AU630)</f>
        <v>91333</v>
      </c>
      <c r="AW630" s="11">
        <v>0</v>
      </c>
      <c r="AX630" s="11">
        <v>0</v>
      </c>
      <c r="AY630" s="11">
        <v>0</v>
      </c>
      <c r="AZ630" s="11">
        <v>0</v>
      </c>
      <c r="BA630" s="3">
        <f t="shared" si="87"/>
        <v>91333</v>
      </c>
    </row>
    <row r="631" spans="1:53" x14ac:dyDescent="0.25">
      <c r="A631" s="1" t="s">
        <v>629</v>
      </c>
      <c r="B631" s="9" t="s">
        <v>2254</v>
      </c>
      <c r="C631" s="9" t="s">
        <v>1173</v>
      </c>
      <c r="D631" s="9" t="s">
        <v>2255</v>
      </c>
      <c r="E631" s="9" t="s">
        <v>1012</v>
      </c>
      <c r="F631" s="10">
        <v>44685</v>
      </c>
      <c r="G631" s="9" t="s">
        <v>1019</v>
      </c>
      <c r="I631" s="9" t="s">
        <v>1042</v>
      </c>
      <c r="J631" s="9" t="s">
        <v>1048</v>
      </c>
      <c r="K631" s="8" t="s">
        <v>1006</v>
      </c>
      <c r="L631" s="8" t="s">
        <v>1007</v>
      </c>
      <c r="M631" s="8" t="s">
        <v>2933</v>
      </c>
      <c r="N631" s="8" t="s">
        <v>2937</v>
      </c>
      <c r="O631" s="1" t="s">
        <v>2934</v>
      </c>
      <c r="P631">
        <v>30</v>
      </c>
      <c r="Q631">
        <v>30</v>
      </c>
      <c r="R631">
        <v>0</v>
      </c>
      <c r="S631">
        <f t="shared" si="89"/>
        <v>30</v>
      </c>
      <c r="T631" s="1" t="s">
        <v>2935</v>
      </c>
      <c r="U631" s="1" t="s">
        <v>2932</v>
      </c>
      <c r="V631" s="3">
        <f t="shared" si="90"/>
        <v>40000</v>
      </c>
      <c r="W631" s="3">
        <f t="shared" si="91"/>
        <v>16000</v>
      </c>
      <c r="X631" s="3">
        <f t="shared" si="83"/>
        <v>1250</v>
      </c>
      <c r="Y631" s="3">
        <f t="shared" si="84"/>
        <v>1600</v>
      </c>
      <c r="Z631" s="3">
        <f t="shared" si="85"/>
        <v>1800</v>
      </c>
      <c r="AA631" s="3">
        <v>0</v>
      </c>
      <c r="AB631" s="3">
        <f>ROUND(U631 - (V631+W631+X631+Y631) - (U631/Q631 * 2),0)</f>
        <v>34483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f>SUM(V631+W631+X631+Y631+AB631)</f>
        <v>93333</v>
      </c>
      <c r="AK631" s="3">
        <f>SUM(AJ631-AA631)</f>
        <v>93333</v>
      </c>
      <c r="AL631" s="3">
        <f>IF(V631&lt;=15000,V631*12%,1800)</f>
        <v>1800</v>
      </c>
      <c r="AM631" s="3">
        <v>0</v>
      </c>
      <c r="AN631" s="3">
        <f t="shared" si="86"/>
        <v>1800</v>
      </c>
      <c r="AO631" s="12">
        <v>200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3">
        <f t="shared" si="88"/>
        <v>200</v>
      </c>
      <c r="AV631" s="3">
        <f>SUM(AJ631 - AN631 - AU631)</f>
        <v>91333</v>
      </c>
      <c r="AW631" s="11">
        <v>0</v>
      </c>
      <c r="AX631" s="11">
        <v>0</v>
      </c>
      <c r="AY631" s="11">
        <v>0</v>
      </c>
      <c r="AZ631" s="11">
        <v>0</v>
      </c>
      <c r="BA631" s="3">
        <f t="shared" si="87"/>
        <v>91333</v>
      </c>
    </row>
    <row r="632" spans="1:53" x14ac:dyDescent="0.25">
      <c r="A632" s="1" t="s">
        <v>630</v>
      </c>
      <c r="B632" s="9" t="s">
        <v>2252</v>
      </c>
      <c r="C632" s="9" t="s">
        <v>1115</v>
      </c>
      <c r="D632" s="9" t="s">
        <v>2253</v>
      </c>
      <c r="E632" s="9" t="s">
        <v>1012</v>
      </c>
      <c r="F632" s="10">
        <v>44685</v>
      </c>
      <c r="G632" s="9" t="s">
        <v>1013</v>
      </c>
      <c r="I632" s="9" t="s">
        <v>1035</v>
      </c>
      <c r="J632" s="9" t="s">
        <v>1048</v>
      </c>
      <c r="K632" s="8" t="s">
        <v>1006</v>
      </c>
      <c r="L632" s="8" t="s">
        <v>1007</v>
      </c>
      <c r="M632" s="8" t="s">
        <v>2933</v>
      </c>
      <c r="N632" s="8" t="s">
        <v>2937</v>
      </c>
      <c r="O632" s="1" t="s">
        <v>2934</v>
      </c>
      <c r="P632">
        <v>30</v>
      </c>
      <c r="Q632">
        <v>30</v>
      </c>
      <c r="R632">
        <v>0</v>
      </c>
      <c r="S632">
        <f t="shared" si="89"/>
        <v>30</v>
      </c>
      <c r="T632" s="1" t="s">
        <v>2935</v>
      </c>
      <c r="U632" s="1" t="s">
        <v>2932</v>
      </c>
      <c r="V632" s="3">
        <f t="shared" si="90"/>
        <v>40000</v>
      </c>
      <c r="W632" s="3">
        <f t="shared" si="91"/>
        <v>16000</v>
      </c>
      <c r="X632" s="3">
        <f t="shared" si="83"/>
        <v>1250</v>
      </c>
      <c r="Y632" s="3">
        <f t="shared" si="84"/>
        <v>1600</v>
      </c>
      <c r="Z632" s="3">
        <f t="shared" si="85"/>
        <v>1800</v>
      </c>
      <c r="AA632" s="3">
        <v>0</v>
      </c>
      <c r="AB632" s="3">
        <f>ROUND(U632 - (V632+W632+X632+Y632) - (U632/Q632 * 2),0)</f>
        <v>34483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f>SUM(V632+W632+X632+Y632+AB632)</f>
        <v>93333</v>
      </c>
      <c r="AK632" s="3">
        <f>SUM(AJ632-AA632)</f>
        <v>93333</v>
      </c>
      <c r="AL632" s="3">
        <f>IF(V632&lt;=15000,V632*12%,1800)</f>
        <v>1800</v>
      </c>
      <c r="AM632" s="3">
        <v>0</v>
      </c>
      <c r="AN632" s="3">
        <f t="shared" si="86"/>
        <v>1800</v>
      </c>
      <c r="AO632" s="12">
        <v>200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3">
        <f t="shared" si="88"/>
        <v>200</v>
      </c>
      <c r="AV632" s="3">
        <f>SUM(AJ632 - AN632 - AU632)</f>
        <v>91333</v>
      </c>
      <c r="AW632" s="11">
        <v>0</v>
      </c>
      <c r="AX632" s="11">
        <v>0</v>
      </c>
      <c r="AY632" s="11">
        <v>0</v>
      </c>
      <c r="AZ632" s="11">
        <v>0</v>
      </c>
      <c r="BA632" s="3">
        <f t="shared" si="87"/>
        <v>91333</v>
      </c>
    </row>
    <row r="633" spans="1:53" x14ac:dyDescent="0.25">
      <c r="A633" s="1" t="s">
        <v>631</v>
      </c>
      <c r="B633" s="9" t="s">
        <v>2249</v>
      </c>
      <c r="C633" s="9" t="s">
        <v>2250</v>
      </c>
      <c r="D633" s="9" t="s">
        <v>2251</v>
      </c>
      <c r="E633" s="9" t="s">
        <v>1012</v>
      </c>
      <c r="F633" s="10">
        <v>44683</v>
      </c>
      <c r="G633" s="9" t="s">
        <v>1019</v>
      </c>
      <c r="I633" s="9" t="s">
        <v>1014</v>
      </c>
      <c r="J633" s="9" t="s">
        <v>1015</v>
      </c>
      <c r="K633" s="8" t="s">
        <v>1006</v>
      </c>
      <c r="L633" s="8" t="s">
        <v>1007</v>
      </c>
      <c r="M633" s="8" t="s">
        <v>2933</v>
      </c>
      <c r="N633" s="8" t="s">
        <v>2937</v>
      </c>
      <c r="O633" s="1" t="s">
        <v>2934</v>
      </c>
      <c r="P633">
        <v>30</v>
      </c>
      <c r="Q633">
        <v>30</v>
      </c>
      <c r="R633">
        <v>0</v>
      </c>
      <c r="S633">
        <f t="shared" si="89"/>
        <v>30</v>
      </c>
      <c r="T633" s="1" t="s">
        <v>2935</v>
      </c>
      <c r="U633" s="1" t="s">
        <v>2932</v>
      </c>
      <c r="V633" s="3">
        <f t="shared" si="90"/>
        <v>40000</v>
      </c>
      <c r="W633" s="3">
        <f t="shared" si="91"/>
        <v>16000</v>
      </c>
      <c r="X633" s="3">
        <f t="shared" si="83"/>
        <v>1250</v>
      </c>
      <c r="Y633" s="3">
        <f t="shared" si="84"/>
        <v>1600</v>
      </c>
      <c r="Z633" s="3">
        <f t="shared" si="85"/>
        <v>1800</v>
      </c>
      <c r="AA633" s="3">
        <v>0</v>
      </c>
      <c r="AB633" s="3">
        <f>ROUND(U633 - (V633+W633+X633+Y633) - (U633/Q633 * 2),0)</f>
        <v>34483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f>SUM(V633+W633+X633+Y633+AB633)</f>
        <v>93333</v>
      </c>
      <c r="AK633" s="3">
        <f>SUM(AJ633-AA633)</f>
        <v>93333</v>
      </c>
      <c r="AL633" s="3">
        <f>IF(V633&lt;=15000,V633*12%,1800)</f>
        <v>1800</v>
      </c>
      <c r="AM633" s="3">
        <v>0</v>
      </c>
      <c r="AN633" s="3">
        <f t="shared" si="86"/>
        <v>1800</v>
      </c>
      <c r="AO633" s="12">
        <v>200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3">
        <f t="shared" si="88"/>
        <v>200</v>
      </c>
      <c r="AV633" s="3">
        <f>SUM(AJ633 - AN633 - AU633)</f>
        <v>91333</v>
      </c>
      <c r="AW633" s="11">
        <v>0</v>
      </c>
      <c r="AX633" s="11">
        <v>0</v>
      </c>
      <c r="AY633" s="11">
        <v>0</v>
      </c>
      <c r="AZ633" s="11">
        <v>0</v>
      </c>
      <c r="BA633" s="3">
        <f t="shared" si="87"/>
        <v>91333</v>
      </c>
    </row>
    <row r="634" spans="1:53" x14ac:dyDescent="0.25">
      <c r="A634" s="1" t="s">
        <v>632</v>
      </c>
      <c r="B634" s="9" t="s">
        <v>2247</v>
      </c>
      <c r="C634" s="9" t="s">
        <v>1173</v>
      </c>
      <c r="D634" s="9" t="s">
        <v>2248</v>
      </c>
      <c r="E634" s="9" t="s">
        <v>1012</v>
      </c>
      <c r="F634" s="10">
        <v>44690</v>
      </c>
      <c r="G634" s="9" t="s">
        <v>1019</v>
      </c>
      <c r="I634" s="9" t="s">
        <v>1042</v>
      </c>
      <c r="J634" s="9" t="s">
        <v>1048</v>
      </c>
      <c r="K634" s="8" t="s">
        <v>1006</v>
      </c>
      <c r="L634" s="8" t="s">
        <v>1007</v>
      </c>
      <c r="M634" s="8" t="s">
        <v>2933</v>
      </c>
      <c r="N634" s="8" t="s">
        <v>2937</v>
      </c>
      <c r="O634" s="1" t="s">
        <v>2934</v>
      </c>
      <c r="P634">
        <v>30</v>
      </c>
      <c r="Q634">
        <v>30</v>
      </c>
      <c r="R634">
        <v>0</v>
      </c>
      <c r="S634">
        <f t="shared" si="89"/>
        <v>30</v>
      </c>
      <c r="T634" s="1" t="s">
        <v>2935</v>
      </c>
      <c r="U634" s="1" t="s">
        <v>2932</v>
      </c>
      <c r="V634" s="3">
        <f t="shared" si="90"/>
        <v>40000</v>
      </c>
      <c r="W634" s="3">
        <f t="shared" si="91"/>
        <v>16000</v>
      </c>
      <c r="X634" s="3">
        <f t="shared" si="83"/>
        <v>1250</v>
      </c>
      <c r="Y634" s="3">
        <f t="shared" si="84"/>
        <v>1600</v>
      </c>
      <c r="Z634" s="3">
        <f t="shared" si="85"/>
        <v>1800</v>
      </c>
      <c r="AA634" s="3">
        <v>0</v>
      </c>
      <c r="AB634" s="3">
        <f>ROUND(U634 - (V634+W634+X634+Y634) - (U634/Q634 * 2),0)</f>
        <v>34483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f>SUM(V634+W634+X634+Y634+AB634)</f>
        <v>93333</v>
      </c>
      <c r="AK634" s="3">
        <f>SUM(AJ634-AA634)</f>
        <v>93333</v>
      </c>
      <c r="AL634" s="3">
        <f>IF(V634&lt;=15000,V634*12%,1800)</f>
        <v>1800</v>
      </c>
      <c r="AM634" s="3">
        <v>0</v>
      </c>
      <c r="AN634" s="3">
        <f t="shared" si="86"/>
        <v>1800</v>
      </c>
      <c r="AO634" s="12">
        <v>200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3">
        <f t="shared" si="88"/>
        <v>200</v>
      </c>
      <c r="AV634" s="3">
        <f>SUM(AJ634 - AN634 - AU634)</f>
        <v>91333</v>
      </c>
      <c r="AW634" s="11">
        <v>0</v>
      </c>
      <c r="AX634" s="11">
        <v>0</v>
      </c>
      <c r="AY634" s="11">
        <v>0</v>
      </c>
      <c r="AZ634" s="11">
        <v>0</v>
      </c>
      <c r="BA634" s="3">
        <f t="shared" si="87"/>
        <v>91333</v>
      </c>
    </row>
    <row r="635" spans="1:53" x14ac:dyDescent="0.25">
      <c r="A635" s="1" t="s">
        <v>633</v>
      </c>
      <c r="B635" s="9" t="s">
        <v>2244</v>
      </c>
      <c r="C635" s="9" t="s">
        <v>2245</v>
      </c>
      <c r="D635" s="9" t="s">
        <v>2246</v>
      </c>
      <c r="E635" s="9" t="s">
        <v>1012</v>
      </c>
      <c r="F635" s="10">
        <v>44690</v>
      </c>
      <c r="G635" s="9" t="s">
        <v>1019</v>
      </c>
      <c r="I635" s="9" t="s">
        <v>1042</v>
      </c>
      <c r="J635" s="9" t="s">
        <v>1440</v>
      </c>
      <c r="K635" s="8" t="s">
        <v>1006</v>
      </c>
      <c r="L635" s="8" t="s">
        <v>1007</v>
      </c>
      <c r="M635" s="8" t="s">
        <v>2933</v>
      </c>
      <c r="N635" s="8" t="s">
        <v>2937</v>
      </c>
      <c r="O635" s="1" t="s">
        <v>2934</v>
      </c>
      <c r="P635">
        <v>30</v>
      </c>
      <c r="Q635">
        <v>30</v>
      </c>
      <c r="R635">
        <v>0</v>
      </c>
      <c r="S635">
        <f t="shared" si="89"/>
        <v>30</v>
      </c>
      <c r="T635" s="1" t="s">
        <v>2935</v>
      </c>
      <c r="U635" s="1" t="s">
        <v>2932</v>
      </c>
      <c r="V635" s="3">
        <f t="shared" si="90"/>
        <v>40000</v>
      </c>
      <c r="W635" s="3">
        <f t="shared" si="91"/>
        <v>16000</v>
      </c>
      <c r="X635" s="3">
        <f t="shared" si="83"/>
        <v>1250</v>
      </c>
      <c r="Y635" s="3">
        <f t="shared" si="84"/>
        <v>1600</v>
      </c>
      <c r="Z635" s="3">
        <f t="shared" si="85"/>
        <v>1800</v>
      </c>
      <c r="AA635" s="3">
        <v>0</v>
      </c>
      <c r="AB635" s="3">
        <f>ROUND(U635 - (V635+W635+X635+Y635) - (U635/Q635 * 2),0)</f>
        <v>34483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f>SUM(V635+W635+X635+Y635+AB635)</f>
        <v>93333</v>
      </c>
      <c r="AK635" s="3">
        <f>SUM(AJ635-AA635)</f>
        <v>93333</v>
      </c>
      <c r="AL635" s="3">
        <f>IF(V635&lt;=15000,V635*12%,1800)</f>
        <v>1800</v>
      </c>
      <c r="AM635" s="3">
        <v>0</v>
      </c>
      <c r="AN635" s="3">
        <f t="shared" si="86"/>
        <v>1800</v>
      </c>
      <c r="AO635" s="12">
        <v>200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3">
        <f t="shared" si="88"/>
        <v>200</v>
      </c>
      <c r="AV635" s="3">
        <f>SUM(AJ635 - AN635 - AU635)</f>
        <v>91333</v>
      </c>
      <c r="AW635" s="11">
        <v>0</v>
      </c>
      <c r="AX635" s="11">
        <v>0</v>
      </c>
      <c r="AY635" s="11">
        <v>0</v>
      </c>
      <c r="AZ635" s="11">
        <v>0</v>
      </c>
      <c r="BA635" s="3">
        <f t="shared" si="87"/>
        <v>91333</v>
      </c>
    </row>
    <row r="636" spans="1:53" x14ac:dyDescent="0.25">
      <c r="A636" s="1" t="s">
        <v>634</v>
      </c>
      <c r="B636" s="9" t="s">
        <v>2242</v>
      </c>
      <c r="C636" s="9" t="s">
        <v>1063</v>
      </c>
      <c r="D636" s="9" t="s">
        <v>2243</v>
      </c>
      <c r="E636" s="9" t="s">
        <v>1012</v>
      </c>
      <c r="F636" s="10">
        <v>44683</v>
      </c>
      <c r="G636" s="9" t="s">
        <v>1019</v>
      </c>
      <c r="I636" s="9" t="s">
        <v>1014</v>
      </c>
      <c r="J636" s="9" t="s">
        <v>1015</v>
      </c>
      <c r="K636" s="8" t="s">
        <v>1006</v>
      </c>
      <c r="L636" s="8" t="s">
        <v>1007</v>
      </c>
      <c r="M636" s="8" t="s">
        <v>2933</v>
      </c>
      <c r="N636" s="8" t="s">
        <v>2937</v>
      </c>
      <c r="O636" s="1" t="s">
        <v>2934</v>
      </c>
      <c r="P636">
        <v>30</v>
      </c>
      <c r="Q636">
        <v>30</v>
      </c>
      <c r="R636">
        <v>0</v>
      </c>
      <c r="S636">
        <f t="shared" si="89"/>
        <v>30</v>
      </c>
      <c r="T636" s="1" t="s">
        <v>2935</v>
      </c>
      <c r="U636" s="1" t="s">
        <v>2932</v>
      </c>
      <c r="V636" s="3">
        <f t="shared" si="90"/>
        <v>40000</v>
      </c>
      <c r="W636" s="3">
        <f t="shared" si="91"/>
        <v>16000</v>
      </c>
      <c r="X636" s="3">
        <f t="shared" si="83"/>
        <v>1250</v>
      </c>
      <c r="Y636" s="3">
        <f t="shared" si="84"/>
        <v>1600</v>
      </c>
      <c r="Z636" s="3">
        <f t="shared" si="85"/>
        <v>1800</v>
      </c>
      <c r="AA636" s="3">
        <v>0</v>
      </c>
      <c r="AB636" s="3">
        <f>ROUND(U636 - (V636+W636+X636+Y636) - (U636/Q636 * 2),0)</f>
        <v>34483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f>SUM(V636+W636+X636+Y636+AB636)</f>
        <v>93333</v>
      </c>
      <c r="AK636" s="3">
        <f>SUM(AJ636-AA636)</f>
        <v>93333</v>
      </c>
      <c r="AL636" s="3">
        <f>IF(V636&lt;=15000,V636*12%,1800)</f>
        <v>1800</v>
      </c>
      <c r="AM636" s="3">
        <v>0</v>
      </c>
      <c r="AN636" s="3">
        <f t="shared" si="86"/>
        <v>1800</v>
      </c>
      <c r="AO636" s="12">
        <v>200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3">
        <f t="shared" si="88"/>
        <v>200</v>
      </c>
      <c r="AV636" s="3">
        <f>SUM(AJ636 - AN636 - AU636)</f>
        <v>91333</v>
      </c>
      <c r="AW636" s="11">
        <v>0</v>
      </c>
      <c r="AX636" s="11">
        <v>0</v>
      </c>
      <c r="AY636" s="11">
        <v>0</v>
      </c>
      <c r="AZ636" s="11">
        <v>0</v>
      </c>
      <c r="BA636" s="3">
        <f t="shared" si="87"/>
        <v>91333</v>
      </c>
    </row>
    <row r="637" spans="1:53" x14ac:dyDescent="0.25">
      <c r="A637" s="1" t="s">
        <v>635</v>
      </c>
      <c r="B637" s="9" t="s">
        <v>1994</v>
      </c>
      <c r="C637" s="9" t="s">
        <v>1115</v>
      </c>
      <c r="D637" s="9" t="s">
        <v>2241</v>
      </c>
      <c r="E637" s="9" t="s">
        <v>1012</v>
      </c>
      <c r="F637" s="10">
        <v>44692</v>
      </c>
      <c r="G637" s="9" t="s">
        <v>1013</v>
      </c>
      <c r="I637" s="9" t="s">
        <v>1035</v>
      </c>
      <c r="J637" s="9" t="s">
        <v>1048</v>
      </c>
      <c r="K637" s="8" t="s">
        <v>1006</v>
      </c>
      <c r="L637" s="8" t="s">
        <v>1007</v>
      </c>
      <c r="M637" s="8" t="s">
        <v>2933</v>
      </c>
      <c r="N637" s="8" t="s">
        <v>2937</v>
      </c>
      <c r="O637" s="1" t="s">
        <v>2934</v>
      </c>
      <c r="P637">
        <v>30</v>
      </c>
      <c r="Q637">
        <v>30</v>
      </c>
      <c r="R637">
        <v>0</v>
      </c>
      <c r="S637">
        <f t="shared" si="89"/>
        <v>30</v>
      </c>
      <c r="T637" s="1" t="s">
        <v>2935</v>
      </c>
      <c r="U637" s="1" t="s">
        <v>2932</v>
      </c>
      <c r="V637" s="3">
        <f t="shared" si="90"/>
        <v>40000</v>
      </c>
      <c r="W637" s="3">
        <f t="shared" si="91"/>
        <v>16000</v>
      </c>
      <c r="X637" s="3">
        <f t="shared" si="83"/>
        <v>1250</v>
      </c>
      <c r="Y637" s="3">
        <f t="shared" si="84"/>
        <v>1600</v>
      </c>
      <c r="Z637" s="3">
        <f t="shared" si="85"/>
        <v>1800</v>
      </c>
      <c r="AA637" s="3">
        <v>0</v>
      </c>
      <c r="AB637" s="3">
        <f>ROUND(U637 - (V637+W637+X637+Y637) - (U637/Q637 * 2),0)</f>
        <v>34483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f>SUM(V637+W637+X637+Y637+AB637)</f>
        <v>93333</v>
      </c>
      <c r="AK637" s="3">
        <f>SUM(AJ637-AA637)</f>
        <v>93333</v>
      </c>
      <c r="AL637" s="3">
        <f>IF(V637&lt;=15000,V637*12%,1800)</f>
        <v>1800</v>
      </c>
      <c r="AM637" s="3">
        <v>0</v>
      </c>
      <c r="AN637" s="3">
        <f t="shared" si="86"/>
        <v>1800</v>
      </c>
      <c r="AO637" s="12">
        <v>200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3">
        <f t="shared" si="88"/>
        <v>200</v>
      </c>
      <c r="AV637" s="3">
        <f>SUM(AJ637 - AN637 - AU637)</f>
        <v>91333</v>
      </c>
      <c r="AW637" s="11">
        <v>0</v>
      </c>
      <c r="AX637" s="11">
        <v>0</v>
      </c>
      <c r="AY637" s="11">
        <v>0</v>
      </c>
      <c r="AZ637" s="11">
        <v>0</v>
      </c>
      <c r="BA637" s="3">
        <f t="shared" si="87"/>
        <v>91333</v>
      </c>
    </row>
    <row r="638" spans="1:53" x14ac:dyDescent="0.25">
      <c r="A638" s="1" t="s">
        <v>636</v>
      </c>
      <c r="B638" s="9" t="s">
        <v>2239</v>
      </c>
      <c r="C638" s="9" t="s">
        <v>1115</v>
      </c>
      <c r="D638" s="9" t="s">
        <v>2240</v>
      </c>
      <c r="E638" s="9" t="s">
        <v>1008</v>
      </c>
      <c r="F638" s="10">
        <v>44692</v>
      </c>
      <c r="G638" s="9" t="s">
        <v>1019</v>
      </c>
      <c r="I638" s="9" t="s">
        <v>1035</v>
      </c>
      <c r="J638" s="9" t="s">
        <v>1048</v>
      </c>
      <c r="K638" s="8" t="s">
        <v>1006</v>
      </c>
      <c r="L638" s="8" t="s">
        <v>1007</v>
      </c>
      <c r="M638" s="8" t="s">
        <v>2933</v>
      </c>
      <c r="N638" s="8" t="s">
        <v>2937</v>
      </c>
      <c r="O638" s="1" t="s">
        <v>2934</v>
      </c>
      <c r="P638">
        <v>30</v>
      </c>
      <c r="Q638">
        <v>30</v>
      </c>
      <c r="R638">
        <v>0</v>
      </c>
      <c r="S638">
        <f t="shared" si="89"/>
        <v>30</v>
      </c>
      <c r="T638" s="1" t="s">
        <v>2935</v>
      </c>
      <c r="U638" s="1" t="s">
        <v>2932</v>
      </c>
      <c r="V638" s="3">
        <f t="shared" si="90"/>
        <v>40000</v>
      </c>
      <c r="W638" s="3">
        <f t="shared" si="91"/>
        <v>16000</v>
      </c>
      <c r="X638" s="3">
        <f t="shared" si="83"/>
        <v>1250</v>
      </c>
      <c r="Y638" s="3">
        <f t="shared" si="84"/>
        <v>1600</v>
      </c>
      <c r="Z638" s="3">
        <f t="shared" si="85"/>
        <v>1800</v>
      </c>
      <c r="AA638" s="3">
        <v>0</v>
      </c>
      <c r="AB638" s="3">
        <f>ROUND(U638 - (V638+W638+X638+Y638) - (U638/Q638 * 2),0)</f>
        <v>34483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f>SUM(V638+W638+X638+Y638+AB638)</f>
        <v>93333</v>
      </c>
      <c r="AK638" s="3">
        <f>SUM(AJ638-AA638)</f>
        <v>93333</v>
      </c>
      <c r="AL638" s="3">
        <f>IF(V638&lt;=15000,V638*12%,1800)</f>
        <v>1800</v>
      </c>
      <c r="AM638" s="3">
        <v>0</v>
      </c>
      <c r="AN638" s="3">
        <f t="shared" si="86"/>
        <v>1800</v>
      </c>
      <c r="AO638" s="12">
        <v>200</v>
      </c>
      <c r="AP638" s="12">
        <v>0</v>
      </c>
      <c r="AQ638" s="12">
        <v>0</v>
      </c>
      <c r="AR638" s="12">
        <v>0</v>
      </c>
      <c r="AS638" s="12">
        <v>0</v>
      </c>
      <c r="AT638" s="12">
        <v>0</v>
      </c>
      <c r="AU638" s="3">
        <f t="shared" si="88"/>
        <v>200</v>
      </c>
      <c r="AV638" s="3">
        <f>SUM(AJ638 - AN638 - AU638)</f>
        <v>91333</v>
      </c>
      <c r="AW638" s="11">
        <v>0</v>
      </c>
      <c r="AX638" s="11">
        <v>0</v>
      </c>
      <c r="AY638" s="11">
        <v>0</v>
      </c>
      <c r="AZ638" s="11">
        <v>0</v>
      </c>
      <c r="BA638" s="3">
        <f t="shared" si="87"/>
        <v>91333</v>
      </c>
    </row>
    <row r="639" spans="1:53" x14ac:dyDescent="0.25">
      <c r="A639" s="1" t="s">
        <v>637</v>
      </c>
      <c r="B639" s="9" t="s">
        <v>2297</v>
      </c>
      <c r="C639" s="9" t="s">
        <v>1063</v>
      </c>
      <c r="D639" s="9" t="s">
        <v>2298</v>
      </c>
      <c r="E639" s="9" t="s">
        <v>1012</v>
      </c>
      <c r="F639" s="10">
        <v>44683</v>
      </c>
      <c r="G639" s="9" t="s">
        <v>1013</v>
      </c>
      <c r="I639" s="9" t="s">
        <v>1014</v>
      </c>
      <c r="J639" s="9" t="s">
        <v>1015</v>
      </c>
      <c r="K639" s="8" t="s">
        <v>1006</v>
      </c>
      <c r="L639" s="8" t="s">
        <v>1007</v>
      </c>
      <c r="M639" s="8" t="s">
        <v>2933</v>
      </c>
      <c r="N639" s="8" t="s">
        <v>2937</v>
      </c>
      <c r="O639" s="1" t="s">
        <v>2934</v>
      </c>
      <c r="P639">
        <v>30</v>
      </c>
      <c r="Q639">
        <v>30</v>
      </c>
      <c r="R639">
        <v>0</v>
      </c>
      <c r="S639">
        <f t="shared" si="89"/>
        <v>30</v>
      </c>
      <c r="T639" s="1" t="s">
        <v>2935</v>
      </c>
      <c r="U639" s="1" t="s">
        <v>2932</v>
      </c>
      <c r="V639" s="3">
        <f t="shared" si="90"/>
        <v>40000</v>
      </c>
      <c r="W639" s="3">
        <f t="shared" si="91"/>
        <v>16000</v>
      </c>
      <c r="X639" s="3">
        <f t="shared" si="83"/>
        <v>1250</v>
      </c>
      <c r="Y639" s="3">
        <f t="shared" si="84"/>
        <v>1600</v>
      </c>
      <c r="Z639" s="3">
        <f t="shared" si="85"/>
        <v>1800</v>
      </c>
      <c r="AA639" s="3">
        <v>0</v>
      </c>
      <c r="AB639" s="3">
        <f>ROUND(U639 - (V639+W639+X639+Y639) - (U639/Q639 * 2),0)</f>
        <v>34483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f>SUM(V639+W639+X639+Y639+AB639)</f>
        <v>93333</v>
      </c>
      <c r="AK639" s="3">
        <f>SUM(AJ639-AA639)</f>
        <v>93333</v>
      </c>
      <c r="AL639" s="3">
        <f>IF(V639&lt;=15000,V639*12%,1800)</f>
        <v>1800</v>
      </c>
      <c r="AM639" s="3">
        <v>0</v>
      </c>
      <c r="AN639" s="3">
        <f t="shared" si="86"/>
        <v>1800</v>
      </c>
      <c r="AO639" s="12">
        <v>200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3">
        <f t="shared" si="88"/>
        <v>200</v>
      </c>
      <c r="AV639" s="3">
        <f>SUM(AJ639 - AN639 - AU639)</f>
        <v>91333</v>
      </c>
      <c r="AW639" s="11">
        <v>0</v>
      </c>
      <c r="AX639" s="11">
        <v>0</v>
      </c>
      <c r="AY639" s="11">
        <v>0</v>
      </c>
      <c r="AZ639" s="11">
        <v>0</v>
      </c>
      <c r="BA639" s="3">
        <f t="shared" si="87"/>
        <v>91333</v>
      </c>
    </row>
    <row r="640" spans="1:53" x14ac:dyDescent="0.25">
      <c r="A640" s="1" t="s">
        <v>638</v>
      </c>
      <c r="B640" s="9" t="s">
        <v>2295</v>
      </c>
      <c r="C640" s="9" t="s">
        <v>1063</v>
      </c>
      <c r="D640" s="9" t="s">
        <v>2296</v>
      </c>
      <c r="E640" s="9" t="s">
        <v>1012</v>
      </c>
      <c r="F640" s="10">
        <v>44683</v>
      </c>
      <c r="G640" s="9" t="s">
        <v>1019</v>
      </c>
      <c r="I640" s="9" t="s">
        <v>1014</v>
      </c>
      <c r="J640" s="9" t="s">
        <v>1015</v>
      </c>
      <c r="K640" s="8" t="s">
        <v>1006</v>
      </c>
      <c r="L640" s="8" t="s">
        <v>1007</v>
      </c>
      <c r="M640" s="8" t="s">
        <v>2933</v>
      </c>
      <c r="N640" s="8" t="s">
        <v>2937</v>
      </c>
      <c r="O640" s="1" t="s">
        <v>2934</v>
      </c>
      <c r="P640">
        <v>30</v>
      </c>
      <c r="Q640">
        <v>30</v>
      </c>
      <c r="R640">
        <v>0</v>
      </c>
      <c r="S640">
        <f t="shared" si="89"/>
        <v>30</v>
      </c>
      <c r="T640" s="1" t="s">
        <v>2935</v>
      </c>
      <c r="U640" s="1" t="s">
        <v>2932</v>
      </c>
      <c r="V640" s="3">
        <f t="shared" si="90"/>
        <v>40000</v>
      </c>
      <c r="W640" s="3">
        <f t="shared" si="91"/>
        <v>16000</v>
      </c>
      <c r="X640" s="3">
        <f t="shared" si="83"/>
        <v>1250</v>
      </c>
      <c r="Y640" s="3">
        <f t="shared" si="84"/>
        <v>1600</v>
      </c>
      <c r="Z640" s="3">
        <f t="shared" si="85"/>
        <v>1800</v>
      </c>
      <c r="AA640" s="3">
        <v>0</v>
      </c>
      <c r="AB640" s="3">
        <f>ROUND(U640 - (V640+W640+X640+Y640) - (U640/Q640 * 2),0)</f>
        <v>34483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f>SUM(V640+W640+X640+Y640+AB640)</f>
        <v>93333</v>
      </c>
      <c r="AK640" s="3">
        <f>SUM(AJ640-AA640)</f>
        <v>93333</v>
      </c>
      <c r="AL640" s="3">
        <f>IF(V640&lt;=15000,V640*12%,1800)</f>
        <v>1800</v>
      </c>
      <c r="AM640" s="3">
        <v>0</v>
      </c>
      <c r="AN640" s="3">
        <f t="shared" si="86"/>
        <v>1800</v>
      </c>
      <c r="AO640" s="12">
        <v>200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3">
        <f t="shared" si="88"/>
        <v>200</v>
      </c>
      <c r="AV640" s="3">
        <f>SUM(AJ640 - AN640 - AU640)</f>
        <v>91333</v>
      </c>
      <c r="AW640" s="11">
        <v>0</v>
      </c>
      <c r="AX640" s="11">
        <v>0</v>
      </c>
      <c r="AY640" s="11">
        <v>0</v>
      </c>
      <c r="AZ640" s="11">
        <v>0</v>
      </c>
      <c r="BA640" s="3">
        <f t="shared" si="87"/>
        <v>91333</v>
      </c>
    </row>
    <row r="641" spans="1:53" x14ac:dyDescent="0.25">
      <c r="A641" s="1" t="s">
        <v>639</v>
      </c>
      <c r="B641" s="9" t="s">
        <v>2293</v>
      </c>
      <c r="C641" s="9" t="s">
        <v>1063</v>
      </c>
      <c r="D641" s="9" t="s">
        <v>2294</v>
      </c>
      <c r="E641" s="9" t="s">
        <v>1012</v>
      </c>
      <c r="F641" s="10">
        <v>44683</v>
      </c>
      <c r="G641" s="9" t="s">
        <v>1019</v>
      </c>
      <c r="I641" s="9" t="s">
        <v>1014</v>
      </c>
      <c r="J641" s="9" t="s">
        <v>1015</v>
      </c>
      <c r="K641" s="8" t="s">
        <v>1006</v>
      </c>
      <c r="L641" s="8" t="s">
        <v>1007</v>
      </c>
      <c r="M641" s="8" t="s">
        <v>2933</v>
      </c>
      <c r="N641" s="8" t="s">
        <v>2937</v>
      </c>
      <c r="O641" s="1" t="s">
        <v>2934</v>
      </c>
      <c r="P641">
        <v>30</v>
      </c>
      <c r="Q641">
        <v>30</v>
      </c>
      <c r="R641">
        <v>0</v>
      </c>
      <c r="S641">
        <f t="shared" si="89"/>
        <v>30</v>
      </c>
      <c r="T641" s="1" t="s">
        <v>2935</v>
      </c>
      <c r="U641" s="1" t="s">
        <v>2932</v>
      </c>
      <c r="V641" s="3">
        <f t="shared" si="90"/>
        <v>40000</v>
      </c>
      <c r="W641" s="3">
        <f t="shared" si="91"/>
        <v>16000</v>
      </c>
      <c r="X641" s="3">
        <f t="shared" si="83"/>
        <v>1250</v>
      </c>
      <c r="Y641" s="3">
        <f t="shared" si="84"/>
        <v>1600</v>
      </c>
      <c r="Z641" s="3">
        <f t="shared" si="85"/>
        <v>1800</v>
      </c>
      <c r="AA641" s="3">
        <v>0</v>
      </c>
      <c r="AB641" s="3">
        <f>ROUND(U641 - (V641+W641+X641+Y641) - (U641/Q641 * 2),0)</f>
        <v>34483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f>SUM(V641+W641+X641+Y641+AB641)</f>
        <v>93333</v>
      </c>
      <c r="AK641" s="3">
        <f>SUM(AJ641-AA641)</f>
        <v>93333</v>
      </c>
      <c r="AL641" s="3">
        <f>IF(V641&lt;=15000,V641*12%,1800)</f>
        <v>1800</v>
      </c>
      <c r="AM641" s="3">
        <v>0</v>
      </c>
      <c r="AN641" s="3">
        <f t="shared" si="86"/>
        <v>1800</v>
      </c>
      <c r="AO641" s="12">
        <v>200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3">
        <f t="shared" si="88"/>
        <v>200</v>
      </c>
      <c r="AV641" s="3">
        <f>SUM(AJ641 - AN641 - AU641)</f>
        <v>91333</v>
      </c>
      <c r="AW641" s="11">
        <v>0</v>
      </c>
      <c r="AX641" s="11">
        <v>0</v>
      </c>
      <c r="AY641" s="11">
        <v>0</v>
      </c>
      <c r="AZ641" s="11">
        <v>0</v>
      </c>
      <c r="BA641" s="3">
        <f t="shared" si="87"/>
        <v>91333</v>
      </c>
    </row>
    <row r="642" spans="1:53" x14ac:dyDescent="0.25">
      <c r="A642" s="1" t="s">
        <v>640</v>
      </c>
      <c r="B642" s="9" t="s">
        <v>2291</v>
      </c>
      <c r="C642" s="9" t="s">
        <v>1063</v>
      </c>
      <c r="D642" s="9" t="s">
        <v>2292</v>
      </c>
      <c r="E642" s="9" t="s">
        <v>1012</v>
      </c>
      <c r="F642" s="10">
        <v>44683</v>
      </c>
      <c r="G642" s="9" t="s">
        <v>1013</v>
      </c>
      <c r="I642" s="9" t="s">
        <v>1014</v>
      </c>
      <c r="J642" s="9" t="s">
        <v>1015</v>
      </c>
      <c r="K642" s="8" t="s">
        <v>1006</v>
      </c>
      <c r="L642" s="8" t="s">
        <v>1007</v>
      </c>
      <c r="M642" s="8" t="s">
        <v>2933</v>
      </c>
      <c r="N642" s="8" t="s">
        <v>2937</v>
      </c>
      <c r="O642" s="1" t="s">
        <v>2934</v>
      </c>
      <c r="P642">
        <v>30</v>
      </c>
      <c r="Q642">
        <v>30</v>
      </c>
      <c r="R642">
        <v>0</v>
      </c>
      <c r="S642">
        <f t="shared" si="89"/>
        <v>30</v>
      </c>
      <c r="T642" s="1" t="s">
        <v>2935</v>
      </c>
      <c r="U642" s="1" t="s">
        <v>2932</v>
      </c>
      <c r="V642" s="3">
        <f t="shared" si="90"/>
        <v>40000</v>
      </c>
      <c r="W642" s="3">
        <f t="shared" si="91"/>
        <v>16000</v>
      </c>
      <c r="X642" s="3">
        <f t="shared" si="83"/>
        <v>1250</v>
      </c>
      <c r="Y642" s="3">
        <f t="shared" si="84"/>
        <v>1600</v>
      </c>
      <c r="Z642" s="3">
        <f t="shared" si="85"/>
        <v>1800</v>
      </c>
      <c r="AA642" s="3">
        <v>0</v>
      </c>
      <c r="AB642" s="3">
        <f>ROUND(U642 - (V642+W642+X642+Y642) - (U642/Q642 * 2),0)</f>
        <v>34483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f>SUM(V642+W642+X642+Y642+AB642)</f>
        <v>93333</v>
      </c>
      <c r="AK642" s="3">
        <f>SUM(AJ642-AA642)</f>
        <v>93333</v>
      </c>
      <c r="AL642" s="3">
        <f>IF(V642&lt;=15000,V642*12%,1800)</f>
        <v>1800</v>
      </c>
      <c r="AM642" s="3">
        <v>0</v>
      </c>
      <c r="AN642" s="3">
        <f t="shared" si="86"/>
        <v>1800</v>
      </c>
      <c r="AO642" s="12">
        <v>200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3">
        <f t="shared" si="88"/>
        <v>200</v>
      </c>
      <c r="AV642" s="3">
        <f>SUM(AJ642 - AN642 - AU642)</f>
        <v>91333</v>
      </c>
      <c r="AW642" s="11">
        <v>0</v>
      </c>
      <c r="AX642" s="11">
        <v>0</v>
      </c>
      <c r="AY642" s="11">
        <v>0</v>
      </c>
      <c r="AZ642" s="11">
        <v>0</v>
      </c>
      <c r="BA642" s="3">
        <f t="shared" si="87"/>
        <v>91333</v>
      </c>
    </row>
    <row r="643" spans="1:53" x14ac:dyDescent="0.25">
      <c r="A643" s="1" t="s">
        <v>641</v>
      </c>
      <c r="B643" s="9" t="s">
        <v>2289</v>
      </c>
      <c r="C643" s="9" t="s">
        <v>1063</v>
      </c>
      <c r="D643" s="9" t="s">
        <v>2290</v>
      </c>
      <c r="E643" s="9" t="s">
        <v>1012</v>
      </c>
      <c r="F643" s="10">
        <v>44683</v>
      </c>
      <c r="G643" s="9" t="s">
        <v>1019</v>
      </c>
      <c r="I643" s="9" t="s">
        <v>1014</v>
      </c>
      <c r="J643" s="9" t="s">
        <v>1015</v>
      </c>
      <c r="K643" s="8" t="s">
        <v>1006</v>
      </c>
      <c r="L643" s="8" t="s">
        <v>1007</v>
      </c>
      <c r="M643" s="8" t="s">
        <v>2933</v>
      </c>
      <c r="N643" s="8" t="s">
        <v>2937</v>
      </c>
      <c r="O643" s="1" t="s">
        <v>2934</v>
      </c>
      <c r="P643">
        <v>30</v>
      </c>
      <c r="Q643">
        <v>30</v>
      </c>
      <c r="R643">
        <v>0</v>
      </c>
      <c r="S643">
        <f t="shared" si="89"/>
        <v>30</v>
      </c>
      <c r="T643" s="1" t="s">
        <v>2935</v>
      </c>
      <c r="U643" s="1" t="s">
        <v>2932</v>
      </c>
      <c r="V643" s="3">
        <f t="shared" si="90"/>
        <v>40000</v>
      </c>
      <c r="W643" s="3">
        <f t="shared" si="91"/>
        <v>16000</v>
      </c>
      <c r="X643" s="3">
        <f t="shared" ref="X643:X706" si="92">ROUND(1250 - ((1250/Q643)*R643),0)</f>
        <v>1250</v>
      </c>
      <c r="Y643" s="3">
        <f t="shared" ref="Y643:Y706" si="93">ROUND(1600 - (1600/Q643) *R643,0)</f>
        <v>1600</v>
      </c>
      <c r="Z643" s="3">
        <f t="shared" ref="Z643:Z706" si="94">IF(V643&lt;=15000,V643*12%,1800)</f>
        <v>1800</v>
      </c>
      <c r="AA643" s="3">
        <v>0</v>
      </c>
      <c r="AB643" s="3">
        <f>ROUND(U643 - (V643+W643+X643+Y643) - (U643/Q643 * 2),0)</f>
        <v>34483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f>SUM(V643+W643+X643+Y643+AB643)</f>
        <v>93333</v>
      </c>
      <c r="AK643" s="3">
        <f>SUM(AJ643-AA643)</f>
        <v>93333</v>
      </c>
      <c r="AL643" s="3">
        <f>IF(V643&lt;=15000,V643*12%,1800)</f>
        <v>1800</v>
      </c>
      <c r="AM643" s="3">
        <v>0</v>
      </c>
      <c r="AN643" s="3">
        <f t="shared" ref="AN643:AN706" si="95">SUM(AL643+AM643)</f>
        <v>1800</v>
      </c>
      <c r="AO643" s="12">
        <v>200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3">
        <f t="shared" si="88"/>
        <v>200</v>
      </c>
      <c r="AV643" s="3">
        <f>SUM(AJ643 - AN643 - AU643)</f>
        <v>91333</v>
      </c>
      <c r="AW643" s="11">
        <v>0</v>
      </c>
      <c r="AX643" s="11">
        <v>0</v>
      </c>
      <c r="AY643" s="11">
        <v>0</v>
      </c>
      <c r="AZ643" s="11">
        <v>0</v>
      </c>
      <c r="BA643" s="3">
        <f t="shared" ref="BA643:BA706" si="96">AV643+AW643+AX643+AZ643</f>
        <v>91333</v>
      </c>
    </row>
    <row r="644" spans="1:53" x14ac:dyDescent="0.25">
      <c r="A644" s="1" t="s">
        <v>642</v>
      </c>
      <c r="B644" s="9" t="s">
        <v>2287</v>
      </c>
      <c r="C644" s="9" t="s">
        <v>1023</v>
      </c>
      <c r="D644" s="9" t="s">
        <v>2288</v>
      </c>
      <c r="E644" s="9" t="s">
        <v>1012</v>
      </c>
      <c r="F644" s="10">
        <v>44683</v>
      </c>
      <c r="G644" s="9" t="s">
        <v>1013</v>
      </c>
      <c r="I644" s="9" t="s">
        <v>2009</v>
      </c>
      <c r="J644" s="9" t="s">
        <v>1021</v>
      </c>
      <c r="K644" s="8" t="s">
        <v>1006</v>
      </c>
      <c r="L644" s="8" t="s">
        <v>1007</v>
      </c>
      <c r="M644" s="8" t="s">
        <v>2933</v>
      </c>
      <c r="N644" s="8" t="s">
        <v>2937</v>
      </c>
      <c r="O644" s="1" t="s">
        <v>2934</v>
      </c>
      <c r="P644">
        <v>30</v>
      </c>
      <c r="Q644">
        <v>30</v>
      </c>
      <c r="R644">
        <v>0</v>
      </c>
      <c r="S644">
        <f t="shared" si="89"/>
        <v>30</v>
      </c>
      <c r="T644" s="1" t="s">
        <v>2935</v>
      </c>
      <c r="U644" s="1" t="s">
        <v>2932</v>
      </c>
      <c r="V644" s="3">
        <f t="shared" si="90"/>
        <v>40000</v>
      </c>
      <c r="W644" s="3">
        <f t="shared" si="91"/>
        <v>16000</v>
      </c>
      <c r="X644" s="3">
        <f t="shared" si="92"/>
        <v>1250</v>
      </c>
      <c r="Y644" s="3">
        <f t="shared" si="93"/>
        <v>1600</v>
      </c>
      <c r="Z644" s="3">
        <f t="shared" si="94"/>
        <v>1800</v>
      </c>
      <c r="AA644" s="3">
        <v>0</v>
      </c>
      <c r="AB644" s="3">
        <f>ROUND(U644 - (V644+W644+X644+Y644) - (U644/Q644 * 2),0)</f>
        <v>34483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f>SUM(V644+W644+X644+Y644+AB644)</f>
        <v>93333</v>
      </c>
      <c r="AK644" s="3">
        <f>SUM(AJ644-AA644)</f>
        <v>93333</v>
      </c>
      <c r="AL644" s="3">
        <f>IF(V644&lt;=15000,V644*12%,1800)</f>
        <v>1800</v>
      </c>
      <c r="AM644" s="3">
        <v>0</v>
      </c>
      <c r="AN644" s="3">
        <f t="shared" si="95"/>
        <v>1800</v>
      </c>
      <c r="AO644" s="12">
        <v>200</v>
      </c>
      <c r="AP644" s="12">
        <v>0</v>
      </c>
      <c r="AQ644" s="12">
        <v>0</v>
      </c>
      <c r="AR644" s="12">
        <v>0</v>
      </c>
      <c r="AS644" s="12">
        <v>0</v>
      </c>
      <c r="AT644" s="12">
        <v>0</v>
      </c>
      <c r="AU644" s="3">
        <f t="shared" ref="AU644:AU707" si="97">SUM(AO644:AT644)</f>
        <v>200</v>
      </c>
      <c r="AV644" s="3">
        <f>SUM(AJ644 - AN644 - AU644)</f>
        <v>91333</v>
      </c>
      <c r="AW644" s="11">
        <v>0</v>
      </c>
      <c r="AX644" s="11">
        <v>0</v>
      </c>
      <c r="AY644" s="11">
        <v>0</v>
      </c>
      <c r="AZ644" s="11">
        <v>0</v>
      </c>
      <c r="BA644" s="3">
        <f t="shared" si="96"/>
        <v>91333</v>
      </c>
    </row>
    <row r="645" spans="1:53" x14ac:dyDescent="0.25">
      <c r="A645" s="1" t="s">
        <v>643</v>
      </c>
      <c r="B645" s="9" t="s">
        <v>2285</v>
      </c>
      <c r="C645" s="9" t="s">
        <v>1063</v>
      </c>
      <c r="D645" s="9" t="s">
        <v>2286</v>
      </c>
      <c r="E645" s="9" t="s">
        <v>1012</v>
      </c>
      <c r="F645" s="10">
        <v>44683</v>
      </c>
      <c r="G645" s="9" t="s">
        <v>1019</v>
      </c>
      <c r="I645" s="9" t="s">
        <v>1014</v>
      </c>
      <c r="J645" s="9" t="s">
        <v>1015</v>
      </c>
      <c r="K645" s="8" t="s">
        <v>1006</v>
      </c>
      <c r="L645" s="8" t="s">
        <v>1007</v>
      </c>
      <c r="M645" s="8" t="s">
        <v>2933</v>
      </c>
      <c r="N645" s="8" t="s">
        <v>2937</v>
      </c>
      <c r="O645" s="1" t="s">
        <v>2934</v>
      </c>
      <c r="P645">
        <v>30</v>
      </c>
      <c r="Q645">
        <v>30</v>
      </c>
      <c r="R645">
        <v>0</v>
      </c>
      <c r="S645">
        <f t="shared" ref="S645:S708" si="98">SUM(Q645-R645)</f>
        <v>30</v>
      </c>
      <c r="T645" s="1" t="s">
        <v>2935</v>
      </c>
      <c r="U645" s="1" t="s">
        <v>2932</v>
      </c>
      <c r="V645" s="3">
        <f t="shared" ref="V645:V708" si="99">ROUND((U645*40%) / Q645  * S645,0)</f>
        <v>40000</v>
      </c>
      <c r="W645" s="3">
        <f t="shared" ref="W645:W708" si="100">ROUND((U645*16%) / Q645  * S645,0)</f>
        <v>16000</v>
      </c>
      <c r="X645" s="3">
        <f t="shared" si="92"/>
        <v>1250</v>
      </c>
      <c r="Y645" s="3">
        <f t="shared" si="93"/>
        <v>1600</v>
      </c>
      <c r="Z645" s="3">
        <f t="shared" si="94"/>
        <v>1800</v>
      </c>
      <c r="AA645" s="3">
        <v>0</v>
      </c>
      <c r="AB645" s="3">
        <f>ROUND(U645 - (V645+W645+X645+Y645) - (U645/Q645 * 2),0)</f>
        <v>34483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f>SUM(V645+W645+X645+Y645+AB645)</f>
        <v>93333</v>
      </c>
      <c r="AK645" s="3">
        <f>SUM(AJ645-AA645)</f>
        <v>93333</v>
      </c>
      <c r="AL645" s="3">
        <f>IF(V645&lt;=15000,V645*12%,1800)</f>
        <v>1800</v>
      </c>
      <c r="AM645" s="3">
        <v>0</v>
      </c>
      <c r="AN645" s="3">
        <f t="shared" si="95"/>
        <v>1800</v>
      </c>
      <c r="AO645" s="12">
        <v>200</v>
      </c>
      <c r="AP645" s="12">
        <v>0</v>
      </c>
      <c r="AQ645" s="12">
        <v>0</v>
      </c>
      <c r="AR645" s="12">
        <v>0</v>
      </c>
      <c r="AS645" s="12">
        <v>0</v>
      </c>
      <c r="AT645" s="12">
        <v>0</v>
      </c>
      <c r="AU645" s="3">
        <f t="shared" si="97"/>
        <v>200</v>
      </c>
      <c r="AV645" s="3">
        <f>SUM(AJ645 - AN645 - AU645)</f>
        <v>91333</v>
      </c>
      <c r="AW645" s="11">
        <v>0</v>
      </c>
      <c r="AX645" s="11">
        <v>0</v>
      </c>
      <c r="AY645" s="11">
        <v>0</v>
      </c>
      <c r="AZ645" s="11">
        <v>0</v>
      </c>
      <c r="BA645" s="3">
        <f t="shared" si="96"/>
        <v>91333</v>
      </c>
    </row>
    <row r="646" spans="1:53" x14ac:dyDescent="0.25">
      <c r="A646" s="1" t="s">
        <v>644</v>
      </c>
      <c r="B646" s="9" t="s">
        <v>2283</v>
      </c>
      <c r="C646" s="9" t="s">
        <v>1063</v>
      </c>
      <c r="D646" s="9" t="s">
        <v>2284</v>
      </c>
      <c r="E646" s="9" t="s">
        <v>1012</v>
      </c>
      <c r="F646" s="10">
        <v>44683</v>
      </c>
      <c r="G646" s="9" t="s">
        <v>1013</v>
      </c>
      <c r="I646" s="9" t="s">
        <v>1014</v>
      </c>
      <c r="J646" s="9" t="s">
        <v>1015</v>
      </c>
      <c r="K646" s="8" t="s">
        <v>1006</v>
      </c>
      <c r="L646" s="8" t="s">
        <v>1007</v>
      </c>
      <c r="M646" s="8" t="s">
        <v>2933</v>
      </c>
      <c r="N646" s="8" t="s">
        <v>2937</v>
      </c>
      <c r="O646" s="1" t="s">
        <v>2934</v>
      </c>
      <c r="P646">
        <v>30</v>
      </c>
      <c r="Q646">
        <v>30</v>
      </c>
      <c r="R646">
        <v>0</v>
      </c>
      <c r="S646">
        <f t="shared" si="98"/>
        <v>30</v>
      </c>
      <c r="T646" s="1" t="s">
        <v>2935</v>
      </c>
      <c r="U646" s="1" t="s">
        <v>2932</v>
      </c>
      <c r="V646" s="3">
        <f t="shared" si="99"/>
        <v>40000</v>
      </c>
      <c r="W646" s="3">
        <f t="shared" si="100"/>
        <v>16000</v>
      </c>
      <c r="X646" s="3">
        <f t="shared" si="92"/>
        <v>1250</v>
      </c>
      <c r="Y646" s="3">
        <f t="shared" si="93"/>
        <v>1600</v>
      </c>
      <c r="Z646" s="3">
        <f t="shared" si="94"/>
        <v>1800</v>
      </c>
      <c r="AA646" s="3">
        <v>0</v>
      </c>
      <c r="AB646" s="3">
        <f>ROUND(U646 - (V646+W646+X646+Y646) - (U646/Q646 * 2),0)</f>
        <v>34483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f>SUM(V646+W646+X646+Y646+AB646)</f>
        <v>93333</v>
      </c>
      <c r="AK646" s="3">
        <f>SUM(AJ646-AA646)</f>
        <v>93333</v>
      </c>
      <c r="AL646" s="3">
        <f>IF(V646&lt;=15000,V646*12%,1800)</f>
        <v>1800</v>
      </c>
      <c r="AM646" s="3">
        <v>0</v>
      </c>
      <c r="AN646" s="3">
        <f t="shared" si="95"/>
        <v>1800</v>
      </c>
      <c r="AO646" s="12">
        <v>200</v>
      </c>
      <c r="AP646" s="12">
        <v>0</v>
      </c>
      <c r="AQ646" s="12">
        <v>0</v>
      </c>
      <c r="AR646" s="12">
        <v>0</v>
      </c>
      <c r="AS646" s="12">
        <v>0</v>
      </c>
      <c r="AT646" s="12">
        <v>0</v>
      </c>
      <c r="AU646" s="3">
        <f t="shared" si="97"/>
        <v>200</v>
      </c>
      <c r="AV646" s="3">
        <f>SUM(AJ646 - AN646 - AU646)</f>
        <v>91333</v>
      </c>
      <c r="AW646" s="11">
        <v>0</v>
      </c>
      <c r="AX646" s="11">
        <v>0</v>
      </c>
      <c r="AY646" s="11">
        <v>0</v>
      </c>
      <c r="AZ646" s="11">
        <v>0</v>
      </c>
      <c r="BA646" s="3">
        <f t="shared" si="96"/>
        <v>91333</v>
      </c>
    </row>
    <row r="647" spans="1:53" x14ac:dyDescent="0.25">
      <c r="A647" s="1" t="s">
        <v>645</v>
      </c>
      <c r="B647" s="9" t="s">
        <v>1474</v>
      </c>
      <c r="C647" s="9" t="s">
        <v>1010</v>
      </c>
      <c r="D647" s="9" t="s">
        <v>2282</v>
      </c>
      <c r="E647" s="9" t="s">
        <v>1012</v>
      </c>
      <c r="F647" s="10">
        <v>44685</v>
      </c>
      <c r="G647" s="9" t="s">
        <v>1019</v>
      </c>
      <c r="I647" s="9" t="s">
        <v>1014</v>
      </c>
      <c r="J647" s="9" t="s">
        <v>1015</v>
      </c>
      <c r="K647" s="8" t="s">
        <v>1006</v>
      </c>
      <c r="L647" s="8" t="s">
        <v>1007</v>
      </c>
      <c r="M647" s="8" t="s">
        <v>2933</v>
      </c>
      <c r="N647" s="8" t="s">
        <v>2937</v>
      </c>
      <c r="O647" s="1" t="s">
        <v>2934</v>
      </c>
      <c r="P647">
        <v>30</v>
      </c>
      <c r="Q647">
        <v>30</v>
      </c>
      <c r="R647">
        <v>0</v>
      </c>
      <c r="S647">
        <f t="shared" si="98"/>
        <v>30</v>
      </c>
      <c r="T647" s="1" t="s">
        <v>2935</v>
      </c>
      <c r="U647" s="1" t="s">
        <v>2932</v>
      </c>
      <c r="V647" s="3">
        <f t="shared" si="99"/>
        <v>40000</v>
      </c>
      <c r="W647" s="3">
        <f t="shared" si="100"/>
        <v>16000</v>
      </c>
      <c r="X647" s="3">
        <f t="shared" si="92"/>
        <v>1250</v>
      </c>
      <c r="Y647" s="3">
        <f t="shared" si="93"/>
        <v>1600</v>
      </c>
      <c r="Z647" s="3">
        <f t="shared" si="94"/>
        <v>1800</v>
      </c>
      <c r="AA647" s="3">
        <v>0</v>
      </c>
      <c r="AB647" s="3">
        <f>ROUND(U647 - (V647+W647+X647+Y647) - (U647/Q647 * 2),0)</f>
        <v>34483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f>SUM(V647+W647+X647+Y647+AB647)</f>
        <v>93333</v>
      </c>
      <c r="AK647" s="3">
        <f>SUM(AJ647-AA647)</f>
        <v>93333</v>
      </c>
      <c r="AL647" s="3">
        <f>IF(V647&lt;=15000,V647*12%,1800)</f>
        <v>1800</v>
      </c>
      <c r="AM647" s="3">
        <v>0</v>
      </c>
      <c r="AN647" s="3">
        <f t="shared" si="95"/>
        <v>1800</v>
      </c>
      <c r="AO647" s="12">
        <v>200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3">
        <f t="shared" si="97"/>
        <v>200</v>
      </c>
      <c r="AV647" s="3">
        <f>SUM(AJ647 - AN647 - AU647)</f>
        <v>91333</v>
      </c>
      <c r="AW647" s="11">
        <v>0</v>
      </c>
      <c r="AX647" s="11">
        <v>0</v>
      </c>
      <c r="AY647" s="11">
        <v>0</v>
      </c>
      <c r="AZ647" s="11">
        <v>0</v>
      </c>
      <c r="BA647" s="3">
        <f t="shared" si="96"/>
        <v>91333</v>
      </c>
    </row>
    <row r="648" spans="1:53" x14ac:dyDescent="0.25">
      <c r="A648" s="1" t="s">
        <v>646</v>
      </c>
      <c r="B648" s="9" t="s">
        <v>2125</v>
      </c>
      <c r="C648" s="9" t="s">
        <v>1023</v>
      </c>
      <c r="D648" s="9" t="s">
        <v>2281</v>
      </c>
      <c r="E648" s="9" t="s">
        <v>1012</v>
      </c>
      <c r="F648" s="10">
        <v>44686</v>
      </c>
      <c r="G648" s="9" t="s">
        <v>1019</v>
      </c>
      <c r="I648" s="9" t="s">
        <v>2009</v>
      </c>
      <c r="J648" s="9" t="s">
        <v>1021</v>
      </c>
      <c r="K648" s="8" t="s">
        <v>1006</v>
      </c>
      <c r="L648" s="8" t="s">
        <v>1007</v>
      </c>
      <c r="M648" s="8" t="s">
        <v>2933</v>
      </c>
      <c r="N648" s="8" t="s">
        <v>2937</v>
      </c>
      <c r="O648" s="1" t="s">
        <v>2934</v>
      </c>
      <c r="P648">
        <v>30</v>
      </c>
      <c r="Q648">
        <v>30</v>
      </c>
      <c r="R648">
        <v>0</v>
      </c>
      <c r="S648">
        <f t="shared" si="98"/>
        <v>30</v>
      </c>
      <c r="T648" s="1" t="s">
        <v>2935</v>
      </c>
      <c r="U648" s="1" t="s">
        <v>2932</v>
      </c>
      <c r="V648" s="3">
        <f t="shared" si="99"/>
        <v>40000</v>
      </c>
      <c r="W648" s="3">
        <f t="shared" si="100"/>
        <v>16000</v>
      </c>
      <c r="X648" s="3">
        <f t="shared" si="92"/>
        <v>1250</v>
      </c>
      <c r="Y648" s="3">
        <f t="shared" si="93"/>
        <v>1600</v>
      </c>
      <c r="Z648" s="3">
        <f t="shared" si="94"/>
        <v>1800</v>
      </c>
      <c r="AA648" s="3">
        <v>0</v>
      </c>
      <c r="AB648" s="3">
        <f>ROUND(U648 - (V648+W648+X648+Y648) - (U648/Q648 * 2),0)</f>
        <v>34483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f>SUM(V648+W648+X648+Y648+AB648)</f>
        <v>93333</v>
      </c>
      <c r="AK648" s="3">
        <f>SUM(AJ648-AA648)</f>
        <v>93333</v>
      </c>
      <c r="AL648" s="3">
        <f>IF(V648&lt;=15000,V648*12%,1800)</f>
        <v>1800</v>
      </c>
      <c r="AM648" s="3">
        <v>0</v>
      </c>
      <c r="AN648" s="3">
        <f t="shared" si="95"/>
        <v>1800</v>
      </c>
      <c r="AO648" s="12">
        <v>200</v>
      </c>
      <c r="AP648" s="12">
        <v>0</v>
      </c>
      <c r="AQ648" s="12">
        <v>0</v>
      </c>
      <c r="AR648" s="12">
        <v>0</v>
      </c>
      <c r="AS648" s="12">
        <v>0</v>
      </c>
      <c r="AT648" s="12">
        <v>0</v>
      </c>
      <c r="AU648" s="3">
        <f t="shared" si="97"/>
        <v>200</v>
      </c>
      <c r="AV648" s="3">
        <f>SUM(AJ648 - AN648 - AU648)</f>
        <v>91333</v>
      </c>
      <c r="AW648" s="11">
        <v>0</v>
      </c>
      <c r="AX648" s="11">
        <v>0</v>
      </c>
      <c r="AY648" s="11">
        <v>0</v>
      </c>
      <c r="AZ648" s="11">
        <v>0</v>
      </c>
      <c r="BA648" s="3">
        <f t="shared" si="96"/>
        <v>91333</v>
      </c>
    </row>
    <row r="649" spans="1:53" x14ac:dyDescent="0.25">
      <c r="A649" s="1" t="s">
        <v>647</v>
      </c>
      <c r="B649" s="9" t="s">
        <v>1252</v>
      </c>
      <c r="C649" s="9" t="s">
        <v>1023</v>
      </c>
      <c r="D649" s="9" t="s">
        <v>2280</v>
      </c>
      <c r="E649" s="9" t="s">
        <v>1012</v>
      </c>
      <c r="F649" s="10">
        <v>44686</v>
      </c>
      <c r="G649" s="9" t="s">
        <v>1019</v>
      </c>
      <c r="I649" s="9" t="s">
        <v>1014</v>
      </c>
      <c r="J649" s="9" t="s">
        <v>1021</v>
      </c>
      <c r="K649" s="8" t="s">
        <v>1006</v>
      </c>
      <c r="L649" s="8" t="s">
        <v>1007</v>
      </c>
      <c r="M649" s="8" t="s">
        <v>2933</v>
      </c>
      <c r="N649" s="8" t="s">
        <v>2937</v>
      </c>
      <c r="O649" s="1" t="s">
        <v>2934</v>
      </c>
      <c r="P649">
        <v>30</v>
      </c>
      <c r="Q649">
        <v>30</v>
      </c>
      <c r="R649">
        <v>0</v>
      </c>
      <c r="S649">
        <f t="shared" si="98"/>
        <v>30</v>
      </c>
      <c r="T649" s="1" t="s">
        <v>2935</v>
      </c>
      <c r="U649" s="1" t="s">
        <v>2932</v>
      </c>
      <c r="V649" s="3">
        <f t="shared" si="99"/>
        <v>40000</v>
      </c>
      <c r="W649" s="3">
        <f t="shared" si="100"/>
        <v>16000</v>
      </c>
      <c r="X649" s="3">
        <f t="shared" si="92"/>
        <v>1250</v>
      </c>
      <c r="Y649" s="3">
        <f t="shared" si="93"/>
        <v>1600</v>
      </c>
      <c r="Z649" s="3">
        <f t="shared" si="94"/>
        <v>1800</v>
      </c>
      <c r="AA649" s="3">
        <v>0</v>
      </c>
      <c r="AB649" s="3">
        <f>ROUND(U649 - (V649+W649+X649+Y649) - (U649/Q649 * 2),0)</f>
        <v>34483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f>SUM(V649+W649+X649+Y649+AB649)</f>
        <v>93333</v>
      </c>
      <c r="AK649" s="3">
        <f>SUM(AJ649-AA649)</f>
        <v>93333</v>
      </c>
      <c r="AL649" s="3">
        <f>IF(V649&lt;=15000,V649*12%,1800)</f>
        <v>1800</v>
      </c>
      <c r="AM649" s="3">
        <v>0</v>
      </c>
      <c r="AN649" s="3">
        <f t="shared" si="95"/>
        <v>1800</v>
      </c>
      <c r="AO649" s="12">
        <v>200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3">
        <f t="shared" si="97"/>
        <v>200</v>
      </c>
      <c r="AV649" s="3">
        <f>SUM(AJ649 - AN649 - AU649)</f>
        <v>91333</v>
      </c>
      <c r="AW649" s="11">
        <v>0</v>
      </c>
      <c r="AX649" s="11">
        <v>0</v>
      </c>
      <c r="AY649" s="11">
        <v>0</v>
      </c>
      <c r="AZ649" s="11">
        <v>0</v>
      </c>
      <c r="BA649" s="3">
        <f t="shared" si="96"/>
        <v>91333</v>
      </c>
    </row>
    <row r="650" spans="1:53" x14ac:dyDescent="0.25">
      <c r="A650" s="1" t="s">
        <v>648</v>
      </c>
      <c r="B650" s="9" t="s">
        <v>2278</v>
      </c>
      <c r="C650" s="9" t="s">
        <v>1050</v>
      </c>
      <c r="D650" s="9" t="s">
        <v>2279</v>
      </c>
      <c r="E650" s="9" t="s">
        <v>1012</v>
      </c>
      <c r="F650" s="10">
        <v>44697</v>
      </c>
      <c r="G650" s="9" t="s">
        <v>1013</v>
      </c>
      <c r="I650" s="9" t="s">
        <v>1042</v>
      </c>
      <c r="J650" s="9" t="s">
        <v>1052</v>
      </c>
      <c r="K650" s="8" t="s">
        <v>1006</v>
      </c>
      <c r="L650" s="8" t="s">
        <v>1007</v>
      </c>
      <c r="M650" s="8" t="s">
        <v>2933</v>
      </c>
      <c r="N650" s="8" t="s">
        <v>2937</v>
      </c>
      <c r="O650" s="1" t="s">
        <v>2934</v>
      </c>
      <c r="P650">
        <v>30</v>
      </c>
      <c r="Q650">
        <v>30</v>
      </c>
      <c r="R650">
        <v>0</v>
      </c>
      <c r="S650">
        <f t="shared" si="98"/>
        <v>30</v>
      </c>
      <c r="T650" s="1" t="s">
        <v>2935</v>
      </c>
      <c r="U650" s="1" t="s">
        <v>2932</v>
      </c>
      <c r="V650" s="3">
        <f t="shared" si="99"/>
        <v>40000</v>
      </c>
      <c r="W650" s="3">
        <f t="shared" si="100"/>
        <v>16000</v>
      </c>
      <c r="X650" s="3">
        <f t="shared" si="92"/>
        <v>1250</v>
      </c>
      <c r="Y650" s="3">
        <f t="shared" si="93"/>
        <v>1600</v>
      </c>
      <c r="Z650" s="3">
        <f t="shared" si="94"/>
        <v>1800</v>
      </c>
      <c r="AA650" s="3">
        <v>0</v>
      </c>
      <c r="AB650" s="3">
        <f>ROUND(U650 - (V650+W650+X650+Y650) - (U650/Q650 * 2),0)</f>
        <v>34483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f>SUM(V650+W650+X650+Y650+AB650)</f>
        <v>93333</v>
      </c>
      <c r="AK650" s="3">
        <f>SUM(AJ650-AA650)</f>
        <v>93333</v>
      </c>
      <c r="AL650" s="3">
        <f>IF(V650&lt;=15000,V650*12%,1800)</f>
        <v>1800</v>
      </c>
      <c r="AM650" s="3">
        <v>0</v>
      </c>
      <c r="AN650" s="3">
        <f t="shared" si="95"/>
        <v>1800</v>
      </c>
      <c r="AO650" s="12">
        <v>200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3">
        <f t="shared" si="97"/>
        <v>200</v>
      </c>
      <c r="AV650" s="3">
        <f>SUM(AJ650 - AN650 - AU650)</f>
        <v>91333</v>
      </c>
      <c r="AW650" s="11">
        <v>0</v>
      </c>
      <c r="AX650" s="11">
        <v>0</v>
      </c>
      <c r="AY650" s="11">
        <v>0</v>
      </c>
      <c r="AZ650" s="11">
        <v>0</v>
      </c>
      <c r="BA650" s="3">
        <f t="shared" si="96"/>
        <v>91333</v>
      </c>
    </row>
    <row r="651" spans="1:53" x14ac:dyDescent="0.25">
      <c r="A651" s="1" t="s">
        <v>649</v>
      </c>
      <c r="B651" s="9" t="s">
        <v>2276</v>
      </c>
      <c r="C651" s="9" t="s">
        <v>1115</v>
      </c>
      <c r="D651" s="9" t="s">
        <v>2277</v>
      </c>
      <c r="E651" s="9" t="s">
        <v>1012</v>
      </c>
      <c r="F651" s="10">
        <v>44697</v>
      </c>
      <c r="G651" s="9" t="s">
        <v>1013</v>
      </c>
      <c r="I651" s="9" t="s">
        <v>1035</v>
      </c>
      <c r="J651" s="9" t="s">
        <v>1048</v>
      </c>
      <c r="K651" s="8" t="s">
        <v>1006</v>
      </c>
      <c r="L651" s="8" t="s">
        <v>1007</v>
      </c>
      <c r="M651" s="8" t="s">
        <v>2933</v>
      </c>
      <c r="N651" s="8" t="s">
        <v>2937</v>
      </c>
      <c r="O651" s="1" t="s">
        <v>2934</v>
      </c>
      <c r="P651">
        <v>30</v>
      </c>
      <c r="Q651">
        <v>30</v>
      </c>
      <c r="R651">
        <v>0</v>
      </c>
      <c r="S651">
        <f t="shared" si="98"/>
        <v>30</v>
      </c>
      <c r="T651" s="1" t="s">
        <v>2935</v>
      </c>
      <c r="U651" s="1" t="s">
        <v>2932</v>
      </c>
      <c r="V651" s="3">
        <f t="shared" si="99"/>
        <v>40000</v>
      </c>
      <c r="W651" s="3">
        <f t="shared" si="100"/>
        <v>16000</v>
      </c>
      <c r="X651" s="3">
        <f t="shared" si="92"/>
        <v>1250</v>
      </c>
      <c r="Y651" s="3">
        <f t="shared" si="93"/>
        <v>1600</v>
      </c>
      <c r="Z651" s="3">
        <f t="shared" si="94"/>
        <v>1800</v>
      </c>
      <c r="AA651" s="3">
        <v>0</v>
      </c>
      <c r="AB651" s="3">
        <f>ROUND(U651 - (V651+W651+X651+Y651) - (U651/Q651 * 2),0)</f>
        <v>34483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f>SUM(V651+W651+X651+Y651+AB651)</f>
        <v>93333</v>
      </c>
      <c r="AK651" s="3">
        <f>SUM(AJ651-AA651)</f>
        <v>93333</v>
      </c>
      <c r="AL651" s="3">
        <f>IF(V651&lt;=15000,V651*12%,1800)</f>
        <v>1800</v>
      </c>
      <c r="AM651" s="3">
        <v>0</v>
      </c>
      <c r="AN651" s="3">
        <f t="shared" si="95"/>
        <v>1800</v>
      </c>
      <c r="AO651" s="12">
        <v>200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3">
        <f t="shared" si="97"/>
        <v>200</v>
      </c>
      <c r="AV651" s="3">
        <f>SUM(AJ651 - AN651 - AU651)</f>
        <v>91333</v>
      </c>
      <c r="AW651" s="11">
        <v>0</v>
      </c>
      <c r="AX651" s="11">
        <v>0</v>
      </c>
      <c r="AY651" s="11">
        <v>0</v>
      </c>
      <c r="AZ651" s="11">
        <v>0</v>
      </c>
      <c r="BA651" s="3">
        <f t="shared" si="96"/>
        <v>91333</v>
      </c>
    </row>
    <row r="652" spans="1:53" x14ac:dyDescent="0.25">
      <c r="A652" s="1" t="s">
        <v>650</v>
      </c>
      <c r="B652" s="9" t="s">
        <v>2274</v>
      </c>
      <c r="C652" s="9" t="s">
        <v>1173</v>
      </c>
      <c r="D652" s="9" t="s">
        <v>2275</v>
      </c>
      <c r="E652" s="9" t="s">
        <v>1012</v>
      </c>
      <c r="F652" s="10">
        <v>44699</v>
      </c>
      <c r="G652" s="9" t="s">
        <v>1019</v>
      </c>
      <c r="I652" s="9" t="s">
        <v>1035</v>
      </c>
      <c r="J652" s="9" t="s">
        <v>1048</v>
      </c>
      <c r="K652" s="8" t="s">
        <v>1006</v>
      </c>
      <c r="L652" s="8" t="s">
        <v>1007</v>
      </c>
      <c r="M652" s="8" t="s">
        <v>2933</v>
      </c>
      <c r="N652" s="8" t="s">
        <v>2937</v>
      </c>
      <c r="O652" s="1" t="s">
        <v>2934</v>
      </c>
      <c r="P652">
        <v>30</v>
      </c>
      <c r="Q652">
        <v>30</v>
      </c>
      <c r="R652">
        <v>0</v>
      </c>
      <c r="S652">
        <f t="shared" si="98"/>
        <v>30</v>
      </c>
      <c r="T652" s="1" t="s">
        <v>2935</v>
      </c>
      <c r="U652" s="1" t="s">
        <v>2932</v>
      </c>
      <c r="V652" s="3">
        <f t="shared" si="99"/>
        <v>40000</v>
      </c>
      <c r="W652" s="3">
        <f t="shared" si="100"/>
        <v>16000</v>
      </c>
      <c r="X652" s="3">
        <f t="shared" si="92"/>
        <v>1250</v>
      </c>
      <c r="Y652" s="3">
        <f t="shared" si="93"/>
        <v>1600</v>
      </c>
      <c r="Z652" s="3">
        <f t="shared" si="94"/>
        <v>1800</v>
      </c>
      <c r="AA652" s="3">
        <v>0</v>
      </c>
      <c r="AB652" s="3">
        <f>ROUND(U652 - (V652+W652+X652+Y652) - (U652/Q652 * 2),0)</f>
        <v>34483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f>SUM(V652+W652+X652+Y652+AB652)</f>
        <v>93333</v>
      </c>
      <c r="AK652" s="3">
        <f>SUM(AJ652-AA652)</f>
        <v>93333</v>
      </c>
      <c r="AL652" s="3">
        <f>IF(V652&lt;=15000,V652*12%,1800)</f>
        <v>1800</v>
      </c>
      <c r="AM652" s="3">
        <v>0</v>
      </c>
      <c r="AN652" s="3">
        <f t="shared" si="95"/>
        <v>1800</v>
      </c>
      <c r="AO652" s="12">
        <v>200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3">
        <f t="shared" si="97"/>
        <v>200</v>
      </c>
      <c r="AV652" s="3">
        <f>SUM(AJ652 - AN652 - AU652)</f>
        <v>91333</v>
      </c>
      <c r="AW652" s="11">
        <v>0</v>
      </c>
      <c r="AX652" s="11">
        <v>0</v>
      </c>
      <c r="AY652" s="11">
        <v>0</v>
      </c>
      <c r="AZ652" s="11">
        <v>0</v>
      </c>
      <c r="BA652" s="3">
        <f t="shared" si="96"/>
        <v>91333</v>
      </c>
    </row>
    <row r="653" spans="1:53" x14ac:dyDescent="0.25">
      <c r="A653" s="1" t="s">
        <v>651</v>
      </c>
      <c r="B653" s="9" t="s">
        <v>2272</v>
      </c>
      <c r="C653" s="9" t="s">
        <v>1029</v>
      </c>
      <c r="D653" s="9" t="s">
        <v>2273</v>
      </c>
      <c r="E653" s="9" t="s">
        <v>1012</v>
      </c>
      <c r="F653" s="10">
        <v>44699</v>
      </c>
      <c r="G653" s="9" t="s">
        <v>1013</v>
      </c>
      <c r="I653" s="9" t="s">
        <v>1014</v>
      </c>
      <c r="J653" s="9" t="s">
        <v>1031</v>
      </c>
      <c r="K653" s="8" t="s">
        <v>1006</v>
      </c>
      <c r="L653" s="8" t="s">
        <v>1007</v>
      </c>
      <c r="M653" s="8" t="s">
        <v>2933</v>
      </c>
      <c r="N653" s="8" t="s">
        <v>2937</v>
      </c>
      <c r="O653" s="1" t="s">
        <v>2934</v>
      </c>
      <c r="P653">
        <v>30</v>
      </c>
      <c r="Q653">
        <v>30</v>
      </c>
      <c r="R653">
        <v>0</v>
      </c>
      <c r="S653">
        <f t="shared" si="98"/>
        <v>30</v>
      </c>
      <c r="T653" s="1" t="s">
        <v>2935</v>
      </c>
      <c r="U653" s="1" t="s">
        <v>2932</v>
      </c>
      <c r="V653" s="3">
        <f t="shared" si="99"/>
        <v>40000</v>
      </c>
      <c r="W653" s="3">
        <f t="shared" si="100"/>
        <v>16000</v>
      </c>
      <c r="X653" s="3">
        <f t="shared" si="92"/>
        <v>1250</v>
      </c>
      <c r="Y653" s="3">
        <f t="shared" si="93"/>
        <v>1600</v>
      </c>
      <c r="Z653" s="3">
        <f t="shared" si="94"/>
        <v>1800</v>
      </c>
      <c r="AA653" s="3">
        <v>0</v>
      </c>
      <c r="AB653" s="3">
        <f>ROUND(U653 - (V653+W653+X653+Y653) - (U653/Q653 * 2),0)</f>
        <v>34483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f>SUM(V653+W653+X653+Y653+AB653)</f>
        <v>93333</v>
      </c>
      <c r="AK653" s="3">
        <f>SUM(AJ653-AA653)</f>
        <v>93333</v>
      </c>
      <c r="AL653" s="3">
        <f>IF(V653&lt;=15000,V653*12%,1800)</f>
        <v>1800</v>
      </c>
      <c r="AM653" s="3">
        <v>0</v>
      </c>
      <c r="AN653" s="3">
        <f t="shared" si="95"/>
        <v>1800</v>
      </c>
      <c r="AO653" s="12">
        <v>200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3">
        <f t="shared" si="97"/>
        <v>200</v>
      </c>
      <c r="AV653" s="3">
        <f>SUM(AJ653 - AN653 - AU653)</f>
        <v>91333</v>
      </c>
      <c r="AW653" s="11">
        <v>0</v>
      </c>
      <c r="AX653" s="11">
        <v>0</v>
      </c>
      <c r="AY653" s="11">
        <v>0</v>
      </c>
      <c r="AZ653" s="11">
        <v>0</v>
      </c>
      <c r="BA653" s="3">
        <f t="shared" si="96"/>
        <v>91333</v>
      </c>
    </row>
    <row r="654" spans="1:53" x14ac:dyDescent="0.25">
      <c r="A654" s="1" t="s">
        <v>652</v>
      </c>
      <c r="B654" s="9" t="s">
        <v>1762</v>
      </c>
      <c r="C654" s="9" t="s">
        <v>1063</v>
      </c>
      <c r="D654" s="9" t="s">
        <v>2271</v>
      </c>
      <c r="E654" s="9" t="s">
        <v>1012</v>
      </c>
      <c r="F654" s="10">
        <v>44690</v>
      </c>
      <c r="G654" s="9" t="s">
        <v>1013</v>
      </c>
      <c r="I654" s="9" t="s">
        <v>1014</v>
      </c>
      <c r="J654" s="9" t="s">
        <v>1015</v>
      </c>
      <c r="K654" s="8" t="s">
        <v>1006</v>
      </c>
      <c r="L654" s="8" t="s">
        <v>1007</v>
      </c>
      <c r="M654" s="8" t="s">
        <v>2933</v>
      </c>
      <c r="N654" s="8" t="s">
        <v>2937</v>
      </c>
      <c r="O654" s="1" t="s">
        <v>2934</v>
      </c>
      <c r="P654">
        <v>30</v>
      </c>
      <c r="Q654">
        <v>30</v>
      </c>
      <c r="R654">
        <v>0</v>
      </c>
      <c r="S654">
        <f t="shared" si="98"/>
        <v>30</v>
      </c>
      <c r="T654" s="1" t="s">
        <v>2935</v>
      </c>
      <c r="U654" s="1" t="s">
        <v>2932</v>
      </c>
      <c r="V654" s="3">
        <f t="shared" si="99"/>
        <v>40000</v>
      </c>
      <c r="W654" s="3">
        <f t="shared" si="100"/>
        <v>16000</v>
      </c>
      <c r="X654" s="3">
        <f t="shared" si="92"/>
        <v>1250</v>
      </c>
      <c r="Y654" s="3">
        <f t="shared" si="93"/>
        <v>1600</v>
      </c>
      <c r="Z654" s="3">
        <f t="shared" si="94"/>
        <v>1800</v>
      </c>
      <c r="AA654" s="3">
        <v>0</v>
      </c>
      <c r="AB654" s="3">
        <f>ROUND(U654 - (V654+W654+X654+Y654) - (U654/Q654 * 2),0)</f>
        <v>34483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f>SUM(V654+W654+X654+Y654+AB654)</f>
        <v>93333</v>
      </c>
      <c r="AK654" s="3">
        <f>SUM(AJ654-AA654)</f>
        <v>93333</v>
      </c>
      <c r="AL654" s="3">
        <f>IF(V654&lt;=15000,V654*12%,1800)</f>
        <v>1800</v>
      </c>
      <c r="AM654" s="3">
        <v>0</v>
      </c>
      <c r="AN654" s="3">
        <f t="shared" si="95"/>
        <v>1800</v>
      </c>
      <c r="AO654" s="12">
        <v>200</v>
      </c>
      <c r="AP654" s="12">
        <v>0</v>
      </c>
      <c r="AQ654" s="12">
        <v>0</v>
      </c>
      <c r="AR654" s="12">
        <v>0</v>
      </c>
      <c r="AS654" s="12">
        <v>0</v>
      </c>
      <c r="AT654" s="12">
        <v>0</v>
      </c>
      <c r="AU654" s="3">
        <f t="shared" si="97"/>
        <v>200</v>
      </c>
      <c r="AV654" s="3">
        <f>SUM(AJ654 - AN654 - AU654)</f>
        <v>91333</v>
      </c>
      <c r="AW654" s="11">
        <v>0</v>
      </c>
      <c r="AX654" s="11">
        <v>0</v>
      </c>
      <c r="AY654" s="11">
        <v>0</v>
      </c>
      <c r="AZ654" s="11">
        <v>0</v>
      </c>
      <c r="BA654" s="3">
        <f t="shared" si="96"/>
        <v>91333</v>
      </c>
    </row>
    <row r="655" spans="1:53" x14ac:dyDescent="0.25">
      <c r="A655" s="1" t="s">
        <v>653</v>
      </c>
      <c r="B655" s="9" t="s">
        <v>2324</v>
      </c>
      <c r="C655" s="9" t="s">
        <v>1023</v>
      </c>
      <c r="D655" s="9" t="s">
        <v>2325</v>
      </c>
      <c r="E655" s="9" t="s">
        <v>1012</v>
      </c>
      <c r="F655" s="10">
        <v>44693</v>
      </c>
      <c r="G655" s="9" t="s">
        <v>1019</v>
      </c>
      <c r="I655" s="9" t="s">
        <v>1014</v>
      </c>
      <c r="J655" s="9" t="s">
        <v>1021</v>
      </c>
      <c r="K655" s="8" t="s">
        <v>1006</v>
      </c>
      <c r="L655" s="8" t="s">
        <v>1007</v>
      </c>
      <c r="M655" s="8" t="s">
        <v>2933</v>
      </c>
      <c r="N655" s="8" t="s">
        <v>2937</v>
      </c>
      <c r="O655" s="1" t="s">
        <v>2934</v>
      </c>
      <c r="P655">
        <v>30</v>
      </c>
      <c r="Q655">
        <v>30</v>
      </c>
      <c r="R655">
        <v>0</v>
      </c>
      <c r="S655">
        <f t="shared" si="98"/>
        <v>30</v>
      </c>
      <c r="T655" s="1" t="s">
        <v>2935</v>
      </c>
      <c r="U655" s="1" t="s">
        <v>2932</v>
      </c>
      <c r="V655" s="3">
        <f t="shared" si="99"/>
        <v>40000</v>
      </c>
      <c r="W655" s="3">
        <f t="shared" si="100"/>
        <v>16000</v>
      </c>
      <c r="X655" s="3">
        <f t="shared" si="92"/>
        <v>1250</v>
      </c>
      <c r="Y655" s="3">
        <f t="shared" si="93"/>
        <v>1600</v>
      </c>
      <c r="Z655" s="3">
        <f t="shared" si="94"/>
        <v>1800</v>
      </c>
      <c r="AA655" s="3">
        <v>0</v>
      </c>
      <c r="AB655" s="3">
        <f>ROUND(U655 - (V655+W655+X655+Y655) - (U655/Q655 * 2),0)</f>
        <v>34483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f>SUM(V655+W655+X655+Y655+AB655)</f>
        <v>93333</v>
      </c>
      <c r="AK655" s="3">
        <f>SUM(AJ655-AA655)</f>
        <v>93333</v>
      </c>
      <c r="AL655" s="3">
        <f>IF(V655&lt;=15000,V655*12%,1800)</f>
        <v>1800</v>
      </c>
      <c r="AM655" s="3">
        <v>0</v>
      </c>
      <c r="AN655" s="3">
        <f t="shared" si="95"/>
        <v>1800</v>
      </c>
      <c r="AO655" s="12">
        <v>200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3">
        <f t="shared" si="97"/>
        <v>200</v>
      </c>
      <c r="AV655" s="3">
        <f>SUM(AJ655 - AN655 - AU655)</f>
        <v>91333</v>
      </c>
      <c r="AW655" s="11">
        <v>0</v>
      </c>
      <c r="AX655" s="11">
        <v>0</v>
      </c>
      <c r="AY655" s="11">
        <v>0</v>
      </c>
      <c r="AZ655" s="11">
        <v>0</v>
      </c>
      <c r="BA655" s="3">
        <f t="shared" si="96"/>
        <v>91333</v>
      </c>
    </row>
    <row r="656" spans="1:53" x14ac:dyDescent="0.25">
      <c r="A656" s="1" t="s">
        <v>654</v>
      </c>
      <c r="B656" s="9" t="s">
        <v>1815</v>
      </c>
      <c r="C656" s="9" t="s">
        <v>1010</v>
      </c>
      <c r="D656" s="9" t="s">
        <v>2323</v>
      </c>
      <c r="E656" s="9" t="s">
        <v>1012</v>
      </c>
      <c r="F656" s="10">
        <v>44690</v>
      </c>
      <c r="G656" s="9" t="s">
        <v>1013</v>
      </c>
      <c r="I656" s="9" t="s">
        <v>1014</v>
      </c>
      <c r="J656" s="9" t="s">
        <v>1015</v>
      </c>
      <c r="K656" s="8" t="s">
        <v>1006</v>
      </c>
      <c r="L656" s="8" t="s">
        <v>1007</v>
      </c>
      <c r="M656" s="8" t="s">
        <v>2933</v>
      </c>
      <c r="N656" s="8" t="s">
        <v>2937</v>
      </c>
      <c r="O656" s="1" t="s">
        <v>2934</v>
      </c>
      <c r="P656">
        <v>30</v>
      </c>
      <c r="Q656">
        <v>30</v>
      </c>
      <c r="R656">
        <v>0</v>
      </c>
      <c r="S656">
        <f t="shared" si="98"/>
        <v>30</v>
      </c>
      <c r="T656" s="1" t="s">
        <v>2935</v>
      </c>
      <c r="U656" s="1" t="s">
        <v>2932</v>
      </c>
      <c r="V656" s="3">
        <f t="shared" si="99"/>
        <v>40000</v>
      </c>
      <c r="W656" s="3">
        <f t="shared" si="100"/>
        <v>16000</v>
      </c>
      <c r="X656" s="3">
        <f t="shared" si="92"/>
        <v>1250</v>
      </c>
      <c r="Y656" s="3">
        <f t="shared" si="93"/>
        <v>1600</v>
      </c>
      <c r="Z656" s="3">
        <f t="shared" si="94"/>
        <v>1800</v>
      </c>
      <c r="AA656" s="3">
        <v>0</v>
      </c>
      <c r="AB656" s="3">
        <f>ROUND(U656 - (V656+W656+X656+Y656) - (U656/Q656 * 2),0)</f>
        <v>34483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f>SUM(V656+W656+X656+Y656+AB656)</f>
        <v>93333</v>
      </c>
      <c r="AK656" s="3">
        <f>SUM(AJ656-AA656)</f>
        <v>93333</v>
      </c>
      <c r="AL656" s="3">
        <f>IF(V656&lt;=15000,V656*12%,1800)</f>
        <v>1800</v>
      </c>
      <c r="AM656" s="3">
        <v>0</v>
      </c>
      <c r="AN656" s="3">
        <f t="shared" si="95"/>
        <v>1800</v>
      </c>
      <c r="AO656" s="12">
        <v>200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3">
        <f t="shared" si="97"/>
        <v>200</v>
      </c>
      <c r="AV656" s="3">
        <f>SUM(AJ656 - AN656 - AU656)</f>
        <v>91333</v>
      </c>
      <c r="AW656" s="11">
        <v>0</v>
      </c>
      <c r="AX656" s="11">
        <v>0</v>
      </c>
      <c r="AY656" s="11">
        <v>0</v>
      </c>
      <c r="AZ656" s="11">
        <v>0</v>
      </c>
      <c r="BA656" s="3">
        <f t="shared" si="96"/>
        <v>91333</v>
      </c>
    </row>
    <row r="657" spans="1:53" x14ac:dyDescent="0.25">
      <c r="A657" s="1" t="s">
        <v>655</v>
      </c>
      <c r="B657" s="9" t="s">
        <v>1164</v>
      </c>
      <c r="C657" s="9" t="s">
        <v>1063</v>
      </c>
      <c r="D657" s="9" t="s">
        <v>2322</v>
      </c>
      <c r="E657" s="9" t="s">
        <v>1012</v>
      </c>
      <c r="F657" s="10">
        <v>44692</v>
      </c>
      <c r="G657" s="9" t="s">
        <v>1019</v>
      </c>
      <c r="I657" s="9" t="s">
        <v>1014</v>
      </c>
      <c r="J657" s="9" t="s">
        <v>1015</v>
      </c>
      <c r="K657" s="8" t="s">
        <v>1006</v>
      </c>
      <c r="L657" s="8" t="s">
        <v>1007</v>
      </c>
      <c r="M657" s="8" t="s">
        <v>2933</v>
      </c>
      <c r="N657" s="8" t="s">
        <v>2937</v>
      </c>
      <c r="O657" s="1" t="s">
        <v>2934</v>
      </c>
      <c r="P657">
        <v>30</v>
      </c>
      <c r="Q657">
        <v>30</v>
      </c>
      <c r="R657">
        <v>0</v>
      </c>
      <c r="S657">
        <f t="shared" si="98"/>
        <v>30</v>
      </c>
      <c r="T657" s="1" t="s">
        <v>2935</v>
      </c>
      <c r="U657" s="1" t="s">
        <v>2932</v>
      </c>
      <c r="V657" s="3">
        <f t="shared" si="99"/>
        <v>40000</v>
      </c>
      <c r="W657" s="3">
        <f t="shared" si="100"/>
        <v>16000</v>
      </c>
      <c r="X657" s="3">
        <f t="shared" si="92"/>
        <v>1250</v>
      </c>
      <c r="Y657" s="3">
        <f t="shared" si="93"/>
        <v>1600</v>
      </c>
      <c r="Z657" s="3">
        <f t="shared" si="94"/>
        <v>1800</v>
      </c>
      <c r="AA657" s="3">
        <v>0</v>
      </c>
      <c r="AB657" s="3">
        <f>ROUND(U657 - (V657+W657+X657+Y657) - (U657/Q657 * 2),0)</f>
        <v>34483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f>SUM(V657+W657+X657+Y657+AB657)</f>
        <v>93333</v>
      </c>
      <c r="AK657" s="3">
        <f>SUM(AJ657-AA657)</f>
        <v>93333</v>
      </c>
      <c r="AL657" s="3">
        <f>IF(V657&lt;=15000,V657*12%,1800)</f>
        <v>1800</v>
      </c>
      <c r="AM657" s="3">
        <v>0</v>
      </c>
      <c r="AN657" s="3">
        <f t="shared" si="95"/>
        <v>1800</v>
      </c>
      <c r="AO657" s="12">
        <v>200</v>
      </c>
      <c r="AP657" s="12">
        <v>0</v>
      </c>
      <c r="AQ657" s="12">
        <v>0</v>
      </c>
      <c r="AR657" s="12">
        <v>0</v>
      </c>
      <c r="AS657" s="12">
        <v>0</v>
      </c>
      <c r="AT657" s="12">
        <v>0</v>
      </c>
      <c r="AU657" s="3">
        <f t="shared" si="97"/>
        <v>200</v>
      </c>
      <c r="AV657" s="3">
        <f>SUM(AJ657 - AN657 - AU657)</f>
        <v>91333</v>
      </c>
      <c r="AW657" s="11">
        <v>0</v>
      </c>
      <c r="AX657" s="11">
        <v>0</v>
      </c>
      <c r="AY657" s="11">
        <v>0</v>
      </c>
      <c r="AZ657" s="11">
        <v>0</v>
      </c>
      <c r="BA657" s="3">
        <f t="shared" si="96"/>
        <v>91333</v>
      </c>
    </row>
    <row r="658" spans="1:53" x14ac:dyDescent="0.25">
      <c r="A658" s="1" t="s">
        <v>656</v>
      </c>
      <c r="B658" s="9" t="s">
        <v>1395</v>
      </c>
      <c r="C658" s="9" t="s">
        <v>1063</v>
      </c>
      <c r="D658" s="9" t="s">
        <v>2321</v>
      </c>
      <c r="E658" s="9" t="s">
        <v>1012</v>
      </c>
      <c r="F658" s="10">
        <v>44692</v>
      </c>
      <c r="G658" s="9" t="s">
        <v>1019</v>
      </c>
      <c r="I658" s="9" t="s">
        <v>1014</v>
      </c>
      <c r="J658" s="9" t="s">
        <v>1015</v>
      </c>
      <c r="K658" s="8" t="s">
        <v>1006</v>
      </c>
      <c r="L658" s="8" t="s">
        <v>1007</v>
      </c>
      <c r="M658" s="8" t="s">
        <v>2933</v>
      </c>
      <c r="N658" s="8" t="s">
        <v>2937</v>
      </c>
      <c r="O658" s="1" t="s">
        <v>2934</v>
      </c>
      <c r="P658">
        <v>30</v>
      </c>
      <c r="Q658">
        <v>30</v>
      </c>
      <c r="R658">
        <v>0</v>
      </c>
      <c r="S658">
        <f t="shared" si="98"/>
        <v>30</v>
      </c>
      <c r="T658" s="1" t="s">
        <v>2935</v>
      </c>
      <c r="U658" s="1" t="s">
        <v>2932</v>
      </c>
      <c r="V658" s="3">
        <f t="shared" si="99"/>
        <v>40000</v>
      </c>
      <c r="W658" s="3">
        <f t="shared" si="100"/>
        <v>16000</v>
      </c>
      <c r="X658" s="3">
        <f t="shared" si="92"/>
        <v>1250</v>
      </c>
      <c r="Y658" s="3">
        <f t="shared" si="93"/>
        <v>1600</v>
      </c>
      <c r="Z658" s="3">
        <f t="shared" si="94"/>
        <v>1800</v>
      </c>
      <c r="AA658" s="3">
        <v>0</v>
      </c>
      <c r="AB658" s="3">
        <f>ROUND(U658 - (V658+W658+X658+Y658) - (U658/Q658 * 2),0)</f>
        <v>34483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f>SUM(V658+W658+X658+Y658+AB658)</f>
        <v>93333</v>
      </c>
      <c r="AK658" s="3">
        <f>SUM(AJ658-AA658)</f>
        <v>93333</v>
      </c>
      <c r="AL658" s="3">
        <f>IF(V658&lt;=15000,V658*12%,1800)</f>
        <v>1800</v>
      </c>
      <c r="AM658" s="3">
        <v>0</v>
      </c>
      <c r="AN658" s="3">
        <f t="shared" si="95"/>
        <v>1800</v>
      </c>
      <c r="AO658" s="12">
        <v>200</v>
      </c>
      <c r="AP658" s="12">
        <v>0</v>
      </c>
      <c r="AQ658" s="12">
        <v>0</v>
      </c>
      <c r="AR658" s="12">
        <v>0</v>
      </c>
      <c r="AS658" s="12">
        <v>0</v>
      </c>
      <c r="AT658" s="12">
        <v>0</v>
      </c>
      <c r="AU658" s="3">
        <f t="shared" si="97"/>
        <v>200</v>
      </c>
      <c r="AV658" s="3">
        <f>SUM(AJ658 - AN658 - AU658)</f>
        <v>91333</v>
      </c>
      <c r="AW658" s="11">
        <v>0</v>
      </c>
      <c r="AX658" s="11">
        <v>0</v>
      </c>
      <c r="AY658" s="11">
        <v>0</v>
      </c>
      <c r="AZ658" s="11">
        <v>0</v>
      </c>
      <c r="BA658" s="3">
        <f t="shared" si="96"/>
        <v>91333</v>
      </c>
    </row>
    <row r="659" spans="1:53" x14ac:dyDescent="0.25">
      <c r="A659" s="1" t="s">
        <v>657</v>
      </c>
      <c r="B659" s="9" t="s">
        <v>2319</v>
      </c>
      <c r="C659" s="9" t="s">
        <v>1063</v>
      </c>
      <c r="D659" s="9" t="s">
        <v>2320</v>
      </c>
      <c r="E659" s="9" t="s">
        <v>1012</v>
      </c>
      <c r="F659" s="10">
        <v>44692</v>
      </c>
      <c r="G659" s="9" t="s">
        <v>1013</v>
      </c>
      <c r="I659" s="9" t="s">
        <v>1014</v>
      </c>
      <c r="J659" s="9" t="s">
        <v>1015</v>
      </c>
      <c r="K659" s="8" t="s">
        <v>1006</v>
      </c>
      <c r="L659" s="8" t="s">
        <v>1007</v>
      </c>
      <c r="M659" s="8" t="s">
        <v>2933</v>
      </c>
      <c r="N659" s="8" t="s">
        <v>2937</v>
      </c>
      <c r="O659" s="1" t="s">
        <v>2934</v>
      </c>
      <c r="P659">
        <v>30</v>
      </c>
      <c r="Q659">
        <v>30</v>
      </c>
      <c r="R659">
        <v>0</v>
      </c>
      <c r="S659">
        <f t="shared" si="98"/>
        <v>30</v>
      </c>
      <c r="T659" s="1" t="s">
        <v>2935</v>
      </c>
      <c r="U659" s="1" t="s">
        <v>2932</v>
      </c>
      <c r="V659" s="3">
        <f t="shared" si="99"/>
        <v>40000</v>
      </c>
      <c r="W659" s="3">
        <f t="shared" si="100"/>
        <v>16000</v>
      </c>
      <c r="X659" s="3">
        <f t="shared" si="92"/>
        <v>1250</v>
      </c>
      <c r="Y659" s="3">
        <f t="shared" si="93"/>
        <v>1600</v>
      </c>
      <c r="Z659" s="3">
        <f t="shared" si="94"/>
        <v>1800</v>
      </c>
      <c r="AA659" s="3">
        <v>0</v>
      </c>
      <c r="AB659" s="3">
        <f>ROUND(U659 - (V659+W659+X659+Y659) - (U659/Q659 * 2),0)</f>
        <v>34483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f>SUM(V659+W659+X659+Y659+AB659)</f>
        <v>93333</v>
      </c>
      <c r="AK659" s="3">
        <f>SUM(AJ659-AA659)</f>
        <v>93333</v>
      </c>
      <c r="AL659" s="3">
        <f>IF(V659&lt;=15000,V659*12%,1800)</f>
        <v>1800</v>
      </c>
      <c r="AM659" s="3">
        <v>0</v>
      </c>
      <c r="AN659" s="3">
        <f t="shared" si="95"/>
        <v>1800</v>
      </c>
      <c r="AO659" s="12">
        <v>200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3">
        <f t="shared" si="97"/>
        <v>200</v>
      </c>
      <c r="AV659" s="3">
        <f>SUM(AJ659 - AN659 - AU659)</f>
        <v>91333</v>
      </c>
      <c r="AW659" s="11">
        <v>0</v>
      </c>
      <c r="AX659" s="11">
        <v>0</v>
      </c>
      <c r="AY659" s="11">
        <v>0</v>
      </c>
      <c r="AZ659" s="11">
        <v>0</v>
      </c>
      <c r="BA659" s="3">
        <f t="shared" si="96"/>
        <v>91333</v>
      </c>
    </row>
    <row r="660" spans="1:53" x14ac:dyDescent="0.25">
      <c r="A660" s="1" t="s">
        <v>658</v>
      </c>
      <c r="B660" s="9" t="s">
        <v>2317</v>
      </c>
      <c r="C660" s="9" t="s">
        <v>1063</v>
      </c>
      <c r="D660" s="9" t="s">
        <v>2318</v>
      </c>
      <c r="E660" s="9" t="s">
        <v>1012</v>
      </c>
      <c r="F660" s="10">
        <v>44692</v>
      </c>
      <c r="G660" s="9" t="s">
        <v>1019</v>
      </c>
      <c r="I660" s="9" t="s">
        <v>1014</v>
      </c>
      <c r="J660" s="9" t="s">
        <v>1015</v>
      </c>
      <c r="K660" s="8" t="s">
        <v>1006</v>
      </c>
      <c r="L660" s="8" t="s">
        <v>1007</v>
      </c>
      <c r="M660" s="8" t="s">
        <v>2933</v>
      </c>
      <c r="N660" s="8" t="s">
        <v>2937</v>
      </c>
      <c r="O660" s="1" t="s">
        <v>2934</v>
      </c>
      <c r="P660">
        <v>30</v>
      </c>
      <c r="Q660">
        <v>30</v>
      </c>
      <c r="R660">
        <v>0</v>
      </c>
      <c r="S660">
        <f t="shared" si="98"/>
        <v>30</v>
      </c>
      <c r="T660" s="1" t="s">
        <v>2935</v>
      </c>
      <c r="U660" s="1" t="s">
        <v>2932</v>
      </c>
      <c r="V660" s="3">
        <f t="shared" si="99"/>
        <v>40000</v>
      </c>
      <c r="W660" s="3">
        <f t="shared" si="100"/>
        <v>16000</v>
      </c>
      <c r="X660" s="3">
        <f t="shared" si="92"/>
        <v>1250</v>
      </c>
      <c r="Y660" s="3">
        <f t="shared" si="93"/>
        <v>1600</v>
      </c>
      <c r="Z660" s="3">
        <f t="shared" si="94"/>
        <v>1800</v>
      </c>
      <c r="AA660" s="3">
        <v>0</v>
      </c>
      <c r="AB660" s="3">
        <f>ROUND(U660 - (V660+W660+X660+Y660) - (U660/Q660 * 2),0)</f>
        <v>34483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f>SUM(V660+W660+X660+Y660+AB660)</f>
        <v>93333</v>
      </c>
      <c r="AK660" s="3">
        <f>SUM(AJ660-AA660)</f>
        <v>93333</v>
      </c>
      <c r="AL660" s="3">
        <f>IF(V660&lt;=15000,V660*12%,1800)</f>
        <v>1800</v>
      </c>
      <c r="AM660" s="3">
        <v>0</v>
      </c>
      <c r="AN660" s="3">
        <f t="shared" si="95"/>
        <v>1800</v>
      </c>
      <c r="AO660" s="12">
        <v>200</v>
      </c>
      <c r="AP660" s="12">
        <v>0</v>
      </c>
      <c r="AQ660" s="12">
        <v>0</v>
      </c>
      <c r="AR660" s="12">
        <v>0</v>
      </c>
      <c r="AS660" s="12">
        <v>0</v>
      </c>
      <c r="AT660" s="12">
        <v>0</v>
      </c>
      <c r="AU660" s="3">
        <f t="shared" si="97"/>
        <v>200</v>
      </c>
      <c r="AV660" s="3">
        <f>SUM(AJ660 - AN660 - AU660)</f>
        <v>91333</v>
      </c>
      <c r="AW660" s="11">
        <v>0</v>
      </c>
      <c r="AX660" s="11">
        <v>0</v>
      </c>
      <c r="AY660" s="11">
        <v>0</v>
      </c>
      <c r="AZ660" s="11">
        <v>0</v>
      </c>
      <c r="BA660" s="3">
        <f t="shared" si="96"/>
        <v>91333</v>
      </c>
    </row>
    <row r="661" spans="1:53" x14ac:dyDescent="0.25">
      <c r="A661" s="1" t="s">
        <v>659</v>
      </c>
      <c r="B661" s="9" t="s">
        <v>2157</v>
      </c>
      <c r="C661" s="9" t="s">
        <v>2315</v>
      </c>
      <c r="D661" s="9" t="s">
        <v>2316</v>
      </c>
      <c r="E661" s="9" t="s">
        <v>1008</v>
      </c>
      <c r="F661" s="10">
        <v>44706</v>
      </c>
      <c r="G661" s="9" t="s">
        <v>1013</v>
      </c>
      <c r="I661" s="9" t="s">
        <v>1042</v>
      </c>
      <c r="J661" s="9" t="s">
        <v>1052</v>
      </c>
      <c r="K661" s="8" t="s">
        <v>1006</v>
      </c>
      <c r="L661" s="8" t="s">
        <v>1007</v>
      </c>
      <c r="M661" s="8" t="s">
        <v>2933</v>
      </c>
      <c r="N661" s="8" t="s">
        <v>2937</v>
      </c>
      <c r="O661" s="1" t="s">
        <v>2934</v>
      </c>
      <c r="P661">
        <v>30</v>
      </c>
      <c r="Q661">
        <v>30</v>
      </c>
      <c r="R661">
        <v>0</v>
      </c>
      <c r="S661">
        <f t="shared" si="98"/>
        <v>30</v>
      </c>
      <c r="T661" s="1" t="s">
        <v>2935</v>
      </c>
      <c r="U661" s="1" t="s">
        <v>2932</v>
      </c>
      <c r="V661" s="3">
        <f t="shared" si="99"/>
        <v>40000</v>
      </c>
      <c r="W661" s="3">
        <f t="shared" si="100"/>
        <v>16000</v>
      </c>
      <c r="X661" s="3">
        <f t="shared" si="92"/>
        <v>1250</v>
      </c>
      <c r="Y661" s="3">
        <f t="shared" si="93"/>
        <v>1600</v>
      </c>
      <c r="Z661" s="3">
        <f t="shared" si="94"/>
        <v>1800</v>
      </c>
      <c r="AA661" s="3">
        <v>0</v>
      </c>
      <c r="AB661" s="3">
        <f>ROUND(U661 - (V661+W661+X661+Y661) - (U661/Q661 * 2),0)</f>
        <v>34483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f>SUM(V661+W661+X661+Y661+AB661)</f>
        <v>93333</v>
      </c>
      <c r="AK661" s="3">
        <f>SUM(AJ661-AA661)</f>
        <v>93333</v>
      </c>
      <c r="AL661" s="3">
        <f>IF(V661&lt;=15000,V661*12%,1800)</f>
        <v>1800</v>
      </c>
      <c r="AM661" s="3">
        <v>0</v>
      </c>
      <c r="AN661" s="3">
        <f t="shared" si="95"/>
        <v>1800</v>
      </c>
      <c r="AO661" s="12">
        <v>200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3">
        <f t="shared" si="97"/>
        <v>200</v>
      </c>
      <c r="AV661" s="3">
        <f>SUM(AJ661 - AN661 - AU661)</f>
        <v>91333</v>
      </c>
      <c r="AW661" s="11">
        <v>0</v>
      </c>
      <c r="AX661" s="11">
        <v>0</v>
      </c>
      <c r="AY661" s="11">
        <v>0</v>
      </c>
      <c r="AZ661" s="11">
        <v>0</v>
      </c>
      <c r="BA661" s="3">
        <f t="shared" si="96"/>
        <v>91333</v>
      </c>
    </row>
    <row r="662" spans="1:53" x14ac:dyDescent="0.25">
      <c r="A662" s="1" t="s">
        <v>660</v>
      </c>
      <c r="B662" s="9" t="s">
        <v>2313</v>
      </c>
      <c r="C662" s="9" t="s">
        <v>1115</v>
      </c>
      <c r="D662" s="9" t="s">
        <v>2314</v>
      </c>
      <c r="E662" s="9" t="s">
        <v>1008</v>
      </c>
      <c r="F662" s="10">
        <v>44706</v>
      </c>
      <c r="G662" s="9" t="s">
        <v>1019</v>
      </c>
      <c r="I662" s="9" t="s">
        <v>1035</v>
      </c>
      <c r="J662" s="9" t="s">
        <v>1048</v>
      </c>
      <c r="K662" s="8" t="s">
        <v>1006</v>
      </c>
      <c r="L662" s="8" t="s">
        <v>1007</v>
      </c>
      <c r="M662" s="8" t="s">
        <v>2933</v>
      </c>
      <c r="N662" s="8" t="s">
        <v>2937</v>
      </c>
      <c r="O662" s="1" t="s">
        <v>2934</v>
      </c>
      <c r="P662">
        <v>30</v>
      </c>
      <c r="Q662">
        <v>30</v>
      </c>
      <c r="R662">
        <v>0</v>
      </c>
      <c r="S662">
        <f t="shared" si="98"/>
        <v>30</v>
      </c>
      <c r="T662" s="1" t="s">
        <v>2935</v>
      </c>
      <c r="U662" s="1" t="s">
        <v>2932</v>
      </c>
      <c r="V662" s="3">
        <f t="shared" si="99"/>
        <v>40000</v>
      </c>
      <c r="W662" s="3">
        <f t="shared" si="100"/>
        <v>16000</v>
      </c>
      <c r="X662" s="3">
        <f t="shared" si="92"/>
        <v>1250</v>
      </c>
      <c r="Y662" s="3">
        <f t="shared" si="93"/>
        <v>1600</v>
      </c>
      <c r="Z662" s="3">
        <f t="shared" si="94"/>
        <v>1800</v>
      </c>
      <c r="AA662" s="3">
        <v>0</v>
      </c>
      <c r="AB662" s="3">
        <f>ROUND(U662 - (V662+W662+X662+Y662) - (U662/Q662 * 2),0)</f>
        <v>34483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f>SUM(V662+W662+X662+Y662+AB662)</f>
        <v>93333</v>
      </c>
      <c r="AK662" s="3">
        <f>SUM(AJ662-AA662)</f>
        <v>93333</v>
      </c>
      <c r="AL662" s="3">
        <f>IF(V662&lt;=15000,V662*12%,1800)</f>
        <v>1800</v>
      </c>
      <c r="AM662" s="3">
        <v>0</v>
      </c>
      <c r="AN662" s="3">
        <f t="shared" si="95"/>
        <v>1800</v>
      </c>
      <c r="AO662" s="12">
        <v>200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3">
        <f t="shared" si="97"/>
        <v>200</v>
      </c>
      <c r="AV662" s="3">
        <f>SUM(AJ662 - AN662 - AU662)</f>
        <v>91333</v>
      </c>
      <c r="AW662" s="11">
        <v>0</v>
      </c>
      <c r="AX662" s="11">
        <v>0</v>
      </c>
      <c r="AY662" s="11">
        <v>0</v>
      </c>
      <c r="AZ662" s="11">
        <v>0</v>
      </c>
      <c r="BA662" s="3">
        <f t="shared" si="96"/>
        <v>91333</v>
      </c>
    </row>
    <row r="663" spans="1:53" x14ac:dyDescent="0.25">
      <c r="A663" s="1" t="s">
        <v>661</v>
      </c>
      <c r="B663" s="9" t="s">
        <v>2311</v>
      </c>
      <c r="C663" s="9" t="s">
        <v>1063</v>
      </c>
      <c r="D663" s="9" t="s">
        <v>2312</v>
      </c>
      <c r="E663" s="9" t="s">
        <v>1012</v>
      </c>
      <c r="F663" s="10">
        <v>44700</v>
      </c>
      <c r="G663" s="9" t="s">
        <v>1019</v>
      </c>
      <c r="I663" s="9" t="s">
        <v>1014</v>
      </c>
      <c r="J663" s="9" t="s">
        <v>1015</v>
      </c>
      <c r="K663" s="8" t="s">
        <v>1006</v>
      </c>
      <c r="L663" s="8" t="s">
        <v>1007</v>
      </c>
      <c r="M663" s="8" t="s">
        <v>2933</v>
      </c>
      <c r="N663" s="8" t="s">
        <v>2937</v>
      </c>
      <c r="O663" s="1" t="s">
        <v>2934</v>
      </c>
      <c r="P663">
        <v>30</v>
      </c>
      <c r="Q663">
        <v>30</v>
      </c>
      <c r="R663">
        <v>0</v>
      </c>
      <c r="S663">
        <f t="shared" si="98"/>
        <v>30</v>
      </c>
      <c r="T663" s="1" t="s">
        <v>2935</v>
      </c>
      <c r="U663" s="1" t="s">
        <v>2932</v>
      </c>
      <c r="V663" s="3">
        <f t="shared" si="99"/>
        <v>40000</v>
      </c>
      <c r="W663" s="3">
        <f t="shared" si="100"/>
        <v>16000</v>
      </c>
      <c r="X663" s="3">
        <f t="shared" si="92"/>
        <v>1250</v>
      </c>
      <c r="Y663" s="3">
        <f t="shared" si="93"/>
        <v>1600</v>
      </c>
      <c r="Z663" s="3">
        <f t="shared" si="94"/>
        <v>1800</v>
      </c>
      <c r="AA663" s="3">
        <v>0</v>
      </c>
      <c r="AB663" s="3">
        <f>ROUND(U663 - (V663+W663+X663+Y663) - (U663/Q663 * 2),0)</f>
        <v>34483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f>SUM(V663+W663+X663+Y663+AB663)</f>
        <v>93333</v>
      </c>
      <c r="AK663" s="3">
        <f>SUM(AJ663-AA663)</f>
        <v>93333</v>
      </c>
      <c r="AL663" s="3">
        <f>IF(V663&lt;=15000,V663*12%,1800)</f>
        <v>1800</v>
      </c>
      <c r="AM663" s="3">
        <v>0</v>
      </c>
      <c r="AN663" s="3">
        <f t="shared" si="95"/>
        <v>1800</v>
      </c>
      <c r="AO663" s="12">
        <v>200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3">
        <f t="shared" si="97"/>
        <v>200</v>
      </c>
      <c r="AV663" s="3">
        <f>SUM(AJ663 - AN663 - AU663)</f>
        <v>91333</v>
      </c>
      <c r="AW663" s="11">
        <v>0</v>
      </c>
      <c r="AX663" s="11">
        <v>0</v>
      </c>
      <c r="AY663" s="11">
        <v>0</v>
      </c>
      <c r="AZ663" s="11">
        <v>0</v>
      </c>
      <c r="BA663" s="3">
        <f t="shared" si="96"/>
        <v>91333</v>
      </c>
    </row>
    <row r="664" spans="1:53" x14ac:dyDescent="0.25">
      <c r="A664" s="1" t="s">
        <v>662</v>
      </c>
      <c r="B664" s="9" t="s">
        <v>2310</v>
      </c>
      <c r="C664" s="9" t="s">
        <v>1063</v>
      </c>
      <c r="D664" s="9">
        <v>0</v>
      </c>
      <c r="E664" s="9" t="s">
        <v>1012</v>
      </c>
      <c r="F664" s="10">
        <v>44704</v>
      </c>
      <c r="G664" s="9" t="s">
        <v>1013</v>
      </c>
      <c r="I664" s="9" t="s">
        <v>1014</v>
      </c>
      <c r="J664" s="9" t="s">
        <v>1015</v>
      </c>
      <c r="K664" s="8" t="s">
        <v>1006</v>
      </c>
      <c r="L664" s="8" t="s">
        <v>1007</v>
      </c>
      <c r="M664" s="8" t="s">
        <v>2933</v>
      </c>
      <c r="N664" s="8" t="s">
        <v>2937</v>
      </c>
      <c r="O664" s="1" t="s">
        <v>2934</v>
      </c>
      <c r="P664">
        <v>30</v>
      </c>
      <c r="Q664">
        <v>30</v>
      </c>
      <c r="R664">
        <v>0</v>
      </c>
      <c r="S664">
        <f t="shared" si="98"/>
        <v>30</v>
      </c>
      <c r="T664" s="1" t="s">
        <v>2935</v>
      </c>
      <c r="U664" s="1" t="s">
        <v>2932</v>
      </c>
      <c r="V664" s="3">
        <f t="shared" si="99"/>
        <v>40000</v>
      </c>
      <c r="W664" s="3">
        <f t="shared" si="100"/>
        <v>16000</v>
      </c>
      <c r="X664" s="3">
        <f t="shared" si="92"/>
        <v>1250</v>
      </c>
      <c r="Y664" s="3">
        <f t="shared" si="93"/>
        <v>1600</v>
      </c>
      <c r="Z664" s="3">
        <f t="shared" si="94"/>
        <v>1800</v>
      </c>
      <c r="AA664" s="3">
        <v>0</v>
      </c>
      <c r="AB664" s="3">
        <f>ROUND(U664 - (V664+W664+X664+Y664) - (U664/Q664 * 2),0)</f>
        <v>34483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f>SUM(V664+W664+X664+Y664+AB664)</f>
        <v>93333</v>
      </c>
      <c r="AK664" s="3">
        <f>SUM(AJ664-AA664)</f>
        <v>93333</v>
      </c>
      <c r="AL664" s="3">
        <f>IF(V664&lt;=15000,V664*12%,1800)</f>
        <v>1800</v>
      </c>
      <c r="AM664" s="3">
        <v>0</v>
      </c>
      <c r="AN664" s="3">
        <f t="shared" si="95"/>
        <v>1800</v>
      </c>
      <c r="AO664" s="12">
        <v>200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3">
        <f t="shared" si="97"/>
        <v>200</v>
      </c>
      <c r="AV664" s="3">
        <f>SUM(AJ664 - AN664 - AU664)</f>
        <v>91333</v>
      </c>
      <c r="AW664" s="11">
        <v>0</v>
      </c>
      <c r="AX664" s="11">
        <v>0</v>
      </c>
      <c r="AY664" s="11">
        <v>0</v>
      </c>
      <c r="AZ664" s="11">
        <v>0</v>
      </c>
      <c r="BA664" s="3">
        <f t="shared" si="96"/>
        <v>91333</v>
      </c>
    </row>
    <row r="665" spans="1:53" x14ac:dyDescent="0.25">
      <c r="A665" s="1" t="s">
        <v>663</v>
      </c>
      <c r="B665" s="9" t="s">
        <v>2308</v>
      </c>
      <c r="C665" s="9" t="s">
        <v>1063</v>
      </c>
      <c r="D665" s="9" t="s">
        <v>2309</v>
      </c>
      <c r="E665" s="9" t="s">
        <v>1012</v>
      </c>
      <c r="F665" s="10">
        <v>44704</v>
      </c>
      <c r="G665" s="9" t="s">
        <v>1019</v>
      </c>
      <c r="I665" s="9" t="s">
        <v>1014</v>
      </c>
      <c r="J665" s="9" t="s">
        <v>1015</v>
      </c>
      <c r="K665" s="8" t="s">
        <v>1006</v>
      </c>
      <c r="L665" s="8" t="s">
        <v>1007</v>
      </c>
      <c r="M665" s="8" t="s">
        <v>2933</v>
      </c>
      <c r="N665" s="8" t="s">
        <v>2937</v>
      </c>
      <c r="O665" s="1" t="s">
        <v>2934</v>
      </c>
      <c r="P665">
        <v>30</v>
      </c>
      <c r="Q665">
        <v>30</v>
      </c>
      <c r="R665">
        <v>0</v>
      </c>
      <c r="S665">
        <f t="shared" si="98"/>
        <v>30</v>
      </c>
      <c r="T665" s="1" t="s">
        <v>2935</v>
      </c>
      <c r="U665" s="1" t="s">
        <v>2932</v>
      </c>
      <c r="V665" s="3">
        <f t="shared" si="99"/>
        <v>40000</v>
      </c>
      <c r="W665" s="3">
        <f t="shared" si="100"/>
        <v>16000</v>
      </c>
      <c r="X665" s="3">
        <f t="shared" si="92"/>
        <v>1250</v>
      </c>
      <c r="Y665" s="3">
        <f t="shared" si="93"/>
        <v>1600</v>
      </c>
      <c r="Z665" s="3">
        <f t="shared" si="94"/>
        <v>1800</v>
      </c>
      <c r="AA665" s="3">
        <v>0</v>
      </c>
      <c r="AB665" s="3">
        <f>ROUND(U665 - (V665+W665+X665+Y665) - (U665/Q665 * 2),0)</f>
        <v>34483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f>SUM(V665+W665+X665+Y665+AB665)</f>
        <v>93333</v>
      </c>
      <c r="AK665" s="3">
        <f>SUM(AJ665-AA665)</f>
        <v>93333</v>
      </c>
      <c r="AL665" s="3">
        <f>IF(V665&lt;=15000,V665*12%,1800)</f>
        <v>1800</v>
      </c>
      <c r="AM665" s="3">
        <v>0</v>
      </c>
      <c r="AN665" s="3">
        <f t="shared" si="95"/>
        <v>1800</v>
      </c>
      <c r="AO665" s="12">
        <v>200</v>
      </c>
      <c r="AP665" s="12">
        <v>0</v>
      </c>
      <c r="AQ665" s="12">
        <v>0</v>
      </c>
      <c r="AR665" s="12">
        <v>0</v>
      </c>
      <c r="AS665" s="12">
        <v>0</v>
      </c>
      <c r="AT665" s="12">
        <v>0</v>
      </c>
      <c r="AU665" s="3">
        <f t="shared" si="97"/>
        <v>200</v>
      </c>
      <c r="AV665" s="3">
        <f>SUM(AJ665 - AN665 - AU665)</f>
        <v>91333</v>
      </c>
      <c r="AW665" s="11">
        <v>0</v>
      </c>
      <c r="AX665" s="11">
        <v>0</v>
      </c>
      <c r="AY665" s="11">
        <v>0</v>
      </c>
      <c r="AZ665" s="11">
        <v>0</v>
      </c>
      <c r="BA665" s="3">
        <f t="shared" si="96"/>
        <v>91333</v>
      </c>
    </row>
    <row r="666" spans="1:53" x14ac:dyDescent="0.25">
      <c r="A666" s="1" t="s">
        <v>664</v>
      </c>
      <c r="B666" s="9" t="s">
        <v>2306</v>
      </c>
      <c r="C666" s="9" t="s">
        <v>1573</v>
      </c>
      <c r="D666" s="9" t="s">
        <v>2307</v>
      </c>
      <c r="E666" s="9" t="s">
        <v>1012</v>
      </c>
      <c r="F666" s="10">
        <v>44711</v>
      </c>
      <c r="G666" s="9" t="s">
        <v>1013</v>
      </c>
      <c r="I666" s="9" t="s">
        <v>1042</v>
      </c>
      <c r="J666" s="9" t="s">
        <v>1031</v>
      </c>
      <c r="K666" s="8" t="s">
        <v>1006</v>
      </c>
      <c r="L666" s="8" t="s">
        <v>1007</v>
      </c>
      <c r="M666" s="8" t="s">
        <v>2933</v>
      </c>
      <c r="N666" s="8" t="s">
        <v>2937</v>
      </c>
      <c r="O666" s="1" t="s">
        <v>2934</v>
      </c>
      <c r="P666">
        <v>30</v>
      </c>
      <c r="Q666">
        <v>30</v>
      </c>
      <c r="R666">
        <v>0</v>
      </c>
      <c r="S666">
        <f t="shared" si="98"/>
        <v>30</v>
      </c>
      <c r="T666" s="1" t="s">
        <v>2935</v>
      </c>
      <c r="U666" s="1" t="s">
        <v>2932</v>
      </c>
      <c r="V666" s="3">
        <f t="shared" si="99"/>
        <v>40000</v>
      </c>
      <c r="W666" s="3">
        <f t="shared" si="100"/>
        <v>16000</v>
      </c>
      <c r="X666" s="3">
        <f t="shared" si="92"/>
        <v>1250</v>
      </c>
      <c r="Y666" s="3">
        <f t="shared" si="93"/>
        <v>1600</v>
      </c>
      <c r="Z666" s="3">
        <f t="shared" si="94"/>
        <v>1800</v>
      </c>
      <c r="AA666" s="3">
        <v>0</v>
      </c>
      <c r="AB666" s="3">
        <f>ROUND(U666 - (V666+W666+X666+Y666) - (U666/Q666 * 2),0)</f>
        <v>34483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f>SUM(V666+W666+X666+Y666+AB666)</f>
        <v>93333</v>
      </c>
      <c r="AK666" s="3">
        <f>SUM(AJ666-AA666)</f>
        <v>93333</v>
      </c>
      <c r="AL666" s="3">
        <f>IF(V666&lt;=15000,V666*12%,1800)</f>
        <v>1800</v>
      </c>
      <c r="AM666" s="3">
        <v>0</v>
      </c>
      <c r="AN666" s="3">
        <f t="shared" si="95"/>
        <v>1800</v>
      </c>
      <c r="AO666" s="12">
        <v>200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3">
        <f t="shared" si="97"/>
        <v>200</v>
      </c>
      <c r="AV666" s="3">
        <f>SUM(AJ666 - AN666 - AU666)</f>
        <v>91333</v>
      </c>
      <c r="AW666" s="11">
        <v>0</v>
      </c>
      <c r="AX666" s="11">
        <v>0</v>
      </c>
      <c r="AY666" s="11">
        <v>0</v>
      </c>
      <c r="AZ666" s="11">
        <v>0</v>
      </c>
      <c r="BA666" s="3">
        <f t="shared" si="96"/>
        <v>91333</v>
      </c>
    </row>
    <row r="667" spans="1:53" x14ac:dyDescent="0.25">
      <c r="A667" s="1" t="s">
        <v>665</v>
      </c>
      <c r="B667" s="9" t="s">
        <v>2305</v>
      </c>
      <c r="C667" s="9" t="s">
        <v>1063</v>
      </c>
      <c r="D667" s="9">
        <v>0</v>
      </c>
      <c r="E667" s="9" t="s">
        <v>1012</v>
      </c>
      <c r="F667" s="10">
        <v>44706</v>
      </c>
      <c r="G667" s="9" t="s">
        <v>1013</v>
      </c>
      <c r="I667" s="9" t="s">
        <v>1014</v>
      </c>
      <c r="J667" s="9" t="s">
        <v>1015</v>
      </c>
      <c r="K667" s="8" t="s">
        <v>1006</v>
      </c>
      <c r="L667" s="8" t="s">
        <v>1007</v>
      </c>
      <c r="M667" s="8" t="s">
        <v>2933</v>
      </c>
      <c r="N667" s="8" t="s">
        <v>2937</v>
      </c>
      <c r="O667" s="1" t="s">
        <v>2934</v>
      </c>
      <c r="P667">
        <v>30</v>
      </c>
      <c r="Q667">
        <v>30</v>
      </c>
      <c r="R667">
        <v>0</v>
      </c>
      <c r="S667">
        <f t="shared" si="98"/>
        <v>30</v>
      </c>
      <c r="T667" s="1" t="s">
        <v>2935</v>
      </c>
      <c r="U667" s="1" t="s">
        <v>2932</v>
      </c>
      <c r="V667" s="3">
        <f t="shared" si="99"/>
        <v>40000</v>
      </c>
      <c r="W667" s="3">
        <f t="shared" si="100"/>
        <v>16000</v>
      </c>
      <c r="X667" s="3">
        <f t="shared" si="92"/>
        <v>1250</v>
      </c>
      <c r="Y667" s="3">
        <f t="shared" si="93"/>
        <v>1600</v>
      </c>
      <c r="Z667" s="3">
        <f t="shared" si="94"/>
        <v>1800</v>
      </c>
      <c r="AA667" s="3">
        <v>0</v>
      </c>
      <c r="AB667" s="3">
        <f>ROUND(U667 - (V667+W667+X667+Y667) - (U667/Q667 * 2),0)</f>
        <v>34483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f>SUM(V667+W667+X667+Y667+AB667)</f>
        <v>93333</v>
      </c>
      <c r="AK667" s="3">
        <f>SUM(AJ667-AA667)</f>
        <v>93333</v>
      </c>
      <c r="AL667" s="3">
        <f>IF(V667&lt;=15000,V667*12%,1800)</f>
        <v>1800</v>
      </c>
      <c r="AM667" s="3">
        <v>0</v>
      </c>
      <c r="AN667" s="3">
        <f t="shared" si="95"/>
        <v>1800</v>
      </c>
      <c r="AO667" s="12">
        <v>200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3">
        <f t="shared" si="97"/>
        <v>200</v>
      </c>
      <c r="AV667" s="3">
        <f>SUM(AJ667 - AN667 - AU667)</f>
        <v>91333</v>
      </c>
      <c r="AW667" s="11">
        <v>0</v>
      </c>
      <c r="AX667" s="11">
        <v>0</v>
      </c>
      <c r="AY667" s="11">
        <v>0</v>
      </c>
      <c r="AZ667" s="11">
        <v>0</v>
      </c>
      <c r="BA667" s="3">
        <f t="shared" si="96"/>
        <v>91333</v>
      </c>
    </row>
    <row r="668" spans="1:53" x14ac:dyDescent="0.25">
      <c r="A668" s="1" t="s">
        <v>666</v>
      </c>
      <c r="B668" s="9" t="s">
        <v>2303</v>
      </c>
      <c r="C668" s="9" t="s">
        <v>1010</v>
      </c>
      <c r="D668" s="9" t="s">
        <v>2304</v>
      </c>
      <c r="E668" s="9" t="s">
        <v>1012</v>
      </c>
      <c r="F668" s="10">
        <v>44707</v>
      </c>
      <c r="G668" s="9" t="s">
        <v>1019</v>
      </c>
      <c r="I668" s="9" t="s">
        <v>1014</v>
      </c>
      <c r="J668" s="9" t="s">
        <v>1015</v>
      </c>
      <c r="K668" s="8" t="s">
        <v>1006</v>
      </c>
      <c r="L668" s="8" t="s">
        <v>1007</v>
      </c>
      <c r="M668" s="8" t="s">
        <v>2933</v>
      </c>
      <c r="N668" s="8" t="s">
        <v>2937</v>
      </c>
      <c r="O668" s="1" t="s">
        <v>2934</v>
      </c>
      <c r="P668">
        <v>30</v>
      </c>
      <c r="Q668">
        <v>30</v>
      </c>
      <c r="R668">
        <v>0</v>
      </c>
      <c r="S668">
        <f t="shared" si="98"/>
        <v>30</v>
      </c>
      <c r="T668" s="1" t="s">
        <v>2935</v>
      </c>
      <c r="U668" s="1" t="s">
        <v>2932</v>
      </c>
      <c r="V668" s="3">
        <f t="shared" si="99"/>
        <v>40000</v>
      </c>
      <c r="W668" s="3">
        <f t="shared" si="100"/>
        <v>16000</v>
      </c>
      <c r="X668" s="3">
        <f t="shared" si="92"/>
        <v>1250</v>
      </c>
      <c r="Y668" s="3">
        <f t="shared" si="93"/>
        <v>1600</v>
      </c>
      <c r="Z668" s="3">
        <f t="shared" si="94"/>
        <v>1800</v>
      </c>
      <c r="AA668" s="3">
        <v>0</v>
      </c>
      <c r="AB668" s="3">
        <f>ROUND(U668 - (V668+W668+X668+Y668) - (U668/Q668 * 2),0)</f>
        <v>34483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f>SUM(V668+W668+X668+Y668+AB668)</f>
        <v>93333</v>
      </c>
      <c r="AK668" s="3">
        <f>SUM(AJ668-AA668)</f>
        <v>93333</v>
      </c>
      <c r="AL668" s="3">
        <f>IF(V668&lt;=15000,V668*12%,1800)</f>
        <v>1800</v>
      </c>
      <c r="AM668" s="3">
        <v>0</v>
      </c>
      <c r="AN668" s="3">
        <f t="shared" si="95"/>
        <v>1800</v>
      </c>
      <c r="AO668" s="12">
        <v>200</v>
      </c>
      <c r="AP668" s="12">
        <v>0</v>
      </c>
      <c r="AQ668" s="12">
        <v>0</v>
      </c>
      <c r="AR668" s="12">
        <v>0</v>
      </c>
      <c r="AS668" s="12">
        <v>0</v>
      </c>
      <c r="AT668" s="12">
        <v>0</v>
      </c>
      <c r="AU668" s="3">
        <f t="shared" si="97"/>
        <v>200</v>
      </c>
      <c r="AV668" s="3">
        <f>SUM(AJ668 - AN668 - AU668)</f>
        <v>91333</v>
      </c>
      <c r="AW668" s="11">
        <v>0</v>
      </c>
      <c r="AX668" s="11">
        <v>0</v>
      </c>
      <c r="AY668" s="11">
        <v>0</v>
      </c>
      <c r="AZ668" s="11">
        <v>0</v>
      </c>
      <c r="BA668" s="3">
        <f t="shared" si="96"/>
        <v>91333</v>
      </c>
    </row>
    <row r="669" spans="1:53" x14ac:dyDescent="0.25">
      <c r="A669" s="1" t="s">
        <v>667</v>
      </c>
      <c r="B669" s="9" t="s">
        <v>2301</v>
      </c>
      <c r="C669" s="9" t="s">
        <v>1173</v>
      </c>
      <c r="D669" s="9" t="s">
        <v>2302</v>
      </c>
      <c r="E669" s="9" t="s">
        <v>1008</v>
      </c>
      <c r="F669" s="10">
        <v>44713</v>
      </c>
      <c r="G669" s="9" t="s">
        <v>1013</v>
      </c>
      <c r="I669" s="9" t="s">
        <v>1020</v>
      </c>
      <c r="J669" s="9" t="s">
        <v>1171</v>
      </c>
      <c r="K669" s="8" t="s">
        <v>1006</v>
      </c>
      <c r="L669" s="8" t="s">
        <v>1007</v>
      </c>
      <c r="M669" s="8" t="s">
        <v>2933</v>
      </c>
      <c r="N669" s="8" t="s">
        <v>2937</v>
      </c>
      <c r="O669" s="1" t="s">
        <v>2934</v>
      </c>
      <c r="P669">
        <v>30</v>
      </c>
      <c r="Q669">
        <v>30</v>
      </c>
      <c r="R669">
        <v>0</v>
      </c>
      <c r="S669">
        <f t="shared" si="98"/>
        <v>30</v>
      </c>
      <c r="T669" s="1" t="s">
        <v>2935</v>
      </c>
      <c r="U669" s="1" t="s">
        <v>2932</v>
      </c>
      <c r="V669" s="3">
        <f t="shared" si="99"/>
        <v>40000</v>
      </c>
      <c r="W669" s="3">
        <f t="shared" si="100"/>
        <v>16000</v>
      </c>
      <c r="X669" s="3">
        <f t="shared" si="92"/>
        <v>1250</v>
      </c>
      <c r="Y669" s="3">
        <f t="shared" si="93"/>
        <v>1600</v>
      </c>
      <c r="Z669" s="3">
        <f t="shared" si="94"/>
        <v>1800</v>
      </c>
      <c r="AA669" s="3">
        <v>0</v>
      </c>
      <c r="AB669" s="3">
        <f>ROUND(U669 - (V669+W669+X669+Y669) - (U669/Q669 * 2),0)</f>
        <v>34483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f>SUM(V669+W669+X669+Y669+AB669)</f>
        <v>93333</v>
      </c>
      <c r="AK669" s="3">
        <f>SUM(AJ669-AA669)</f>
        <v>93333</v>
      </c>
      <c r="AL669" s="3">
        <f>IF(V669&lt;=15000,V669*12%,1800)</f>
        <v>1800</v>
      </c>
      <c r="AM669" s="3">
        <v>0</v>
      </c>
      <c r="AN669" s="3">
        <f t="shared" si="95"/>
        <v>1800</v>
      </c>
      <c r="AO669" s="12">
        <v>200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3">
        <f t="shared" si="97"/>
        <v>200</v>
      </c>
      <c r="AV669" s="3">
        <f>SUM(AJ669 - AN669 - AU669)</f>
        <v>91333</v>
      </c>
      <c r="AW669" s="11">
        <v>0</v>
      </c>
      <c r="AX669" s="11">
        <v>0</v>
      </c>
      <c r="AY669" s="11">
        <v>0</v>
      </c>
      <c r="AZ669" s="11">
        <v>0</v>
      </c>
      <c r="BA669" s="3">
        <f t="shared" si="96"/>
        <v>91333</v>
      </c>
    </row>
    <row r="670" spans="1:53" x14ac:dyDescent="0.25">
      <c r="A670" s="1" t="s">
        <v>668</v>
      </c>
      <c r="B670" s="9" t="s">
        <v>1865</v>
      </c>
      <c r="C670" s="9" t="s">
        <v>2299</v>
      </c>
      <c r="D670" s="9" t="s">
        <v>2300</v>
      </c>
      <c r="E670" s="9" t="s">
        <v>1012</v>
      </c>
      <c r="F670" s="10">
        <v>44713</v>
      </c>
      <c r="G670" s="9" t="s">
        <v>1013</v>
      </c>
      <c r="I670" s="9" t="s">
        <v>1014</v>
      </c>
      <c r="J670" s="9" t="s">
        <v>1307</v>
      </c>
      <c r="K670" s="8" t="s">
        <v>1006</v>
      </c>
      <c r="L670" s="8" t="s">
        <v>1007</v>
      </c>
      <c r="M670" s="8" t="s">
        <v>2933</v>
      </c>
      <c r="N670" s="8" t="s">
        <v>2937</v>
      </c>
      <c r="O670" s="1" t="s">
        <v>2934</v>
      </c>
      <c r="P670">
        <v>30</v>
      </c>
      <c r="Q670">
        <v>30</v>
      </c>
      <c r="R670">
        <v>0</v>
      </c>
      <c r="S670">
        <f t="shared" si="98"/>
        <v>30</v>
      </c>
      <c r="T670" s="1" t="s">
        <v>2935</v>
      </c>
      <c r="U670" s="1" t="s">
        <v>2932</v>
      </c>
      <c r="V670" s="3">
        <f t="shared" si="99"/>
        <v>40000</v>
      </c>
      <c r="W670" s="3">
        <f t="shared" si="100"/>
        <v>16000</v>
      </c>
      <c r="X670" s="3">
        <f t="shared" si="92"/>
        <v>1250</v>
      </c>
      <c r="Y670" s="3">
        <f t="shared" si="93"/>
        <v>1600</v>
      </c>
      <c r="Z670" s="3">
        <f t="shared" si="94"/>
        <v>1800</v>
      </c>
      <c r="AA670" s="3">
        <v>0</v>
      </c>
      <c r="AB670" s="3">
        <f>ROUND(U670 - (V670+W670+X670+Y670) - (U670/Q670 * 2),0)</f>
        <v>34483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f>SUM(V670+W670+X670+Y670+AB670)</f>
        <v>93333</v>
      </c>
      <c r="AK670" s="3">
        <f>SUM(AJ670-AA670)</f>
        <v>93333</v>
      </c>
      <c r="AL670" s="3">
        <f>IF(V670&lt;=15000,V670*12%,1800)</f>
        <v>1800</v>
      </c>
      <c r="AM670" s="3">
        <v>0</v>
      </c>
      <c r="AN670" s="3">
        <f t="shared" si="95"/>
        <v>1800</v>
      </c>
      <c r="AO670" s="12">
        <v>200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3">
        <f t="shared" si="97"/>
        <v>200</v>
      </c>
      <c r="AV670" s="3">
        <f>SUM(AJ670 - AN670 - AU670)</f>
        <v>91333</v>
      </c>
      <c r="AW670" s="11">
        <v>0</v>
      </c>
      <c r="AX670" s="11">
        <v>0</v>
      </c>
      <c r="AY670" s="11">
        <v>0</v>
      </c>
      <c r="AZ670" s="11">
        <v>0</v>
      </c>
      <c r="BA670" s="3">
        <f t="shared" si="96"/>
        <v>91333</v>
      </c>
    </row>
    <row r="671" spans="1:53" x14ac:dyDescent="0.25">
      <c r="A671" s="1" t="s">
        <v>669</v>
      </c>
      <c r="B671" s="9" t="s">
        <v>2353</v>
      </c>
      <c r="C671" s="9" t="s">
        <v>1029</v>
      </c>
      <c r="D671" s="9" t="s">
        <v>2354</v>
      </c>
      <c r="E671" s="9" t="s">
        <v>1012</v>
      </c>
      <c r="F671" s="10">
        <v>44713</v>
      </c>
      <c r="G671" s="9" t="s">
        <v>1019</v>
      </c>
      <c r="I671" s="9" t="s">
        <v>1035</v>
      </c>
      <c r="J671" s="9" t="s">
        <v>1031</v>
      </c>
      <c r="K671" s="8" t="s">
        <v>1006</v>
      </c>
      <c r="L671" s="8" t="s">
        <v>1007</v>
      </c>
      <c r="M671" s="8" t="s">
        <v>2933</v>
      </c>
      <c r="N671" s="8" t="s">
        <v>2937</v>
      </c>
      <c r="O671" s="1" t="s">
        <v>2934</v>
      </c>
      <c r="P671">
        <v>30</v>
      </c>
      <c r="Q671">
        <v>30</v>
      </c>
      <c r="R671">
        <v>0</v>
      </c>
      <c r="S671">
        <f t="shared" si="98"/>
        <v>30</v>
      </c>
      <c r="T671" s="1" t="s">
        <v>2935</v>
      </c>
      <c r="U671" s="1" t="s">
        <v>2932</v>
      </c>
      <c r="V671" s="3">
        <f t="shared" si="99"/>
        <v>40000</v>
      </c>
      <c r="W671" s="3">
        <f t="shared" si="100"/>
        <v>16000</v>
      </c>
      <c r="X671" s="3">
        <f t="shared" si="92"/>
        <v>1250</v>
      </c>
      <c r="Y671" s="3">
        <f t="shared" si="93"/>
        <v>1600</v>
      </c>
      <c r="Z671" s="3">
        <f t="shared" si="94"/>
        <v>1800</v>
      </c>
      <c r="AA671" s="3">
        <v>0</v>
      </c>
      <c r="AB671" s="3">
        <f>ROUND(U671 - (V671+W671+X671+Y671) - (U671/Q671 * 2),0)</f>
        <v>34483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f>SUM(V671+W671+X671+Y671+AB671)</f>
        <v>93333</v>
      </c>
      <c r="AK671" s="3">
        <f>SUM(AJ671-AA671)</f>
        <v>93333</v>
      </c>
      <c r="AL671" s="3">
        <f>IF(V671&lt;=15000,V671*12%,1800)</f>
        <v>1800</v>
      </c>
      <c r="AM671" s="3">
        <v>0</v>
      </c>
      <c r="AN671" s="3">
        <f t="shared" si="95"/>
        <v>1800</v>
      </c>
      <c r="AO671" s="12">
        <v>200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3">
        <f t="shared" si="97"/>
        <v>200</v>
      </c>
      <c r="AV671" s="3">
        <f>SUM(AJ671 - AN671 - AU671)</f>
        <v>91333</v>
      </c>
      <c r="AW671" s="11">
        <v>0</v>
      </c>
      <c r="AX671" s="11">
        <v>0</v>
      </c>
      <c r="AY671" s="11">
        <v>0</v>
      </c>
      <c r="AZ671" s="11">
        <v>0</v>
      </c>
      <c r="BA671" s="3">
        <f t="shared" si="96"/>
        <v>91333</v>
      </c>
    </row>
    <row r="672" spans="1:53" x14ac:dyDescent="0.25">
      <c r="A672" s="1" t="s">
        <v>670</v>
      </c>
      <c r="B672" s="9" t="s">
        <v>2351</v>
      </c>
      <c r="C672" s="9" t="s">
        <v>1023</v>
      </c>
      <c r="D672" s="9" t="s">
        <v>2352</v>
      </c>
      <c r="E672" s="9" t="s">
        <v>1012</v>
      </c>
      <c r="F672" s="10">
        <v>44706</v>
      </c>
      <c r="G672" s="9" t="s">
        <v>1019</v>
      </c>
      <c r="I672" s="9" t="s">
        <v>1014</v>
      </c>
      <c r="J672" s="9" t="s">
        <v>1021</v>
      </c>
      <c r="K672" s="8" t="s">
        <v>1006</v>
      </c>
      <c r="L672" s="8" t="s">
        <v>1007</v>
      </c>
      <c r="M672" s="8" t="s">
        <v>2933</v>
      </c>
      <c r="N672" s="8" t="s">
        <v>2937</v>
      </c>
      <c r="O672" s="1" t="s">
        <v>2934</v>
      </c>
      <c r="P672">
        <v>30</v>
      </c>
      <c r="Q672">
        <v>30</v>
      </c>
      <c r="R672">
        <v>0</v>
      </c>
      <c r="S672">
        <f t="shared" si="98"/>
        <v>30</v>
      </c>
      <c r="T672" s="1" t="s">
        <v>2935</v>
      </c>
      <c r="U672" s="1" t="s">
        <v>2932</v>
      </c>
      <c r="V672" s="3">
        <f t="shared" si="99"/>
        <v>40000</v>
      </c>
      <c r="W672" s="3">
        <f t="shared" si="100"/>
        <v>16000</v>
      </c>
      <c r="X672" s="3">
        <f t="shared" si="92"/>
        <v>1250</v>
      </c>
      <c r="Y672" s="3">
        <f t="shared" si="93"/>
        <v>1600</v>
      </c>
      <c r="Z672" s="3">
        <f t="shared" si="94"/>
        <v>1800</v>
      </c>
      <c r="AA672" s="3">
        <v>0</v>
      </c>
      <c r="AB672" s="3">
        <f>ROUND(U672 - (V672+W672+X672+Y672) - (U672/Q672 * 2),0)</f>
        <v>34483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f>SUM(V672+W672+X672+Y672+AB672)</f>
        <v>93333</v>
      </c>
      <c r="AK672" s="3">
        <f>SUM(AJ672-AA672)</f>
        <v>93333</v>
      </c>
      <c r="AL672" s="3">
        <f>IF(V672&lt;=15000,V672*12%,1800)</f>
        <v>1800</v>
      </c>
      <c r="AM672" s="3">
        <v>0</v>
      </c>
      <c r="AN672" s="3">
        <f t="shared" si="95"/>
        <v>1800</v>
      </c>
      <c r="AO672" s="12">
        <v>200</v>
      </c>
      <c r="AP672" s="12">
        <v>0</v>
      </c>
      <c r="AQ672" s="12">
        <v>0</v>
      </c>
      <c r="AR672" s="12">
        <v>0</v>
      </c>
      <c r="AS672" s="12">
        <v>0</v>
      </c>
      <c r="AT672" s="12">
        <v>0</v>
      </c>
      <c r="AU672" s="3">
        <f t="shared" si="97"/>
        <v>200</v>
      </c>
      <c r="AV672" s="3">
        <f>SUM(AJ672 - AN672 - AU672)</f>
        <v>91333</v>
      </c>
      <c r="AW672" s="11">
        <v>0</v>
      </c>
      <c r="AX672" s="11">
        <v>0</v>
      </c>
      <c r="AY672" s="11">
        <v>0</v>
      </c>
      <c r="AZ672" s="11">
        <v>0</v>
      </c>
      <c r="BA672" s="3">
        <f t="shared" si="96"/>
        <v>91333</v>
      </c>
    </row>
    <row r="673" spans="1:53" x14ac:dyDescent="0.25">
      <c r="A673" s="1" t="s">
        <v>671</v>
      </c>
      <c r="B673" s="9" t="s">
        <v>2349</v>
      </c>
      <c r="C673" s="9" t="s">
        <v>1115</v>
      </c>
      <c r="D673" s="9" t="s">
        <v>2350</v>
      </c>
      <c r="E673" s="9" t="s">
        <v>1012</v>
      </c>
      <c r="F673" s="10">
        <v>44718</v>
      </c>
      <c r="G673" s="9" t="s">
        <v>1019</v>
      </c>
      <c r="I673" s="9" t="s">
        <v>1035</v>
      </c>
      <c r="J673" s="9" t="s">
        <v>1048</v>
      </c>
      <c r="K673" s="8" t="s">
        <v>1006</v>
      </c>
      <c r="L673" s="8" t="s">
        <v>1007</v>
      </c>
      <c r="M673" s="8" t="s">
        <v>2933</v>
      </c>
      <c r="N673" s="8" t="s">
        <v>2937</v>
      </c>
      <c r="O673" s="1" t="s">
        <v>2934</v>
      </c>
      <c r="P673">
        <v>30</v>
      </c>
      <c r="Q673">
        <v>30</v>
      </c>
      <c r="R673">
        <v>0</v>
      </c>
      <c r="S673">
        <f t="shared" si="98"/>
        <v>30</v>
      </c>
      <c r="T673" s="1" t="s">
        <v>2935</v>
      </c>
      <c r="U673" s="1" t="s">
        <v>2932</v>
      </c>
      <c r="V673" s="3">
        <f t="shared" si="99"/>
        <v>40000</v>
      </c>
      <c r="W673" s="3">
        <f t="shared" si="100"/>
        <v>16000</v>
      </c>
      <c r="X673" s="3">
        <f t="shared" si="92"/>
        <v>1250</v>
      </c>
      <c r="Y673" s="3">
        <f t="shared" si="93"/>
        <v>1600</v>
      </c>
      <c r="Z673" s="3">
        <f t="shared" si="94"/>
        <v>1800</v>
      </c>
      <c r="AA673" s="3">
        <v>0</v>
      </c>
      <c r="AB673" s="3">
        <f>ROUND(U673 - (V673+W673+X673+Y673) - (U673/Q673 * 2),0)</f>
        <v>34483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f>SUM(V673+W673+X673+Y673+AB673)</f>
        <v>93333</v>
      </c>
      <c r="AK673" s="3">
        <f>SUM(AJ673-AA673)</f>
        <v>93333</v>
      </c>
      <c r="AL673" s="3">
        <f>IF(V673&lt;=15000,V673*12%,1800)</f>
        <v>1800</v>
      </c>
      <c r="AM673" s="3">
        <v>0</v>
      </c>
      <c r="AN673" s="3">
        <f t="shared" si="95"/>
        <v>1800</v>
      </c>
      <c r="AO673" s="12">
        <v>200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3">
        <f t="shared" si="97"/>
        <v>200</v>
      </c>
      <c r="AV673" s="3">
        <f>SUM(AJ673 - AN673 - AU673)</f>
        <v>91333</v>
      </c>
      <c r="AW673" s="11">
        <v>0</v>
      </c>
      <c r="AX673" s="11">
        <v>0</v>
      </c>
      <c r="AY673" s="11">
        <v>0</v>
      </c>
      <c r="AZ673" s="11">
        <v>0</v>
      </c>
      <c r="BA673" s="3">
        <f t="shared" si="96"/>
        <v>91333</v>
      </c>
    </row>
    <row r="674" spans="1:53" x14ac:dyDescent="0.25">
      <c r="A674" s="1" t="s">
        <v>672</v>
      </c>
      <c r="B674" s="9" t="s">
        <v>2347</v>
      </c>
      <c r="C674" s="9" t="s">
        <v>1010</v>
      </c>
      <c r="D674" s="9" t="s">
        <v>2348</v>
      </c>
      <c r="E674" s="9" t="s">
        <v>1008</v>
      </c>
      <c r="F674" s="10">
        <v>45778</v>
      </c>
      <c r="G674" s="9" t="s">
        <v>1013</v>
      </c>
      <c r="I674" s="9" t="s">
        <v>1014</v>
      </c>
      <c r="J674" s="9" t="s">
        <v>1015</v>
      </c>
      <c r="K674" s="8" t="s">
        <v>1006</v>
      </c>
      <c r="L674" s="8" t="s">
        <v>1007</v>
      </c>
      <c r="M674" s="8" t="s">
        <v>2933</v>
      </c>
      <c r="N674" s="8" t="s">
        <v>2937</v>
      </c>
      <c r="O674" s="1" t="s">
        <v>2934</v>
      </c>
      <c r="P674">
        <v>30</v>
      </c>
      <c r="Q674">
        <v>30</v>
      </c>
      <c r="R674">
        <v>0</v>
      </c>
      <c r="S674">
        <f t="shared" si="98"/>
        <v>30</v>
      </c>
      <c r="T674" s="1" t="s">
        <v>2935</v>
      </c>
      <c r="U674" s="1" t="s">
        <v>2932</v>
      </c>
      <c r="V674" s="3">
        <f t="shared" si="99"/>
        <v>40000</v>
      </c>
      <c r="W674" s="3">
        <f t="shared" si="100"/>
        <v>16000</v>
      </c>
      <c r="X674" s="3">
        <f t="shared" si="92"/>
        <v>1250</v>
      </c>
      <c r="Y674" s="3">
        <f t="shared" si="93"/>
        <v>1600</v>
      </c>
      <c r="Z674" s="3">
        <f t="shared" si="94"/>
        <v>1800</v>
      </c>
      <c r="AA674" s="3">
        <v>0</v>
      </c>
      <c r="AB674" s="3">
        <f>ROUND(U674 - (V674+W674+X674+Y674) - (U674/Q674 * 2),0)</f>
        <v>34483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f>SUM(V674+W674+X674+Y674+AB674)</f>
        <v>93333</v>
      </c>
      <c r="AK674" s="3">
        <f>SUM(AJ674-AA674)</f>
        <v>93333</v>
      </c>
      <c r="AL674" s="3">
        <f>IF(V674&lt;=15000,V674*12%,1800)</f>
        <v>1800</v>
      </c>
      <c r="AM674" s="3">
        <v>0</v>
      </c>
      <c r="AN674" s="3">
        <f t="shared" si="95"/>
        <v>1800</v>
      </c>
      <c r="AO674" s="12">
        <v>200</v>
      </c>
      <c r="AP674" s="12">
        <v>0</v>
      </c>
      <c r="AQ674" s="12">
        <v>0</v>
      </c>
      <c r="AR674" s="12">
        <v>0</v>
      </c>
      <c r="AS674" s="12">
        <v>0</v>
      </c>
      <c r="AT674" s="12">
        <v>0</v>
      </c>
      <c r="AU674" s="3">
        <f t="shared" si="97"/>
        <v>200</v>
      </c>
      <c r="AV674" s="3">
        <f>SUM(AJ674 - AN674 - AU674)</f>
        <v>91333</v>
      </c>
      <c r="AW674" s="11">
        <v>0</v>
      </c>
      <c r="AX674" s="11">
        <v>0</v>
      </c>
      <c r="AY674" s="11">
        <v>0</v>
      </c>
      <c r="AZ674" s="11">
        <v>0</v>
      </c>
      <c r="BA674" s="3">
        <f t="shared" si="96"/>
        <v>91333</v>
      </c>
    </row>
    <row r="675" spans="1:53" x14ac:dyDescent="0.25">
      <c r="A675" s="1" t="s">
        <v>673</v>
      </c>
      <c r="B675" s="9" t="s">
        <v>2345</v>
      </c>
      <c r="C675" s="9" t="s">
        <v>1010</v>
      </c>
      <c r="D675" s="9" t="s">
        <v>2346</v>
      </c>
      <c r="E675" s="9" t="s">
        <v>1008</v>
      </c>
      <c r="F675" s="10">
        <v>45782</v>
      </c>
      <c r="G675" s="9" t="s">
        <v>1019</v>
      </c>
      <c r="I675" s="9" t="s">
        <v>1014</v>
      </c>
      <c r="J675" s="9" t="s">
        <v>1015</v>
      </c>
      <c r="K675" s="8" t="s">
        <v>1006</v>
      </c>
      <c r="L675" s="8" t="s">
        <v>1007</v>
      </c>
      <c r="M675" s="8" t="s">
        <v>2933</v>
      </c>
      <c r="N675" s="8" t="s">
        <v>2937</v>
      </c>
      <c r="O675" s="1" t="s">
        <v>2934</v>
      </c>
      <c r="P675">
        <v>30</v>
      </c>
      <c r="Q675">
        <v>30</v>
      </c>
      <c r="R675">
        <v>0</v>
      </c>
      <c r="S675">
        <f t="shared" si="98"/>
        <v>30</v>
      </c>
      <c r="T675" s="1" t="s">
        <v>2935</v>
      </c>
      <c r="U675" s="1" t="s">
        <v>2932</v>
      </c>
      <c r="V675" s="3">
        <f t="shared" si="99"/>
        <v>40000</v>
      </c>
      <c r="W675" s="3">
        <f t="shared" si="100"/>
        <v>16000</v>
      </c>
      <c r="X675" s="3">
        <f t="shared" si="92"/>
        <v>1250</v>
      </c>
      <c r="Y675" s="3">
        <f t="shared" si="93"/>
        <v>1600</v>
      </c>
      <c r="Z675" s="3">
        <f t="shared" si="94"/>
        <v>1800</v>
      </c>
      <c r="AA675" s="3">
        <v>0</v>
      </c>
      <c r="AB675" s="3">
        <f>ROUND(U675 - (V675+W675+X675+Y675) - (U675/Q675 * 2),0)</f>
        <v>34483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f>SUM(V675+W675+X675+Y675+AB675)</f>
        <v>93333</v>
      </c>
      <c r="AK675" s="3">
        <f>SUM(AJ675-AA675)</f>
        <v>93333</v>
      </c>
      <c r="AL675" s="3">
        <f>IF(V675&lt;=15000,V675*12%,1800)</f>
        <v>1800</v>
      </c>
      <c r="AM675" s="3">
        <v>0</v>
      </c>
      <c r="AN675" s="3">
        <f t="shared" si="95"/>
        <v>1800</v>
      </c>
      <c r="AO675" s="12">
        <v>200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3">
        <f t="shared" si="97"/>
        <v>200</v>
      </c>
      <c r="AV675" s="3">
        <f>SUM(AJ675 - AN675 - AU675)</f>
        <v>91333</v>
      </c>
      <c r="AW675" s="11">
        <v>0</v>
      </c>
      <c r="AX675" s="11">
        <v>0</v>
      </c>
      <c r="AY675" s="11">
        <v>0</v>
      </c>
      <c r="AZ675" s="11">
        <v>0</v>
      </c>
      <c r="BA675" s="3">
        <f t="shared" si="96"/>
        <v>91333</v>
      </c>
    </row>
    <row r="676" spans="1:53" x14ac:dyDescent="0.25">
      <c r="A676" s="1" t="s">
        <v>674</v>
      </c>
      <c r="B676" s="9" t="s">
        <v>2343</v>
      </c>
      <c r="C676" s="9" t="s">
        <v>1063</v>
      </c>
      <c r="D676" s="9" t="s">
        <v>2344</v>
      </c>
      <c r="E676" s="9" t="s">
        <v>1012</v>
      </c>
      <c r="F676" s="10">
        <v>45782</v>
      </c>
      <c r="G676" s="9" t="s">
        <v>1013</v>
      </c>
      <c r="I676" s="9" t="s">
        <v>1014</v>
      </c>
      <c r="J676" s="9" t="s">
        <v>1015</v>
      </c>
      <c r="K676" s="8" t="s">
        <v>1006</v>
      </c>
      <c r="L676" s="8" t="s">
        <v>1007</v>
      </c>
      <c r="M676" s="8" t="s">
        <v>2933</v>
      </c>
      <c r="N676" s="8" t="s">
        <v>2937</v>
      </c>
      <c r="O676" s="1" t="s">
        <v>2934</v>
      </c>
      <c r="P676">
        <v>30</v>
      </c>
      <c r="Q676">
        <v>30</v>
      </c>
      <c r="R676">
        <v>0</v>
      </c>
      <c r="S676">
        <f t="shared" si="98"/>
        <v>30</v>
      </c>
      <c r="T676" s="1" t="s">
        <v>2935</v>
      </c>
      <c r="U676" s="1" t="s">
        <v>2932</v>
      </c>
      <c r="V676" s="3">
        <f t="shared" si="99"/>
        <v>40000</v>
      </c>
      <c r="W676" s="3">
        <f t="shared" si="100"/>
        <v>16000</v>
      </c>
      <c r="X676" s="3">
        <f t="shared" si="92"/>
        <v>1250</v>
      </c>
      <c r="Y676" s="3">
        <f t="shared" si="93"/>
        <v>1600</v>
      </c>
      <c r="Z676" s="3">
        <f t="shared" si="94"/>
        <v>1800</v>
      </c>
      <c r="AA676" s="3">
        <v>0</v>
      </c>
      <c r="AB676" s="3">
        <f>ROUND(U676 - (V676+W676+X676+Y676) - (U676/Q676 * 2),0)</f>
        <v>34483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f>SUM(V676+W676+X676+Y676+AB676)</f>
        <v>93333</v>
      </c>
      <c r="AK676" s="3">
        <f>SUM(AJ676-AA676)</f>
        <v>93333</v>
      </c>
      <c r="AL676" s="3">
        <f>IF(V676&lt;=15000,V676*12%,1800)</f>
        <v>1800</v>
      </c>
      <c r="AM676" s="3">
        <v>0</v>
      </c>
      <c r="AN676" s="3">
        <f t="shared" si="95"/>
        <v>1800</v>
      </c>
      <c r="AO676" s="12">
        <v>200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3">
        <f t="shared" si="97"/>
        <v>200</v>
      </c>
      <c r="AV676" s="3">
        <f>SUM(AJ676 - AN676 - AU676)</f>
        <v>91333</v>
      </c>
      <c r="AW676" s="11">
        <v>0</v>
      </c>
      <c r="AX676" s="11">
        <v>0</v>
      </c>
      <c r="AY676" s="11">
        <v>0</v>
      </c>
      <c r="AZ676" s="11">
        <v>0</v>
      </c>
      <c r="BA676" s="3">
        <f t="shared" si="96"/>
        <v>91333</v>
      </c>
    </row>
    <row r="677" spans="1:53" x14ac:dyDescent="0.25">
      <c r="A677" s="1" t="s">
        <v>675</v>
      </c>
      <c r="B677" s="9" t="s">
        <v>2341</v>
      </c>
      <c r="C677" s="9" t="s">
        <v>1063</v>
      </c>
      <c r="D677" s="9" t="s">
        <v>2342</v>
      </c>
      <c r="E677" s="9" t="s">
        <v>1012</v>
      </c>
      <c r="F677" s="10">
        <v>45782</v>
      </c>
      <c r="G677" s="9" t="s">
        <v>1019</v>
      </c>
      <c r="I677" s="9" t="s">
        <v>1014</v>
      </c>
      <c r="J677" s="9" t="s">
        <v>1015</v>
      </c>
      <c r="K677" s="8" t="s">
        <v>1006</v>
      </c>
      <c r="L677" s="8" t="s">
        <v>1007</v>
      </c>
      <c r="M677" s="8" t="s">
        <v>2933</v>
      </c>
      <c r="N677" s="8" t="s">
        <v>2937</v>
      </c>
      <c r="O677" s="1" t="s">
        <v>2934</v>
      </c>
      <c r="P677">
        <v>30</v>
      </c>
      <c r="Q677">
        <v>30</v>
      </c>
      <c r="R677">
        <v>0</v>
      </c>
      <c r="S677">
        <f t="shared" si="98"/>
        <v>30</v>
      </c>
      <c r="T677" s="1" t="s">
        <v>2935</v>
      </c>
      <c r="U677" s="1" t="s">
        <v>2932</v>
      </c>
      <c r="V677" s="3">
        <f t="shared" si="99"/>
        <v>40000</v>
      </c>
      <c r="W677" s="3">
        <f t="shared" si="100"/>
        <v>16000</v>
      </c>
      <c r="X677" s="3">
        <f t="shared" si="92"/>
        <v>1250</v>
      </c>
      <c r="Y677" s="3">
        <f t="shared" si="93"/>
        <v>1600</v>
      </c>
      <c r="Z677" s="3">
        <f t="shared" si="94"/>
        <v>1800</v>
      </c>
      <c r="AA677" s="3">
        <v>0</v>
      </c>
      <c r="AB677" s="3">
        <f>ROUND(U677 - (V677+W677+X677+Y677) - (U677/Q677 * 2),0)</f>
        <v>34483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f>SUM(V677+W677+X677+Y677+AB677)</f>
        <v>93333</v>
      </c>
      <c r="AK677" s="3">
        <f>SUM(AJ677-AA677)</f>
        <v>93333</v>
      </c>
      <c r="AL677" s="3">
        <f>IF(V677&lt;=15000,V677*12%,1800)</f>
        <v>1800</v>
      </c>
      <c r="AM677" s="3">
        <v>0</v>
      </c>
      <c r="AN677" s="3">
        <f t="shared" si="95"/>
        <v>1800</v>
      </c>
      <c r="AO677" s="12">
        <v>200</v>
      </c>
      <c r="AP677" s="12">
        <v>0</v>
      </c>
      <c r="AQ677" s="12">
        <v>0</v>
      </c>
      <c r="AR677" s="12">
        <v>0</v>
      </c>
      <c r="AS677" s="12">
        <v>0</v>
      </c>
      <c r="AT677" s="12">
        <v>0</v>
      </c>
      <c r="AU677" s="3">
        <f t="shared" si="97"/>
        <v>200</v>
      </c>
      <c r="AV677" s="3">
        <f>SUM(AJ677 - AN677 - AU677)</f>
        <v>91333</v>
      </c>
      <c r="AW677" s="11">
        <v>0</v>
      </c>
      <c r="AX677" s="11">
        <v>0</v>
      </c>
      <c r="AY677" s="11">
        <v>0</v>
      </c>
      <c r="AZ677" s="11">
        <v>0</v>
      </c>
      <c r="BA677" s="3">
        <f t="shared" si="96"/>
        <v>91333</v>
      </c>
    </row>
    <row r="678" spans="1:53" x14ac:dyDescent="0.25">
      <c r="A678" s="1" t="s">
        <v>676</v>
      </c>
      <c r="B678" s="9" t="s">
        <v>2339</v>
      </c>
      <c r="C678" s="9" t="s">
        <v>1063</v>
      </c>
      <c r="D678" s="9" t="s">
        <v>2340</v>
      </c>
      <c r="E678" s="9" t="s">
        <v>1008</v>
      </c>
      <c r="F678" s="10">
        <v>45796</v>
      </c>
      <c r="G678" s="9" t="s">
        <v>1019</v>
      </c>
      <c r="I678" s="9" t="s">
        <v>1014</v>
      </c>
      <c r="J678" s="9" t="s">
        <v>1015</v>
      </c>
      <c r="K678" s="8" t="s">
        <v>1006</v>
      </c>
      <c r="L678" s="8" t="s">
        <v>1007</v>
      </c>
      <c r="M678" s="8" t="s">
        <v>2933</v>
      </c>
      <c r="N678" s="8" t="s">
        <v>2937</v>
      </c>
      <c r="O678" s="1" t="s">
        <v>2934</v>
      </c>
      <c r="P678">
        <v>30</v>
      </c>
      <c r="Q678">
        <v>30</v>
      </c>
      <c r="R678">
        <v>0</v>
      </c>
      <c r="S678">
        <f t="shared" si="98"/>
        <v>30</v>
      </c>
      <c r="T678" s="1" t="s">
        <v>2935</v>
      </c>
      <c r="U678" s="1" t="s">
        <v>2932</v>
      </c>
      <c r="V678" s="3">
        <f t="shared" si="99"/>
        <v>40000</v>
      </c>
      <c r="W678" s="3">
        <f t="shared" si="100"/>
        <v>16000</v>
      </c>
      <c r="X678" s="3">
        <f t="shared" si="92"/>
        <v>1250</v>
      </c>
      <c r="Y678" s="3">
        <f t="shared" si="93"/>
        <v>1600</v>
      </c>
      <c r="Z678" s="3">
        <f t="shared" si="94"/>
        <v>1800</v>
      </c>
      <c r="AA678" s="3">
        <v>0</v>
      </c>
      <c r="AB678" s="3">
        <f>ROUND(U678 - (V678+W678+X678+Y678) - (U678/Q678 * 2),0)</f>
        <v>34483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f>SUM(V678+W678+X678+Y678+AB678)</f>
        <v>93333</v>
      </c>
      <c r="AK678" s="3">
        <f>SUM(AJ678-AA678)</f>
        <v>93333</v>
      </c>
      <c r="AL678" s="3">
        <f>IF(V678&lt;=15000,V678*12%,1800)</f>
        <v>1800</v>
      </c>
      <c r="AM678" s="3">
        <v>0</v>
      </c>
      <c r="AN678" s="3">
        <f t="shared" si="95"/>
        <v>1800</v>
      </c>
      <c r="AO678" s="12">
        <v>200</v>
      </c>
      <c r="AP678" s="12">
        <v>0</v>
      </c>
      <c r="AQ678" s="12">
        <v>0</v>
      </c>
      <c r="AR678" s="12">
        <v>0</v>
      </c>
      <c r="AS678" s="12">
        <v>0</v>
      </c>
      <c r="AT678" s="12">
        <v>0</v>
      </c>
      <c r="AU678" s="3">
        <f t="shared" si="97"/>
        <v>200</v>
      </c>
      <c r="AV678" s="3">
        <f>SUM(AJ678 - AN678 - AU678)</f>
        <v>91333</v>
      </c>
      <c r="AW678" s="11">
        <v>0</v>
      </c>
      <c r="AX678" s="11">
        <v>0</v>
      </c>
      <c r="AY678" s="11">
        <v>0</v>
      </c>
      <c r="AZ678" s="11">
        <v>0</v>
      </c>
      <c r="BA678" s="3">
        <f t="shared" si="96"/>
        <v>91333</v>
      </c>
    </row>
    <row r="679" spans="1:53" x14ac:dyDescent="0.25">
      <c r="A679" s="1" t="s">
        <v>677</v>
      </c>
      <c r="B679" s="9" t="s">
        <v>1488</v>
      </c>
      <c r="C679" s="9" t="s">
        <v>1026</v>
      </c>
      <c r="D679" s="9" t="s">
        <v>2338</v>
      </c>
      <c r="E679" s="9" t="s">
        <v>1008</v>
      </c>
      <c r="F679" s="10">
        <v>45796</v>
      </c>
      <c r="G679" s="9" t="s">
        <v>1019</v>
      </c>
      <c r="I679" s="9" t="s">
        <v>1014</v>
      </c>
      <c r="J679" s="9" t="s">
        <v>1015</v>
      </c>
      <c r="K679" s="8" t="s">
        <v>1006</v>
      </c>
      <c r="L679" s="8" t="s">
        <v>1007</v>
      </c>
      <c r="M679" s="8" t="s">
        <v>2933</v>
      </c>
      <c r="N679" s="8" t="s">
        <v>2937</v>
      </c>
      <c r="O679" s="1" t="s">
        <v>2934</v>
      </c>
      <c r="P679">
        <v>30</v>
      </c>
      <c r="Q679">
        <v>30</v>
      </c>
      <c r="R679">
        <v>0</v>
      </c>
      <c r="S679">
        <f t="shared" si="98"/>
        <v>30</v>
      </c>
      <c r="T679" s="1" t="s">
        <v>2935</v>
      </c>
      <c r="U679" s="1" t="s">
        <v>2932</v>
      </c>
      <c r="V679" s="3">
        <f t="shared" si="99"/>
        <v>40000</v>
      </c>
      <c r="W679" s="3">
        <f t="shared" si="100"/>
        <v>16000</v>
      </c>
      <c r="X679" s="3">
        <f t="shared" si="92"/>
        <v>1250</v>
      </c>
      <c r="Y679" s="3">
        <f t="shared" si="93"/>
        <v>1600</v>
      </c>
      <c r="Z679" s="3">
        <f t="shared" si="94"/>
        <v>1800</v>
      </c>
      <c r="AA679" s="3">
        <v>0</v>
      </c>
      <c r="AB679" s="3">
        <f>ROUND(U679 - (V679+W679+X679+Y679) - (U679/Q679 * 2),0)</f>
        <v>34483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f>SUM(V679+W679+X679+Y679+AB679)</f>
        <v>93333</v>
      </c>
      <c r="AK679" s="3">
        <f>SUM(AJ679-AA679)</f>
        <v>93333</v>
      </c>
      <c r="AL679" s="3">
        <f>IF(V679&lt;=15000,V679*12%,1800)</f>
        <v>1800</v>
      </c>
      <c r="AM679" s="3">
        <v>0</v>
      </c>
      <c r="AN679" s="3">
        <f t="shared" si="95"/>
        <v>1800</v>
      </c>
      <c r="AO679" s="12">
        <v>200</v>
      </c>
      <c r="AP679" s="12">
        <v>0</v>
      </c>
      <c r="AQ679" s="12">
        <v>0</v>
      </c>
      <c r="AR679" s="12">
        <v>0</v>
      </c>
      <c r="AS679" s="12">
        <v>0</v>
      </c>
      <c r="AT679" s="12">
        <v>0</v>
      </c>
      <c r="AU679" s="3">
        <f t="shared" si="97"/>
        <v>200</v>
      </c>
      <c r="AV679" s="3">
        <f>SUM(AJ679 - AN679 - AU679)</f>
        <v>91333</v>
      </c>
      <c r="AW679" s="11">
        <v>0</v>
      </c>
      <c r="AX679" s="11">
        <v>0</v>
      </c>
      <c r="AY679" s="11">
        <v>0</v>
      </c>
      <c r="AZ679" s="11">
        <v>0</v>
      </c>
      <c r="BA679" s="3">
        <f t="shared" si="96"/>
        <v>91333</v>
      </c>
    </row>
    <row r="680" spans="1:53" x14ac:dyDescent="0.25">
      <c r="A680" s="1" t="s">
        <v>678</v>
      </c>
      <c r="B680" s="9" t="s">
        <v>2336</v>
      </c>
      <c r="C680" s="9" t="s">
        <v>1063</v>
      </c>
      <c r="D680" s="9" t="s">
        <v>2337</v>
      </c>
      <c r="E680" s="9" t="s">
        <v>1008</v>
      </c>
      <c r="F680" s="10">
        <v>45798</v>
      </c>
      <c r="G680" s="9" t="s">
        <v>1019</v>
      </c>
      <c r="I680" s="9" t="s">
        <v>1020</v>
      </c>
      <c r="J680" s="9" t="s">
        <v>1015</v>
      </c>
      <c r="K680" s="8" t="s">
        <v>1006</v>
      </c>
      <c r="L680" s="8" t="s">
        <v>1007</v>
      </c>
      <c r="M680" s="8" t="s">
        <v>2933</v>
      </c>
      <c r="N680" s="8" t="s">
        <v>2937</v>
      </c>
      <c r="O680" s="1" t="s">
        <v>2934</v>
      </c>
      <c r="P680">
        <v>30</v>
      </c>
      <c r="Q680">
        <v>30</v>
      </c>
      <c r="R680">
        <v>0</v>
      </c>
      <c r="S680">
        <f t="shared" si="98"/>
        <v>30</v>
      </c>
      <c r="T680" s="1" t="s">
        <v>2935</v>
      </c>
      <c r="U680" s="1" t="s">
        <v>2932</v>
      </c>
      <c r="V680" s="3">
        <f t="shared" si="99"/>
        <v>40000</v>
      </c>
      <c r="W680" s="3">
        <f t="shared" si="100"/>
        <v>16000</v>
      </c>
      <c r="X680" s="3">
        <f t="shared" si="92"/>
        <v>1250</v>
      </c>
      <c r="Y680" s="3">
        <f t="shared" si="93"/>
        <v>1600</v>
      </c>
      <c r="Z680" s="3">
        <f t="shared" si="94"/>
        <v>1800</v>
      </c>
      <c r="AA680" s="3">
        <v>0</v>
      </c>
      <c r="AB680" s="3">
        <f>ROUND(U680 - (V680+W680+X680+Y680) - (U680/Q680 * 2),0)</f>
        <v>34483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f>SUM(V680+W680+X680+Y680+AB680)</f>
        <v>93333</v>
      </c>
      <c r="AK680" s="3">
        <f>SUM(AJ680-AA680)</f>
        <v>93333</v>
      </c>
      <c r="AL680" s="3">
        <f>IF(V680&lt;=15000,V680*12%,1800)</f>
        <v>1800</v>
      </c>
      <c r="AM680" s="3">
        <v>0</v>
      </c>
      <c r="AN680" s="3">
        <f t="shared" si="95"/>
        <v>1800</v>
      </c>
      <c r="AO680" s="12">
        <v>200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3">
        <f t="shared" si="97"/>
        <v>200</v>
      </c>
      <c r="AV680" s="3">
        <f>SUM(AJ680 - AN680 - AU680)</f>
        <v>91333</v>
      </c>
      <c r="AW680" s="11">
        <v>0</v>
      </c>
      <c r="AX680" s="11">
        <v>0</v>
      </c>
      <c r="AY680" s="11">
        <v>0</v>
      </c>
      <c r="AZ680" s="11">
        <v>0</v>
      </c>
      <c r="BA680" s="3">
        <f t="shared" si="96"/>
        <v>91333</v>
      </c>
    </row>
    <row r="681" spans="1:53" x14ac:dyDescent="0.25">
      <c r="A681" s="1" t="s">
        <v>679</v>
      </c>
      <c r="B681" s="9" t="s">
        <v>1682</v>
      </c>
      <c r="C681" s="9" t="s">
        <v>1010</v>
      </c>
      <c r="D681" s="9" t="s">
        <v>2335</v>
      </c>
      <c r="E681" s="9" t="s">
        <v>1012</v>
      </c>
      <c r="F681" s="10">
        <v>45805</v>
      </c>
      <c r="G681" s="9" t="s">
        <v>1019</v>
      </c>
      <c r="I681" s="9" t="s">
        <v>1014</v>
      </c>
      <c r="J681" s="9" t="s">
        <v>1015</v>
      </c>
      <c r="K681" s="8" t="s">
        <v>1006</v>
      </c>
      <c r="L681" s="8" t="s">
        <v>1007</v>
      </c>
      <c r="M681" s="8" t="s">
        <v>2933</v>
      </c>
      <c r="N681" s="8" t="s">
        <v>2937</v>
      </c>
      <c r="O681" s="1" t="s">
        <v>2934</v>
      </c>
      <c r="P681">
        <v>30</v>
      </c>
      <c r="Q681">
        <v>30</v>
      </c>
      <c r="R681">
        <v>0</v>
      </c>
      <c r="S681">
        <f t="shared" si="98"/>
        <v>30</v>
      </c>
      <c r="T681" s="1" t="s">
        <v>2935</v>
      </c>
      <c r="U681" s="1" t="s">
        <v>2932</v>
      </c>
      <c r="V681" s="3">
        <f t="shared" si="99"/>
        <v>40000</v>
      </c>
      <c r="W681" s="3">
        <f t="shared" si="100"/>
        <v>16000</v>
      </c>
      <c r="X681" s="3">
        <f t="shared" si="92"/>
        <v>1250</v>
      </c>
      <c r="Y681" s="3">
        <f t="shared" si="93"/>
        <v>1600</v>
      </c>
      <c r="Z681" s="3">
        <f t="shared" si="94"/>
        <v>1800</v>
      </c>
      <c r="AA681" s="3">
        <v>0</v>
      </c>
      <c r="AB681" s="3">
        <f>ROUND(U681 - (V681+W681+X681+Y681) - (U681/Q681 * 2),0)</f>
        <v>34483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f>SUM(V681+W681+X681+Y681+AB681)</f>
        <v>93333</v>
      </c>
      <c r="AK681" s="3">
        <f>SUM(AJ681-AA681)</f>
        <v>93333</v>
      </c>
      <c r="AL681" s="3">
        <f>IF(V681&lt;=15000,V681*12%,1800)</f>
        <v>1800</v>
      </c>
      <c r="AM681" s="3">
        <v>0</v>
      </c>
      <c r="AN681" s="3">
        <f t="shared" si="95"/>
        <v>1800</v>
      </c>
      <c r="AO681" s="12">
        <v>200</v>
      </c>
      <c r="AP681" s="12">
        <v>0</v>
      </c>
      <c r="AQ681" s="12">
        <v>0</v>
      </c>
      <c r="AR681" s="12">
        <v>0</v>
      </c>
      <c r="AS681" s="12">
        <v>0</v>
      </c>
      <c r="AT681" s="12">
        <v>0</v>
      </c>
      <c r="AU681" s="3">
        <f t="shared" si="97"/>
        <v>200</v>
      </c>
      <c r="AV681" s="3">
        <f>SUM(AJ681 - AN681 - AU681)</f>
        <v>91333</v>
      </c>
      <c r="AW681" s="11">
        <v>0</v>
      </c>
      <c r="AX681" s="11">
        <v>0</v>
      </c>
      <c r="AY681" s="11">
        <v>0</v>
      </c>
      <c r="AZ681" s="11">
        <v>0</v>
      </c>
      <c r="BA681" s="3">
        <f t="shared" si="96"/>
        <v>91333</v>
      </c>
    </row>
    <row r="682" spans="1:53" x14ac:dyDescent="0.25">
      <c r="A682" s="1" t="s">
        <v>680</v>
      </c>
      <c r="B682" s="9" t="s">
        <v>2333</v>
      </c>
      <c r="C682" s="9" t="s">
        <v>1010</v>
      </c>
      <c r="D682" s="9" t="s">
        <v>2334</v>
      </c>
      <c r="E682" s="9" t="s">
        <v>1012</v>
      </c>
      <c r="F682" s="10">
        <v>45805</v>
      </c>
      <c r="G682" s="9" t="s">
        <v>1019</v>
      </c>
      <c r="I682" s="9" t="s">
        <v>1014</v>
      </c>
      <c r="J682" s="9" t="s">
        <v>1015</v>
      </c>
      <c r="K682" s="8" t="s">
        <v>1006</v>
      </c>
      <c r="L682" s="8" t="s">
        <v>1007</v>
      </c>
      <c r="M682" s="8" t="s">
        <v>2933</v>
      </c>
      <c r="N682" s="8" t="s">
        <v>2937</v>
      </c>
      <c r="O682" s="1" t="s">
        <v>2934</v>
      </c>
      <c r="P682">
        <v>30</v>
      </c>
      <c r="Q682">
        <v>30</v>
      </c>
      <c r="R682">
        <v>0</v>
      </c>
      <c r="S682">
        <f t="shared" si="98"/>
        <v>30</v>
      </c>
      <c r="T682" s="1" t="s">
        <v>2935</v>
      </c>
      <c r="U682" s="1" t="s">
        <v>2932</v>
      </c>
      <c r="V682" s="3">
        <f t="shared" si="99"/>
        <v>40000</v>
      </c>
      <c r="W682" s="3">
        <f t="shared" si="100"/>
        <v>16000</v>
      </c>
      <c r="X682" s="3">
        <f t="shared" si="92"/>
        <v>1250</v>
      </c>
      <c r="Y682" s="3">
        <f t="shared" si="93"/>
        <v>1600</v>
      </c>
      <c r="Z682" s="3">
        <f t="shared" si="94"/>
        <v>1800</v>
      </c>
      <c r="AA682" s="3">
        <v>0</v>
      </c>
      <c r="AB682" s="3">
        <f>ROUND(U682 - (V682+W682+X682+Y682) - (U682/Q682 * 2),0)</f>
        <v>34483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f>SUM(V682+W682+X682+Y682+AB682)</f>
        <v>93333</v>
      </c>
      <c r="AK682" s="3">
        <f>SUM(AJ682-AA682)</f>
        <v>93333</v>
      </c>
      <c r="AL682" s="3">
        <f>IF(V682&lt;=15000,V682*12%,1800)</f>
        <v>1800</v>
      </c>
      <c r="AM682" s="3">
        <v>0</v>
      </c>
      <c r="AN682" s="3">
        <f t="shared" si="95"/>
        <v>1800</v>
      </c>
      <c r="AO682" s="12">
        <v>200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3">
        <f t="shared" si="97"/>
        <v>200</v>
      </c>
      <c r="AV682" s="3">
        <f>SUM(AJ682 - AN682 - AU682)</f>
        <v>91333</v>
      </c>
      <c r="AW682" s="11">
        <v>0</v>
      </c>
      <c r="AX682" s="11">
        <v>0</v>
      </c>
      <c r="AY682" s="11">
        <v>0</v>
      </c>
      <c r="AZ682" s="11">
        <v>0</v>
      </c>
      <c r="BA682" s="3">
        <f t="shared" si="96"/>
        <v>91333</v>
      </c>
    </row>
    <row r="683" spans="1:53" x14ac:dyDescent="0.25">
      <c r="A683" s="1" t="s">
        <v>681</v>
      </c>
      <c r="B683" s="9" t="s">
        <v>2331</v>
      </c>
      <c r="C683" s="9" t="s">
        <v>1063</v>
      </c>
      <c r="D683" s="9" t="s">
        <v>2332</v>
      </c>
      <c r="E683" s="9" t="s">
        <v>1008</v>
      </c>
      <c r="F683" s="10">
        <v>45805</v>
      </c>
      <c r="G683" s="9" t="s">
        <v>1019</v>
      </c>
      <c r="I683" s="9" t="s">
        <v>1014</v>
      </c>
      <c r="J683" s="9" t="s">
        <v>1015</v>
      </c>
      <c r="K683" s="8" t="s">
        <v>1006</v>
      </c>
      <c r="L683" s="8" t="s">
        <v>1007</v>
      </c>
      <c r="M683" s="8" t="s">
        <v>2933</v>
      </c>
      <c r="N683" s="8" t="s">
        <v>2937</v>
      </c>
      <c r="O683" s="1" t="s">
        <v>2934</v>
      </c>
      <c r="P683">
        <v>30</v>
      </c>
      <c r="Q683">
        <v>30</v>
      </c>
      <c r="R683">
        <v>0</v>
      </c>
      <c r="S683">
        <f t="shared" si="98"/>
        <v>30</v>
      </c>
      <c r="T683" s="1" t="s">
        <v>2935</v>
      </c>
      <c r="U683" s="1" t="s">
        <v>2932</v>
      </c>
      <c r="V683" s="3">
        <f t="shared" si="99"/>
        <v>40000</v>
      </c>
      <c r="W683" s="3">
        <f t="shared" si="100"/>
        <v>16000</v>
      </c>
      <c r="X683" s="3">
        <f t="shared" si="92"/>
        <v>1250</v>
      </c>
      <c r="Y683" s="3">
        <f t="shared" si="93"/>
        <v>1600</v>
      </c>
      <c r="Z683" s="3">
        <f t="shared" si="94"/>
        <v>1800</v>
      </c>
      <c r="AA683" s="3">
        <v>0</v>
      </c>
      <c r="AB683" s="3">
        <f>ROUND(U683 - (V683+W683+X683+Y683) - (U683/Q683 * 2),0)</f>
        <v>34483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f>SUM(V683+W683+X683+Y683+AB683)</f>
        <v>93333</v>
      </c>
      <c r="AK683" s="3">
        <f>SUM(AJ683-AA683)</f>
        <v>93333</v>
      </c>
      <c r="AL683" s="3">
        <f>IF(V683&lt;=15000,V683*12%,1800)</f>
        <v>1800</v>
      </c>
      <c r="AM683" s="3">
        <v>0</v>
      </c>
      <c r="AN683" s="3">
        <f t="shared" si="95"/>
        <v>1800</v>
      </c>
      <c r="AO683" s="12">
        <v>200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3">
        <f t="shared" si="97"/>
        <v>200</v>
      </c>
      <c r="AV683" s="3">
        <f>SUM(AJ683 - AN683 - AU683)</f>
        <v>91333</v>
      </c>
      <c r="AW683" s="11">
        <v>0</v>
      </c>
      <c r="AX683" s="11">
        <v>0</v>
      </c>
      <c r="AY683" s="11">
        <v>0</v>
      </c>
      <c r="AZ683" s="11">
        <v>0</v>
      </c>
      <c r="BA683" s="3">
        <f t="shared" si="96"/>
        <v>91333</v>
      </c>
    </row>
    <row r="684" spans="1:53" x14ac:dyDescent="0.25">
      <c r="A684" s="1" t="s">
        <v>682</v>
      </c>
      <c r="B684" s="9" t="s">
        <v>1252</v>
      </c>
      <c r="C684" s="9" t="s">
        <v>1063</v>
      </c>
      <c r="D684" s="9" t="s">
        <v>2330</v>
      </c>
      <c r="E684" s="9" t="s">
        <v>1008</v>
      </c>
      <c r="F684" s="10">
        <v>45805</v>
      </c>
      <c r="G684" s="9" t="s">
        <v>1019</v>
      </c>
      <c r="I684" s="9" t="s">
        <v>1014</v>
      </c>
      <c r="J684" s="9" t="s">
        <v>1015</v>
      </c>
      <c r="K684" s="8" t="s">
        <v>1006</v>
      </c>
      <c r="L684" s="8" t="s">
        <v>1007</v>
      </c>
      <c r="M684" s="8" t="s">
        <v>2933</v>
      </c>
      <c r="N684" s="8" t="s">
        <v>2937</v>
      </c>
      <c r="O684" s="1" t="s">
        <v>2934</v>
      </c>
      <c r="P684">
        <v>30</v>
      </c>
      <c r="Q684">
        <v>30</v>
      </c>
      <c r="R684">
        <v>0</v>
      </c>
      <c r="S684">
        <f t="shared" si="98"/>
        <v>30</v>
      </c>
      <c r="T684" s="1" t="s">
        <v>2935</v>
      </c>
      <c r="U684" s="1" t="s">
        <v>2932</v>
      </c>
      <c r="V684" s="3">
        <f t="shared" si="99"/>
        <v>40000</v>
      </c>
      <c r="W684" s="3">
        <f t="shared" si="100"/>
        <v>16000</v>
      </c>
      <c r="X684" s="3">
        <f t="shared" si="92"/>
        <v>1250</v>
      </c>
      <c r="Y684" s="3">
        <f t="shared" si="93"/>
        <v>1600</v>
      </c>
      <c r="Z684" s="3">
        <f t="shared" si="94"/>
        <v>1800</v>
      </c>
      <c r="AA684" s="3">
        <v>0</v>
      </c>
      <c r="AB684" s="3">
        <f>ROUND(U684 - (V684+W684+X684+Y684) - (U684/Q684 * 2),0)</f>
        <v>34483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f>SUM(V684+W684+X684+Y684+AB684)</f>
        <v>93333</v>
      </c>
      <c r="AK684" s="3">
        <f>SUM(AJ684-AA684)</f>
        <v>93333</v>
      </c>
      <c r="AL684" s="3">
        <f>IF(V684&lt;=15000,V684*12%,1800)</f>
        <v>1800</v>
      </c>
      <c r="AM684" s="3">
        <v>0</v>
      </c>
      <c r="AN684" s="3">
        <f t="shared" si="95"/>
        <v>1800</v>
      </c>
      <c r="AO684" s="12">
        <v>200</v>
      </c>
      <c r="AP684" s="12">
        <v>0</v>
      </c>
      <c r="AQ684" s="12">
        <v>0</v>
      </c>
      <c r="AR684" s="12">
        <v>0</v>
      </c>
      <c r="AS684" s="12">
        <v>0</v>
      </c>
      <c r="AT684" s="12">
        <v>0</v>
      </c>
      <c r="AU684" s="3">
        <f t="shared" si="97"/>
        <v>200</v>
      </c>
      <c r="AV684" s="3">
        <f>SUM(AJ684 - AN684 - AU684)</f>
        <v>91333</v>
      </c>
      <c r="AW684" s="11">
        <v>0</v>
      </c>
      <c r="AX684" s="11">
        <v>0</v>
      </c>
      <c r="AY684" s="11">
        <v>0</v>
      </c>
      <c r="AZ684" s="11">
        <v>0</v>
      </c>
      <c r="BA684" s="3">
        <f t="shared" si="96"/>
        <v>91333</v>
      </c>
    </row>
    <row r="685" spans="1:53" x14ac:dyDescent="0.25">
      <c r="A685" s="1" t="s">
        <v>683</v>
      </c>
      <c r="B685" s="9" t="s">
        <v>2328</v>
      </c>
      <c r="C685" s="9" t="s">
        <v>1169</v>
      </c>
      <c r="D685" s="9" t="s">
        <v>2329</v>
      </c>
      <c r="E685" s="9" t="s">
        <v>1012</v>
      </c>
      <c r="F685" s="10">
        <v>45789</v>
      </c>
      <c r="G685" s="9" t="s">
        <v>1019</v>
      </c>
      <c r="I685" s="9" t="s">
        <v>1020</v>
      </c>
      <c r="J685" s="9" t="s">
        <v>1171</v>
      </c>
      <c r="K685" s="8" t="s">
        <v>1006</v>
      </c>
      <c r="L685" s="8" t="s">
        <v>1007</v>
      </c>
      <c r="M685" s="8" t="s">
        <v>2933</v>
      </c>
      <c r="N685" s="8" t="s">
        <v>2937</v>
      </c>
      <c r="O685" s="1" t="s">
        <v>2934</v>
      </c>
      <c r="P685">
        <v>30</v>
      </c>
      <c r="Q685">
        <v>30</v>
      </c>
      <c r="R685">
        <v>0</v>
      </c>
      <c r="S685">
        <f t="shared" si="98"/>
        <v>30</v>
      </c>
      <c r="T685" s="1" t="s">
        <v>2935</v>
      </c>
      <c r="U685" s="1" t="s">
        <v>2932</v>
      </c>
      <c r="V685" s="3">
        <f t="shared" si="99"/>
        <v>40000</v>
      </c>
      <c r="W685" s="3">
        <f t="shared" si="100"/>
        <v>16000</v>
      </c>
      <c r="X685" s="3">
        <f t="shared" si="92"/>
        <v>1250</v>
      </c>
      <c r="Y685" s="3">
        <f t="shared" si="93"/>
        <v>1600</v>
      </c>
      <c r="Z685" s="3">
        <f t="shared" si="94"/>
        <v>1800</v>
      </c>
      <c r="AA685" s="3">
        <v>0</v>
      </c>
      <c r="AB685" s="3">
        <f>ROUND(U685 - (V685+W685+X685+Y685) - (U685/Q685 * 2),0)</f>
        <v>34483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f>SUM(V685+W685+X685+Y685+AB685)</f>
        <v>93333</v>
      </c>
      <c r="AK685" s="3">
        <f>SUM(AJ685-AA685)</f>
        <v>93333</v>
      </c>
      <c r="AL685" s="3">
        <f>IF(V685&lt;=15000,V685*12%,1800)</f>
        <v>1800</v>
      </c>
      <c r="AM685" s="3">
        <v>0</v>
      </c>
      <c r="AN685" s="3">
        <f t="shared" si="95"/>
        <v>1800</v>
      </c>
      <c r="AO685" s="12">
        <v>200</v>
      </c>
      <c r="AP685" s="12">
        <v>0</v>
      </c>
      <c r="AQ685" s="12">
        <v>0</v>
      </c>
      <c r="AR685" s="12">
        <v>0</v>
      </c>
      <c r="AS685" s="12">
        <v>0</v>
      </c>
      <c r="AT685" s="12">
        <v>0</v>
      </c>
      <c r="AU685" s="3">
        <f t="shared" si="97"/>
        <v>200</v>
      </c>
      <c r="AV685" s="3">
        <f>SUM(AJ685 - AN685 - AU685)</f>
        <v>91333</v>
      </c>
      <c r="AW685" s="11">
        <v>0</v>
      </c>
      <c r="AX685" s="11">
        <v>0</v>
      </c>
      <c r="AY685" s="11">
        <v>0</v>
      </c>
      <c r="AZ685" s="11">
        <v>0</v>
      </c>
      <c r="BA685" s="3">
        <f t="shared" si="96"/>
        <v>91333</v>
      </c>
    </row>
    <row r="686" spans="1:53" x14ac:dyDescent="0.25">
      <c r="A686" s="1" t="s">
        <v>684</v>
      </c>
      <c r="B686" s="9" t="s">
        <v>2326</v>
      </c>
      <c r="C686" s="9" t="s">
        <v>1115</v>
      </c>
      <c r="D686" s="9" t="s">
        <v>2327</v>
      </c>
      <c r="E686" s="9" t="s">
        <v>1008</v>
      </c>
      <c r="F686" s="10">
        <v>45810</v>
      </c>
      <c r="G686" s="9" t="s">
        <v>1013</v>
      </c>
      <c r="I686" s="9" t="s">
        <v>1042</v>
      </c>
      <c r="J686" s="9" t="s">
        <v>1048</v>
      </c>
      <c r="K686" s="8" t="s">
        <v>1006</v>
      </c>
      <c r="L686" s="8" t="s">
        <v>1007</v>
      </c>
      <c r="M686" s="8" t="s">
        <v>2933</v>
      </c>
      <c r="N686" s="8" t="s">
        <v>2937</v>
      </c>
      <c r="O686" s="1" t="s">
        <v>2934</v>
      </c>
      <c r="P686">
        <v>30</v>
      </c>
      <c r="Q686">
        <v>30</v>
      </c>
      <c r="R686">
        <v>0</v>
      </c>
      <c r="S686">
        <f t="shared" si="98"/>
        <v>30</v>
      </c>
      <c r="T686" s="1" t="s">
        <v>2935</v>
      </c>
      <c r="U686" s="1" t="s">
        <v>2932</v>
      </c>
      <c r="V686" s="3">
        <f t="shared" si="99"/>
        <v>40000</v>
      </c>
      <c r="W686" s="3">
        <f t="shared" si="100"/>
        <v>16000</v>
      </c>
      <c r="X686" s="3">
        <f t="shared" si="92"/>
        <v>1250</v>
      </c>
      <c r="Y686" s="3">
        <f t="shared" si="93"/>
        <v>1600</v>
      </c>
      <c r="Z686" s="3">
        <f t="shared" si="94"/>
        <v>1800</v>
      </c>
      <c r="AA686" s="3">
        <v>0</v>
      </c>
      <c r="AB686" s="3">
        <f>ROUND(U686 - (V686+W686+X686+Y686) - (U686/Q686 * 2),0)</f>
        <v>34483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f>SUM(V686+W686+X686+Y686+AB686)</f>
        <v>93333</v>
      </c>
      <c r="AK686" s="3">
        <f>SUM(AJ686-AA686)</f>
        <v>93333</v>
      </c>
      <c r="AL686" s="3">
        <f>IF(V686&lt;=15000,V686*12%,1800)</f>
        <v>1800</v>
      </c>
      <c r="AM686" s="3">
        <v>0</v>
      </c>
      <c r="AN686" s="3">
        <f t="shared" si="95"/>
        <v>1800</v>
      </c>
      <c r="AO686" s="12">
        <v>200</v>
      </c>
      <c r="AP686" s="12">
        <v>0</v>
      </c>
      <c r="AQ686" s="12">
        <v>0</v>
      </c>
      <c r="AR686" s="12">
        <v>0</v>
      </c>
      <c r="AS686" s="12">
        <v>0</v>
      </c>
      <c r="AT686" s="12">
        <v>0</v>
      </c>
      <c r="AU686" s="3">
        <f t="shared" si="97"/>
        <v>200</v>
      </c>
      <c r="AV686" s="3">
        <f>SUM(AJ686 - AN686 - AU686)</f>
        <v>91333</v>
      </c>
      <c r="AW686" s="11">
        <v>0</v>
      </c>
      <c r="AX686" s="11">
        <v>0</v>
      </c>
      <c r="AY686" s="11">
        <v>0</v>
      </c>
      <c r="AZ686" s="11">
        <v>0</v>
      </c>
      <c r="BA686" s="3">
        <f t="shared" si="96"/>
        <v>91333</v>
      </c>
    </row>
    <row r="687" spans="1:53" x14ac:dyDescent="0.25">
      <c r="A687" s="1" t="s">
        <v>685</v>
      </c>
      <c r="B687" s="9" t="s">
        <v>2382</v>
      </c>
      <c r="C687" s="9" t="s">
        <v>1128</v>
      </c>
      <c r="D687" s="9" t="s">
        <v>2383</v>
      </c>
      <c r="E687" s="9" t="s">
        <v>1008</v>
      </c>
      <c r="F687" s="10">
        <v>45819</v>
      </c>
      <c r="G687" s="9" t="s">
        <v>1019</v>
      </c>
      <c r="I687" s="9" t="s">
        <v>1042</v>
      </c>
      <c r="J687" s="9" t="s">
        <v>1048</v>
      </c>
      <c r="K687" s="8" t="s">
        <v>1006</v>
      </c>
      <c r="L687" s="8" t="s">
        <v>1007</v>
      </c>
      <c r="M687" s="8" t="s">
        <v>2933</v>
      </c>
      <c r="N687" s="8" t="s">
        <v>2937</v>
      </c>
      <c r="O687" s="1" t="s">
        <v>2934</v>
      </c>
      <c r="P687">
        <v>30</v>
      </c>
      <c r="Q687">
        <v>30</v>
      </c>
      <c r="R687">
        <v>0</v>
      </c>
      <c r="S687">
        <f t="shared" si="98"/>
        <v>30</v>
      </c>
      <c r="T687" s="1" t="s">
        <v>2935</v>
      </c>
      <c r="U687" s="1" t="s">
        <v>2932</v>
      </c>
      <c r="V687" s="3">
        <f t="shared" si="99"/>
        <v>40000</v>
      </c>
      <c r="W687" s="3">
        <f t="shared" si="100"/>
        <v>16000</v>
      </c>
      <c r="X687" s="3">
        <f t="shared" si="92"/>
        <v>1250</v>
      </c>
      <c r="Y687" s="3">
        <f t="shared" si="93"/>
        <v>1600</v>
      </c>
      <c r="Z687" s="3">
        <f t="shared" si="94"/>
        <v>1800</v>
      </c>
      <c r="AA687" s="3">
        <v>0</v>
      </c>
      <c r="AB687" s="3">
        <f>ROUND(U687 - (V687+W687+X687+Y687) - (U687/Q687 * 2),0)</f>
        <v>34483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f>SUM(V687+W687+X687+Y687+AB687)</f>
        <v>93333</v>
      </c>
      <c r="AK687" s="3">
        <f>SUM(AJ687-AA687)</f>
        <v>93333</v>
      </c>
      <c r="AL687" s="3">
        <f>IF(V687&lt;=15000,V687*12%,1800)</f>
        <v>1800</v>
      </c>
      <c r="AM687" s="3">
        <v>0</v>
      </c>
      <c r="AN687" s="3">
        <f t="shared" si="95"/>
        <v>1800</v>
      </c>
      <c r="AO687" s="12">
        <v>200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3">
        <f t="shared" si="97"/>
        <v>200</v>
      </c>
      <c r="AV687" s="3">
        <f>SUM(AJ687 - AN687 - AU687)</f>
        <v>91333</v>
      </c>
      <c r="AW687" s="11">
        <v>0</v>
      </c>
      <c r="AX687" s="11">
        <v>0</v>
      </c>
      <c r="AY687" s="11">
        <v>0</v>
      </c>
      <c r="AZ687" s="11">
        <v>0</v>
      </c>
      <c r="BA687" s="3">
        <f t="shared" si="96"/>
        <v>91333</v>
      </c>
    </row>
    <row r="688" spans="1:53" x14ac:dyDescent="0.25">
      <c r="A688" s="1" t="s">
        <v>686</v>
      </c>
      <c r="B688" s="9" t="s">
        <v>2380</v>
      </c>
      <c r="C688" s="9" t="s">
        <v>1128</v>
      </c>
      <c r="D688" s="9" t="s">
        <v>2381</v>
      </c>
      <c r="E688" s="9" t="s">
        <v>1008</v>
      </c>
      <c r="F688" s="10">
        <v>45819</v>
      </c>
      <c r="G688" s="9" t="s">
        <v>1019</v>
      </c>
      <c r="I688" s="9" t="s">
        <v>1042</v>
      </c>
      <c r="J688" s="9" t="s">
        <v>1048</v>
      </c>
      <c r="K688" s="8" t="s">
        <v>1006</v>
      </c>
      <c r="L688" s="8" t="s">
        <v>1007</v>
      </c>
      <c r="M688" s="8" t="s">
        <v>2933</v>
      </c>
      <c r="N688" s="8" t="s">
        <v>2937</v>
      </c>
      <c r="O688" s="1" t="s">
        <v>2934</v>
      </c>
      <c r="P688">
        <v>30</v>
      </c>
      <c r="Q688">
        <v>30</v>
      </c>
      <c r="R688">
        <v>0</v>
      </c>
      <c r="S688">
        <f t="shared" si="98"/>
        <v>30</v>
      </c>
      <c r="T688" s="1" t="s">
        <v>2935</v>
      </c>
      <c r="U688" s="1" t="s">
        <v>2932</v>
      </c>
      <c r="V688" s="3">
        <f t="shared" si="99"/>
        <v>40000</v>
      </c>
      <c r="W688" s="3">
        <f t="shared" si="100"/>
        <v>16000</v>
      </c>
      <c r="X688" s="3">
        <f t="shared" si="92"/>
        <v>1250</v>
      </c>
      <c r="Y688" s="3">
        <f t="shared" si="93"/>
        <v>1600</v>
      </c>
      <c r="Z688" s="3">
        <f t="shared" si="94"/>
        <v>1800</v>
      </c>
      <c r="AA688" s="3">
        <v>0</v>
      </c>
      <c r="AB688" s="3">
        <f>ROUND(U688 - (V688+W688+X688+Y688) - (U688/Q688 * 2),0)</f>
        <v>34483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f>SUM(V688+W688+X688+Y688+AB688)</f>
        <v>93333</v>
      </c>
      <c r="AK688" s="3">
        <f>SUM(AJ688-AA688)</f>
        <v>93333</v>
      </c>
      <c r="AL688" s="3">
        <f>IF(V688&lt;=15000,V688*12%,1800)</f>
        <v>1800</v>
      </c>
      <c r="AM688" s="3">
        <v>0</v>
      </c>
      <c r="AN688" s="3">
        <f t="shared" si="95"/>
        <v>1800</v>
      </c>
      <c r="AO688" s="12">
        <v>200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3">
        <f t="shared" si="97"/>
        <v>200</v>
      </c>
      <c r="AV688" s="3">
        <f>SUM(AJ688 - AN688 - AU688)</f>
        <v>91333</v>
      </c>
      <c r="AW688" s="11">
        <v>0</v>
      </c>
      <c r="AX688" s="11">
        <v>0</v>
      </c>
      <c r="AY688" s="11">
        <v>0</v>
      </c>
      <c r="AZ688" s="11">
        <v>0</v>
      </c>
      <c r="BA688" s="3">
        <f t="shared" si="96"/>
        <v>91333</v>
      </c>
    </row>
    <row r="689" spans="1:53" x14ac:dyDescent="0.25">
      <c r="A689" s="1" t="s">
        <v>687</v>
      </c>
      <c r="B689" s="9" t="s">
        <v>2378</v>
      </c>
      <c r="C689" s="9" t="s">
        <v>1128</v>
      </c>
      <c r="D689" s="9" t="s">
        <v>2379</v>
      </c>
      <c r="E689" s="9" t="s">
        <v>1008</v>
      </c>
      <c r="F689" s="10">
        <v>45819</v>
      </c>
      <c r="G689" s="9" t="s">
        <v>1013</v>
      </c>
      <c r="I689" s="9" t="s">
        <v>1042</v>
      </c>
      <c r="J689" s="9" t="s">
        <v>1048</v>
      </c>
      <c r="K689" s="8" t="s">
        <v>1006</v>
      </c>
      <c r="L689" s="8" t="s">
        <v>1007</v>
      </c>
      <c r="M689" s="8" t="s">
        <v>2933</v>
      </c>
      <c r="N689" s="8" t="s">
        <v>2937</v>
      </c>
      <c r="O689" s="1" t="s">
        <v>2934</v>
      </c>
      <c r="P689">
        <v>30</v>
      </c>
      <c r="Q689">
        <v>30</v>
      </c>
      <c r="R689">
        <v>0</v>
      </c>
      <c r="S689">
        <f t="shared" si="98"/>
        <v>30</v>
      </c>
      <c r="T689" s="1" t="s">
        <v>2935</v>
      </c>
      <c r="U689" s="1" t="s">
        <v>2932</v>
      </c>
      <c r="V689" s="3">
        <f t="shared" si="99"/>
        <v>40000</v>
      </c>
      <c r="W689" s="3">
        <f t="shared" si="100"/>
        <v>16000</v>
      </c>
      <c r="X689" s="3">
        <f t="shared" si="92"/>
        <v>1250</v>
      </c>
      <c r="Y689" s="3">
        <f t="shared" si="93"/>
        <v>1600</v>
      </c>
      <c r="Z689" s="3">
        <f t="shared" si="94"/>
        <v>1800</v>
      </c>
      <c r="AA689" s="3">
        <v>0</v>
      </c>
      <c r="AB689" s="3">
        <f>ROUND(U689 - (V689+W689+X689+Y689) - (U689/Q689 * 2),0)</f>
        <v>34483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f>SUM(V689+W689+X689+Y689+AB689)</f>
        <v>93333</v>
      </c>
      <c r="AK689" s="3">
        <f>SUM(AJ689-AA689)</f>
        <v>93333</v>
      </c>
      <c r="AL689" s="3">
        <f>IF(V689&lt;=15000,V689*12%,1800)</f>
        <v>1800</v>
      </c>
      <c r="AM689" s="3">
        <v>0</v>
      </c>
      <c r="AN689" s="3">
        <f t="shared" si="95"/>
        <v>1800</v>
      </c>
      <c r="AO689" s="12">
        <v>200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3">
        <f t="shared" si="97"/>
        <v>200</v>
      </c>
      <c r="AV689" s="3">
        <f>SUM(AJ689 - AN689 - AU689)</f>
        <v>91333</v>
      </c>
      <c r="AW689" s="11">
        <v>0</v>
      </c>
      <c r="AX689" s="11">
        <v>0</v>
      </c>
      <c r="AY689" s="11">
        <v>0</v>
      </c>
      <c r="AZ689" s="11">
        <v>0</v>
      </c>
      <c r="BA689" s="3">
        <f t="shared" si="96"/>
        <v>91333</v>
      </c>
    </row>
    <row r="690" spans="1:53" x14ac:dyDescent="0.25">
      <c r="A690" s="1" t="s">
        <v>688</v>
      </c>
      <c r="B690" s="9" t="s">
        <v>2376</v>
      </c>
      <c r="C690" s="9" t="s">
        <v>1128</v>
      </c>
      <c r="D690" s="9" t="s">
        <v>2377</v>
      </c>
      <c r="E690" s="9" t="s">
        <v>1008</v>
      </c>
      <c r="F690" s="10">
        <v>45819</v>
      </c>
      <c r="G690" s="9" t="s">
        <v>1019</v>
      </c>
      <c r="I690" s="9" t="s">
        <v>1042</v>
      </c>
      <c r="J690" s="9" t="s">
        <v>1048</v>
      </c>
      <c r="K690" s="8" t="s">
        <v>1006</v>
      </c>
      <c r="L690" s="8" t="s">
        <v>1007</v>
      </c>
      <c r="M690" s="8" t="s">
        <v>2933</v>
      </c>
      <c r="N690" s="8" t="s">
        <v>2937</v>
      </c>
      <c r="O690" s="1" t="s">
        <v>2934</v>
      </c>
      <c r="P690">
        <v>30</v>
      </c>
      <c r="Q690">
        <v>30</v>
      </c>
      <c r="R690">
        <v>0</v>
      </c>
      <c r="S690">
        <f t="shared" si="98"/>
        <v>30</v>
      </c>
      <c r="T690" s="1" t="s">
        <v>2935</v>
      </c>
      <c r="U690" s="1" t="s">
        <v>2932</v>
      </c>
      <c r="V690" s="3">
        <f t="shared" si="99"/>
        <v>40000</v>
      </c>
      <c r="W690" s="3">
        <f t="shared" si="100"/>
        <v>16000</v>
      </c>
      <c r="X690" s="3">
        <f t="shared" si="92"/>
        <v>1250</v>
      </c>
      <c r="Y690" s="3">
        <f t="shared" si="93"/>
        <v>1600</v>
      </c>
      <c r="Z690" s="3">
        <f t="shared" si="94"/>
        <v>1800</v>
      </c>
      <c r="AA690" s="3">
        <v>0</v>
      </c>
      <c r="AB690" s="3">
        <f>ROUND(U690 - (V690+W690+X690+Y690) - (U690/Q690 * 2),0)</f>
        <v>34483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f>SUM(V690+W690+X690+Y690+AB690)</f>
        <v>93333</v>
      </c>
      <c r="AK690" s="3">
        <f>SUM(AJ690-AA690)</f>
        <v>93333</v>
      </c>
      <c r="AL690" s="3">
        <f>IF(V690&lt;=15000,V690*12%,1800)</f>
        <v>1800</v>
      </c>
      <c r="AM690" s="3">
        <v>0</v>
      </c>
      <c r="AN690" s="3">
        <f t="shared" si="95"/>
        <v>1800</v>
      </c>
      <c r="AO690" s="12">
        <v>200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3">
        <f t="shared" si="97"/>
        <v>200</v>
      </c>
      <c r="AV690" s="3">
        <f>SUM(AJ690 - AN690 - AU690)</f>
        <v>91333</v>
      </c>
      <c r="AW690" s="11">
        <v>0</v>
      </c>
      <c r="AX690" s="11">
        <v>0</v>
      </c>
      <c r="AY690" s="11">
        <v>0</v>
      </c>
      <c r="AZ690" s="11">
        <v>0</v>
      </c>
      <c r="BA690" s="3">
        <f t="shared" si="96"/>
        <v>91333</v>
      </c>
    </row>
    <row r="691" spans="1:53" x14ac:dyDescent="0.25">
      <c r="A691" s="1" t="s">
        <v>689</v>
      </c>
      <c r="B691" s="9" t="s">
        <v>2374</v>
      </c>
      <c r="C691" s="9" t="s">
        <v>1128</v>
      </c>
      <c r="D691" s="9" t="s">
        <v>2375</v>
      </c>
      <c r="E691" s="9" t="s">
        <v>1008</v>
      </c>
      <c r="F691" s="10">
        <v>45819</v>
      </c>
      <c r="G691" s="9" t="s">
        <v>1013</v>
      </c>
      <c r="I691" s="9" t="s">
        <v>1042</v>
      </c>
      <c r="J691" s="9" t="s">
        <v>1048</v>
      </c>
      <c r="K691" s="8" t="s">
        <v>1006</v>
      </c>
      <c r="L691" s="8" t="s">
        <v>1007</v>
      </c>
      <c r="M691" s="8" t="s">
        <v>2933</v>
      </c>
      <c r="N691" s="8" t="s">
        <v>2937</v>
      </c>
      <c r="O691" s="1" t="s">
        <v>2934</v>
      </c>
      <c r="P691">
        <v>30</v>
      </c>
      <c r="Q691">
        <v>30</v>
      </c>
      <c r="R691">
        <v>0</v>
      </c>
      <c r="S691">
        <f t="shared" si="98"/>
        <v>30</v>
      </c>
      <c r="T691" s="1" t="s">
        <v>2935</v>
      </c>
      <c r="U691" s="1" t="s">
        <v>2932</v>
      </c>
      <c r="V691" s="3">
        <f t="shared" si="99"/>
        <v>40000</v>
      </c>
      <c r="W691" s="3">
        <f t="shared" si="100"/>
        <v>16000</v>
      </c>
      <c r="X691" s="3">
        <f t="shared" si="92"/>
        <v>1250</v>
      </c>
      <c r="Y691" s="3">
        <f t="shared" si="93"/>
        <v>1600</v>
      </c>
      <c r="Z691" s="3">
        <f t="shared" si="94"/>
        <v>1800</v>
      </c>
      <c r="AA691" s="3">
        <v>0</v>
      </c>
      <c r="AB691" s="3">
        <f>ROUND(U691 - (V691+W691+X691+Y691) - (U691/Q691 * 2),0)</f>
        <v>34483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f>SUM(V691+W691+X691+Y691+AB691)</f>
        <v>93333</v>
      </c>
      <c r="AK691" s="3">
        <f>SUM(AJ691-AA691)</f>
        <v>93333</v>
      </c>
      <c r="AL691" s="3">
        <f>IF(V691&lt;=15000,V691*12%,1800)</f>
        <v>1800</v>
      </c>
      <c r="AM691" s="3">
        <v>0</v>
      </c>
      <c r="AN691" s="3">
        <f t="shared" si="95"/>
        <v>1800</v>
      </c>
      <c r="AO691" s="12">
        <v>200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3">
        <f t="shared" si="97"/>
        <v>200</v>
      </c>
      <c r="AV691" s="3">
        <f>SUM(AJ691 - AN691 - AU691)</f>
        <v>91333</v>
      </c>
      <c r="AW691" s="11">
        <v>0</v>
      </c>
      <c r="AX691" s="11">
        <v>0</v>
      </c>
      <c r="AY691" s="11">
        <v>0</v>
      </c>
      <c r="AZ691" s="11">
        <v>0</v>
      </c>
      <c r="BA691" s="3">
        <f t="shared" si="96"/>
        <v>91333</v>
      </c>
    </row>
    <row r="692" spans="1:53" x14ac:dyDescent="0.25">
      <c r="A692" s="1" t="s">
        <v>690</v>
      </c>
      <c r="B692" s="9" t="s">
        <v>2372</v>
      </c>
      <c r="C692" s="9" t="s">
        <v>1010</v>
      </c>
      <c r="D692" s="9" t="s">
        <v>2373</v>
      </c>
      <c r="E692" s="9" t="s">
        <v>1012</v>
      </c>
      <c r="F692" s="10">
        <v>45810</v>
      </c>
      <c r="G692" s="9" t="s">
        <v>1019</v>
      </c>
      <c r="I692" s="9" t="s">
        <v>1014</v>
      </c>
      <c r="J692" s="9" t="s">
        <v>1052</v>
      </c>
      <c r="K692" s="8" t="s">
        <v>1006</v>
      </c>
      <c r="L692" s="8" t="s">
        <v>1007</v>
      </c>
      <c r="M692" s="8" t="s">
        <v>2933</v>
      </c>
      <c r="N692" s="8" t="s">
        <v>2937</v>
      </c>
      <c r="O692" s="1" t="s">
        <v>2934</v>
      </c>
      <c r="P692">
        <v>30</v>
      </c>
      <c r="Q692">
        <v>30</v>
      </c>
      <c r="R692">
        <v>0</v>
      </c>
      <c r="S692">
        <f t="shared" si="98"/>
        <v>30</v>
      </c>
      <c r="T692" s="1" t="s">
        <v>2935</v>
      </c>
      <c r="U692" s="1" t="s">
        <v>2932</v>
      </c>
      <c r="V692" s="3">
        <f t="shared" si="99"/>
        <v>40000</v>
      </c>
      <c r="W692" s="3">
        <f t="shared" si="100"/>
        <v>16000</v>
      </c>
      <c r="X692" s="3">
        <f t="shared" si="92"/>
        <v>1250</v>
      </c>
      <c r="Y692" s="3">
        <f t="shared" si="93"/>
        <v>1600</v>
      </c>
      <c r="Z692" s="3">
        <f t="shared" si="94"/>
        <v>1800</v>
      </c>
      <c r="AA692" s="3">
        <v>0</v>
      </c>
      <c r="AB692" s="3">
        <f>ROUND(U692 - (V692+W692+X692+Y692) - (U692/Q692 * 2),0)</f>
        <v>34483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f>SUM(V692+W692+X692+Y692+AB692)</f>
        <v>93333</v>
      </c>
      <c r="AK692" s="3">
        <f>SUM(AJ692-AA692)</f>
        <v>93333</v>
      </c>
      <c r="AL692" s="3">
        <f>IF(V692&lt;=15000,V692*12%,1800)</f>
        <v>1800</v>
      </c>
      <c r="AM692" s="3">
        <v>0</v>
      </c>
      <c r="AN692" s="3">
        <f t="shared" si="95"/>
        <v>1800</v>
      </c>
      <c r="AO692" s="12">
        <v>200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3">
        <f t="shared" si="97"/>
        <v>200</v>
      </c>
      <c r="AV692" s="3">
        <f>SUM(AJ692 - AN692 - AU692)</f>
        <v>91333</v>
      </c>
      <c r="AW692" s="11">
        <v>0</v>
      </c>
      <c r="AX692" s="11">
        <v>0</v>
      </c>
      <c r="AY692" s="11">
        <v>0</v>
      </c>
      <c r="AZ692" s="11">
        <v>0</v>
      </c>
      <c r="BA692" s="3">
        <f t="shared" si="96"/>
        <v>91333</v>
      </c>
    </row>
    <row r="693" spans="1:53" x14ac:dyDescent="0.25">
      <c r="A693" s="1" t="s">
        <v>691</v>
      </c>
      <c r="B693" s="9" t="s">
        <v>2370</v>
      </c>
      <c r="C693" s="9" t="s">
        <v>1128</v>
      </c>
      <c r="D693" s="9" t="s">
        <v>2371</v>
      </c>
      <c r="E693" s="9" t="s">
        <v>1008</v>
      </c>
      <c r="F693" s="10">
        <v>45819</v>
      </c>
      <c r="G693" s="9" t="s">
        <v>1013</v>
      </c>
      <c r="I693" s="9" t="s">
        <v>1042</v>
      </c>
      <c r="J693" s="9" t="s">
        <v>1048</v>
      </c>
      <c r="K693" s="8" t="s">
        <v>1006</v>
      </c>
      <c r="L693" s="8" t="s">
        <v>1007</v>
      </c>
      <c r="M693" s="8" t="s">
        <v>2933</v>
      </c>
      <c r="N693" s="8" t="s">
        <v>2937</v>
      </c>
      <c r="O693" s="1" t="s">
        <v>2934</v>
      </c>
      <c r="P693">
        <v>30</v>
      </c>
      <c r="Q693">
        <v>30</v>
      </c>
      <c r="R693">
        <v>0</v>
      </c>
      <c r="S693">
        <f t="shared" si="98"/>
        <v>30</v>
      </c>
      <c r="T693" s="1" t="s">
        <v>2935</v>
      </c>
      <c r="U693" s="1" t="s">
        <v>2932</v>
      </c>
      <c r="V693" s="3">
        <f t="shared" si="99"/>
        <v>40000</v>
      </c>
      <c r="W693" s="3">
        <f t="shared" si="100"/>
        <v>16000</v>
      </c>
      <c r="X693" s="3">
        <f t="shared" si="92"/>
        <v>1250</v>
      </c>
      <c r="Y693" s="3">
        <f t="shared" si="93"/>
        <v>1600</v>
      </c>
      <c r="Z693" s="3">
        <f t="shared" si="94"/>
        <v>1800</v>
      </c>
      <c r="AA693" s="3">
        <v>0</v>
      </c>
      <c r="AB693" s="3">
        <f>ROUND(U693 - (V693+W693+X693+Y693) - (U693/Q693 * 2),0)</f>
        <v>34483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f>SUM(V693+W693+X693+Y693+AB693)</f>
        <v>93333</v>
      </c>
      <c r="AK693" s="3">
        <f>SUM(AJ693-AA693)</f>
        <v>93333</v>
      </c>
      <c r="AL693" s="3">
        <f>IF(V693&lt;=15000,V693*12%,1800)</f>
        <v>1800</v>
      </c>
      <c r="AM693" s="3">
        <v>0</v>
      </c>
      <c r="AN693" s="3">
        <f t="shared" si="95"/>
        <v>1800</v>
      </c>
      <c r="AO693" s="12">
        <v>200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3">
        <f t="shared" si="97"/>
        <v>200</v>
      </c>
      <c r="AV693" s="3">
        <f>SUM(AJ693 - AN693 - AU693)</f>
        <v>91333</v>
      </c>
      <c r="AW693" s="11">
        <v>0</v>
      </c>
      <c r="AX693" s="11">
        <v>0</v>
      </c>
      <c r="AY693" s="11">
        <v>0</v>
      </c>
      <c r="AZ693" s="11">
        <v>0</v>
      </c>
      <c r="BA693" s="3">
        <f t="shared" si="96"/>
        <v>91333</v>
      </c>
    </row>
    <row r="694" spans="1:53" x14ac:dyDescent="0.25">
      <c r="A694" s="1" t="s">
        <v>692</v>
      </c>
      <c r="B694" s="9" t="s">
        <v>2368</v>
      </c>
      <c r="C694" s="9" t="s">
        <v>1128</v>
      </c>
      <c r="D694" s="9" t="s">
        <v>2369</v>
      </c>
      <c r="E694" s="9" t="s">
        <v>1008</v>
      </c>
      <c r="F694" s="10">
        <v>45819</v>
      </c>
      <c r="G694" s="9" t="s">
        <v>1013</v>
      </c>
      <c r="I694" s="9" t="s">
        <v>1042</v>
      </c>
      <c r="J694" s="9" t="s">
        <v>1048</v>
      </c>
      <c r="K694" s="8" t="s">
        <v>1006</v>
      </c>
      <c r="L694" s="8" t="s">
        <v>1007</v>
      </c>
      <c r="M694" s="8" t="s">
        <v>2933</v>
      </c>
      <c r="N694" s="8" t="s">
        <v>2937</v>
      </c>
      <c r="O694" s="1" t="s">
        <v>2934</v>
      </c>
      <c r="P694">
        <v>30</v>
      </c>
      <c r="Q694">
        <v>30</v>
      </c>
      <c r="R694">
        <v>0</v>
      </c>
      <c r="S694">
        <f t="shared" si="98"/>
        <v>30</v>
      </c>
      <c r="T694" s="1" t="s">
        <v>2935</v>
      </c>
      <c r="U694" s="1" t="s">
        <v>2932</v>
      </c>
      <c r="V694" s="3">
        <f t="shared" si="99"/>
        <v>40000</v>
      </c>
      <c r="W694" s="3">
        <f t="shared" si="100"/>
        <v>16000</v>
      </c>
      <c r="X694" s="3">
        <f t="shared" si="92"/>
        <v>1250</v>
      </c>
      <c r="Y694" s="3">
        <f t="shared" si="93"/>
        <v>1600</v>
      </c>
      <c r="Z694" s="3">
        <f t="shared" si="94"/>
        <v>1800</v>
      </c>
      <c r="AA694" s="3">
        <v>0</v>
      </c>
      <c r="AB694" s="3">
        <f>ROUND(U694 - (V694+W694+X694+Y694) - (U694/Q694 * 2),0)</f>
        <v>34483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f>SUM(V694+W694+X694+Y694+AB694)</f>
        <v>93333</v>
      </c>
      <c r="AK694" s="3">
        <f>SUM(AJ694-AA694)</f>
        <v>93333</v>
      </c>
      <c r="AL694" s="3">
        <f>IF(V694&lt;=15000,V694*12%,1800)</f>
        <v>1800</v>
      </c>
      <c r="AM694" s="3">
        <v>0</v>
      </c>
      <c r="AN694" s="3">
        <f t="shared" si="95"/>
        <v>1800</v>
      </c>
      <c r="AO694" s="12">
        <v>200</v>
      </c>
      <c r="AP694" s="12">
        <v>0</v>
      </c>
      <c r="AQ694" s="12">
        <v>0</v>
      </c>
      <c r="AR694" s="12">
        <v>0</v>
      </c>
      <c r="AS694" s="12">
        <v>0</v>
      </c>
      <c r="AT694" s="12">
        <v>0</v>
      </c>
      <c r="AU694" s="3">
        <f t="shared" si="97"/>
        <v>200</v>
      </c>
      <c r="AV694" s="3">
        <f>SUM(AJ694 - AN694 - AU694)</f>
        <v>91333</v>
      </c>
      <c r="AW694" s="11">
        <v>0</v>
      </c>
      <c r="AX694" s="11">
        <v>0</v>
      </c>
      <c r="AY694" s="11">
        <v>0</v>
      </c>
      <c r="AZ694" s="11">
        <v>0</v>
      </c>
      <c r="BA694" s="3">
        <f t="shared" si="96"/>
        <v>91333</v>
      </c>
    </row>
    <row r="695" spans="1:53" x14ac:dyDescent="0.25">
      <c r="A695" s="1" t="s">
        <v>693</v>
      </c>
      <c r="B695" s="9" t="s">
        <v>2366</v>
      </c>
      <c r="C695" s="9" t="s">
        <v>1128</v>
      </c>
      <c r="D695" s="9" t="s">
        <v>2367</v>
      </c>
      <c r="E695" s="9" t="s">
        <v>1008</v>
      </c>
      <c r="F695" s="10">
        <v>45819</v>
      </c>
      <c r="G695" s="9" t="s">
        <v>1019</v>
      </c>
      <c r="I695" s="9" t="s">
        <v>1042</v>
      </c>
      <c r="J695" s="9" t="s">
        <v>1048</v>
      </c>
      <c r="K695" s="8" t="s">
        <v>1006</v>
      </c>
      <c r="L695" s="8" t="s">
        <v>1007</v>
      </c>
      <c r="M695" s="8" t="s">
        <v>2933</v>
      </c>
      <c r="N695" s="8" t="s">
        <v>2937</v>
      </c>
      <c r="O695" s="1" t="s">
        <v>2934</v>
      </c>
      <c r="P695">
        <v>30</v>
      </c>
      <c r="Q695">
        <v>30</v>
      </c>
      <c r="R695">
        <v>0</v>
      </c>
      <c r="S695">
        <f t="shared" si="98"/>
        <v>30</v>
      </c>
      <c r="T695" s="1" t="s">
        <v>2935</v>
      </c>
      <c r="U695" s="1" t="s">
        <v>2932</v>
      </c>
      <c r="V695" s="3">
        <f t="shared" si="99"/>
        <v>40000</v>
      </c>
      <c r="W695" s="3">
        <f t="shared" si="100"/>
        <v>16000</v>
      </c>
      <c r="X695" s="3">
        <f t="shared" si="92"/>
        <v>1250</v>
      </c>
      <c r="Y695" s="3">
        <f t="shared" si="93"/>
        <v>1600</v>
      </c>
      <c r="Z695" s="3">
        <f t="shared" si="94"/>
        <v>1800</v>
      </c>
      <c r="AA695" s="3">
        <v>0</v>
      </c>
      <c r="AB695" s="3">
        <f>ROUND(U695 - (V695+W695+X695+Y695) - (U695/Q695 * 2),0)</f>
        <v>34483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f>SUM(V695+W695+X695+Y695+AB695)</f>
        <v>93333</v>
      </c>
      <c r="AK695" s="3">
        <f>SUM(AJ695-AA695)</f>
        <v>93333</v>
      </c>
      <c r="AL695" s="3">
        <f>IF(V695&lt;=15000,V695*12%,1800)</f>
        <v>1800</v>
      </c>
      <c r="AM695" s="3">
        <v>0</v>
      </c>
      <c r="AN695" s="3">
        <f t="shared" si="95"/>
        <v>1800</v>
      </c>
      <c r="AO695" s="12">
        <v>200</v>
      </c>
      <c r="AP695" s="12">
        <v>0</v>
      </c>
      <c r="AQ695" s="12">
        <v>0</v>
      </c>
      <c r="AR695" s="12">
        <v>0</v>
      </c>
      <c r="AS695" s="12">
        <v>0</v>
      </c>
      <c r="AT695" s="12">
        <v>0</v>
      </c>
      <c r="AU695" s="3">
        <f t="shared" si="97"/>
        <v>200</v>
      </c>
      <c r="AV695" s="3">
        <f>SUM(AJ695 - AN695 - AU695)</f>
        <v>91333</v>
      </c>
      <c r="AW695" s="11">
        <v>0</v>
      </c>
      <c r="AX695" s="11">
        <v>0</v>
      </c>
      <c r="AY695" s="11">
        <v>0</v>
      </c>
      <c r="AZ695" s="11">
        <v>0</v>
      </c>
      <c r="BA695" s="3">
        <f t="shared" si="96"/>
        <v>91333</v>
      </c>
    </row>
    <row r="696" spans="1:53" x14ac:dyDescent="0.25">
      <c r="A696" s="1" t="s">
        <v>694</v>
      </c>
      <c r="B696" s="9" t="s">
        <v>2364</v>
      </c>
      <c r="C696" s="9" t="s">
        <v>1128</v>
      </c>
      <c r="D696" s="9" t="s">
        <v>2365</v>
      </c>
      <c r="E696" s="9" t="s">
        <v>1008</v>
      </c>
      <c r="F696" s="10">
        <v>45819</v>
      </c>
      <c r="G696" s="9" t="s">
        <v>1013</v>
      </c>
      <c r="I696" s="9" t="s">
        <v>1042</v>
      </c>
      <c r="J696" s="9" t="s">
        <v>1048</v>
      </c>
      <c r="K696" s="8" t="s">
        <v>1006</v>
      </c>
      <c r="L696" s="8" t="s">
        <v>1007</v>
      </c>
      <c r="M696" s="8" t="s">
        <v>2933</v>
      </c>
      <c r="N696" s="8" t="s">
        <v>2937</v>
      </c>
      <c r="O696" s="1" t="s">
        <v>2934</v>
      </c>
      <c r="P696">
        <v>30</v>
      </c>
      <c r="Q696">
        <v>30</v>
      </c>
      <c r="R696">
        <v>0</v>
      </c>
      <c r="S696">
        <f t="shared" si="98"/>
        <v>30</v>
      </c>
      <c r="T696" s="1" t="s">
        <v>2935</v>
      </c>
      <c r="U696" s="1" t="s">
        <v>2932</v>
      </c>
      <c r="V696" s="3">
        <f t="shared" si="99"/>
        <v>40000</v>
      </c>
      <c r="W696" s="3">
        <f t="shared" si="100"/>
        <v>16000</v>
      </c>
      <c r="X696" s="3">
        <f t="shared" si="92"/>
        <v>1250</v>
      </c>
      <c r="Y696" s="3">
        <f t="shared" si="93"/>
        <v>1600</v>
      </c>
      <c r="Z696" s="3">
        <f t="shared" si="94"/>
        <v>1800</v>
      </c>
      <c r="AA696" s="3">
        <v>0</v>
      </c>
      <c r="AB696" s="3">
        <f>ROUND(U696 - (V696+W696+X696+Y696) - (U696/Q696 * 2),0)</f>
        <v>34483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f>SUM(V696+W696+X696+Y696+AB696)</f>
        <v>93333</v>
      </c>
      <c r="AK696" s="3">
        <f>SUM(AJ696-AA696)</f>
        <v>93333</v>
      </c>
      <c r="AL696" s="3">
        <f>IF(V696&lt;=15000,V696*12%,1800)</f>
        <v>1800</v>
      </c>
      <c r="AM696" s="3">
        <v>0</v>
      </c>
      <c r="AN696" s="3">
        <f t="shared" si="95"/>
        <v>1800</v>
      </c>
      <c r="AO696" s="12">
        <v>200</v>
      </c>
      <c r="AP696" s="12">
        <v>0</v>
      </c>
      <c r="AQ696" s="12">
        <v>0</v>
      </c>
      <c r="AR696" s="12">
        <v>0</v>
      </c>
      <c r="AS696" s="12">
        <v>0</v>
      </c>
      <c r="AT696" s="12">
        <v>0</v>
      </c>
      <c r="AU696" s="3">
        <f t="shared" si="97"/>
        <v>200</v>
      </c>
      <c r="AV696" s="3">
        <f>SUM(AJ696 - AN696 - AU696)</f>
        <v>91333</v>
      </c>
      <c r="AW696" s="11">
        <v>0</v>
      </c>
      <c r="AX696" s="11">
        <v>0</v>
      </c>
      <c r="AY696" s="11">
        <v>0</v>
      </c>
      <c r="AZ696" s="11">
        <v>0</v>
      </c>
      <c r="BA696" s="3">
        <f t="shared" si="96"/>
        <v>91333</v>
      </c>
    </row>
    <row r="697" spans="1:53" x14ac:dyDescent="0.25">
      <c r="A697" s="1" t="s">
        <v>695</v>
      </c>
      <c r="B697" s="9" t="s">
        <v>1403</v>
      </c>
      <c r="C697" s="9" t="s">
        <v>1026</v>
      </c>
      <c r="D697" s="9" t="s">
        <v>2363</v>
      </c>
      <c r="E697" s="9" t="s">
        <v>1008</v>
      </c>
      <c r="F697" s="10">
        <v>45810</v>
      </c>
      <c r="G697" s="9" t="s">
        <v>1019</v>
      </c>
      <c r="I697" s="9" t="s">
        <v>1014</v>
      </c>
      <c r="J697" s="9" t="s">
        <v>1015</v>
      </c>
      <c r="K697" s="8" t="s">
        <v>1006</v>
      </c>
      <c r="L697" s="8" t="s">
        <v>1007</v>
      </c>
      <c r="M697" s="8" t="s">
        <v>2933</v>
      </c>
      <c r="N697" s="8" t="s">
        <v>2937</v>
      </c>
      <c r="O697" s="1" t="s">
        <v>2934</v>
      </c>
      <c r="P697">
        <v>30</v>
      </c>
      <c r="Q697">
        <v>30</v>
      </c>
      <c r="R697">
        <v>0</v>
      </c>
      <c r="S697">
        <f t="shared" si="98"/>
        <v>30</v>
      </c>
      <c r="T697" s="1" t="s">
        <v>2935</v>
      </c>
      <c r="U697" s="1" t="s">
        <v>2932</v>
      </c>
      <c r="V697" s="3">
        <f t="shared" si="99"/>
        <v>40000</v>
      </c>
      <c r="W697" s="3">
        <f t="shared" si="100"/>
        <v>16000</v>
      </c>
      <c r="X697" s="3">
        <f t="shared" si="92"/>
        <v>1250</v>
      </c>
      <c r="Y697" s="3">
        <f t="shared" si="93"/>
        <v>1600</v>
      </c>
      <c r="Z697" s="3">
        <f t="shared" si="94"/>
        <v>1800</v>
      </c>
      <c r="AA697" s="3">
        <v>0</v>
      </c>
      <c r="AB697" s="3">
        <f>ROUND(U697 - (V697+W697+X697+Y697) - (U697/Q697 * 2),0)</f>
        <v>34483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f>SUM(V697+W697+X697+Y697+AB697)</f>
        <v>93333</v>
      </c>
      <c r="AK697" s="3">
        <f>SUM(AJ697-AA697)</f>
        <v>93333</v>
      </c>
      <c r="AL697" s="3">
        <f>IF(V697&lt;=15000,V697*12%,1800)</f>
        <v>1800</v>
      </c>
      <c r="AM697" s="3">
        <v>0</v>
      </c>
      <c r="AN697" s="3">
        <f t="shared" si="95"/>
        <v>1800</v>
      </c>
      <c r="AO697" s="12">
        <v>200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3">
        <f t="shared" si="97"/>
        <v>200</v>
      </c>
      <c r="AV697" s="3">
        <f>SUM(AJ697 - AN697 - AU697)</f>
        <v>91333</v>
      </c>
      <c r="AW697" s="11">
        <v>0</v>
      </c>
      <c r="AX697" s="11">
        <v>0</v>
      </c>
      <c r="AY697" s="11">
        <v>0</v>
      </c>
      <c r="AZ697" s="11">
        <v>0</v>
      </c>
      <c r="BA697" s="3">
        <f t="shared" si="96"/>
        <v>91333</v>
      </c>
    </row>
    <row r="698" spans="1:53" x14ac:dyDescent="0.25">
      <c r="A698" s="1" t="s">
        <v>696</v>
      </c>
      <c r="B698" s="9" t="s">
        <v>1385</v>
      </c>
      <c r="C698" s="9" t="s">
        <v>1010</v>
      </c>
      <c r="D698" s="9" t="s">
        <v>2362</v>
      </c>
      <c r="E698" s="9" t="s">
        <v>1008</v>
      </c>
      <c r="F698" s="10">
        <v>45810</v>
      </c>
      <c r="G698" s="9" t="s">
        <v>1019</v>
      </c>
      <c r="I698" s="9" t="s">
        <v>1014</v>
      </c>
      <c r="J698" s="9" t="s">
        <v>1015</v>
      </c>
      <c r="K698" s="8" t="s">
        <v>1006</v>
      </c>
      <c r="L698" s="8" t="s">
        <v>1007</v>
      </c>
      <c r="M698" s="8" t="s">
        <v>2933</v>
      </c>
      <c r="N698" s="8" t="s">
        <v>2937</v>
      </c>
      <c r="O698" s="1" t="s">
        <v>2934</v>
      </c>
      <c r="P698">
        <v>30</v>
      </c>
      <c r="Q698">
        <v>30</v>
      </c>
      <c r="R698">
        <v>0</v>
      </c>
      <c r="S698">
        <f t="shared" si="98"/>
        <v>30</v>
      </c>
      <c r="T698" s="1" t="s">
        <v>2935</v>
      </c>
      <c r="U698" s="1" t="s">
        <v>2932</v>
      </c>
      <c r="V698" s="3">
        <f t="shared" si="99"/>
        <v>40000</v>
      </c>
      <c r="W698" s="3">
        <f t="shared" si="100"/>
        <v>16000</v>
      </c>
      <c r="X698" s="3">
        <f t="shared" si="92"/>
        <v>1250</v>
      </c>
      <c r="Y698" s="3">
        <f t="shared" si="93"/>
        <v>1600</v>
      </c>
      <c r="Z698" s="3">
        <f t="shared" si="94"/>
        <v>1800</v>
      </c>
      <c r="AA698" s="3">
        <v>0</v>
      </c>
      <c r="AB698" s="3">
        <f>ROUND(U698 - (V698+W698+X698+Y698) - (U698/Q698 * 2),0)</f>
        <v>34483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f>SUM(V698+W698+X698+Y698+AB698)</f>
        <v>93333</v>
      </c>
      <c r="AK698" s="3">
        <f>SUM(AJ698-AA698)</f>
        <v>93333</v>
      </c>
      <c r="AL698" s="3">
        <f>IF(V698&lt;=15000,V698*12%,1800)</f>
        <v>1800</v>
      </c>
      <c r="AM698" s="3">
        <v>0</v>
      </c>
      <c r="AN698" s="3">
        <f t="shared" si="95"/>
        <v>1800</v>
      </c>
      <c r="AO698" s="12">
        <v>200</v>
      </c>
      <c r="AP698" s="12">
        <v>0</v>
      </c>
      <c r="AQ698" s="12">
        <v>0</v>
      </c>
      <c r="AR698" s="12">
        <v>0</v>
      </c>
      <c r="AS698" s="12">
        <v>0</v>
      </c>
      <c r="AT698" s="12">
        <v>0</v>
      </c>
      <c r="AU698" s="3">
        <f t="shared" si="97"/>
        <v>200</v>
      </c>
      <c r="AV698" s="3">
        <f>SUM(AJ698 - AN698 - AU698)</f>
        <v>91333</v>
      </c>
      <c r="AW698" s="11">
        <v>0</v>
      </c>
      <c r="AX698" s="11">
        <v>0</v>
      </c>
      <c r="AY698" s="11">
        <v>0</v>
      </c>
      <c r="AZ698" s="11">
        <v>0</v>
      </c>
      <c r="BA698" s="3">
        <f t="shared" si="96"/>
        <v>91333</v>
      </c>
    </row>
    <row r="699" spans="1:53" x14ac:dyDescent="0.25">
      <c r="A699" s="1" t="s">
        <v>697</v>
      </c>
      <c r="B699" s="9" t="s">
        <v>2360</v>
      </c>
      <c r="C699" s="9" t="s">
        <v>1063</v>
      </c>
      <c r="D699" s="9" t="s">
        <v>2361</v>
      </c>
      <c r="E699" s="9" t="s">
        <v>1012</v>
      </c>
      <c r="F699" s="10">
        <v>45812</v>
      </c>
      <c r="G699" s="9" t="s">
        <v>1019</v>
      </c>
      <c r="I699" s="9" t="s">
        <v>1014</v>
      </c>
      <c r="J699" s="9" t="s">
        <v>1015</v>
      </c>
      <c r="K699" s="8" t="s">
        <v>1006</v>
      </c>
      <c r="L699" s="8" t="s">
        <v>1007</v>
      </c>
      <c r="M699" s="8" t="s">
        <v>2933</v>
      </c>
      <c r="N699" s="8" t="s">
        <v>2937</v>
      </c>
      <c r="O699" s="1" t="s">
        <v>2934</v>
      </c>
      <c r="P699">
        <v>30</v>
      </c>
      <c r="Q699">
        <v>30</v>
      </c>
      <c r="R699">
        <v>0</v>
      </c>
      <c r="S699">
        <f t="shared" si="98"/>
        <v>30</v>
      </c>
      <c r="T699" s="1" t="s">
        <v>2935</v>
      </c>
      <c r="U699" s="1" t="s">
        <v>2932</v>
      </c>
      <c r="V699" s="3">
        <f t="shared" si="99"/>
        <v>40000</v>
      </c>
      <c r="W699" s="3">
        <f t="shared" si="100"/>
        <v>16000</v>
      </c>
      <c r="X699" s="3">
        <f t="shared" si="92"/>
        <v>1250</v>
      </c>
      <c r="Y699" s="3">
        <f t="shared" si="93"/>
        <v>1600</v>
      </c>
      <c r="Z699" s="3">
        <f t="shared" si="94"/>
        <v>1800</v>
      </c>
      <c r="AA699" s="3">
        <v>0</v>
      </c>
      <c r="AB699" s="3">
        <f>ROUND(U699 - (V699+W699+X699+Y699) - (U699/Q699 * 2),0)</f>
        <v>34483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f>SUM(V699+W699+X699+Y699+AB699)</f>
        <v>93333</v>
      </c>
      <c r="AK699" s="3">
        <f>SUM(AJ699-AA699)</f>
        <v>93333</v>
      </c>
      <c r="AL699" s="3">
        <f>IF(V699&lt;=15000,V699*12%,1800)</f>
        <v>1800</v>
      </c>
      <c r="AM699" s="3">
        <v>0</v>
      </c>
      <c r="AN699" s="3">
        <f t="shared" si="95"/>
        <v>1800</v>
      </c>
      <c r="AO699" s="12">
        <v>200</v>
      </c>
      <c r="AP699" s="12">
        <v>0</v>
      </c>
      <c r="AQ699" s="12">
        <v>0</v>
      </c>
      <c r="AR699" s="12">
        <v>0</v>
      </c>
      <c r="AS699" s="12">
        <v>0</v>
      </c>
      <c r="AT699" s="12">
        <v>0</v>
      </c>
      <c r="AU699" s="3">
        <f t="shared" si="97"/>
        <v>200</v>
      </c>
      <c r="AV699" s="3">
        <f>SUM(AJ699 - AN699 - AU699)</f>
        <v>91333</v>
      </c>
      <c r="AW699" s="11">
        <v>0</v>
      </c>
      <c r="AX699" s="11">
        <v>0</v>
      </c>
      <c r="AY699" s="11">
        <v>0</v>
      </c>
      <c r="AZ699" s="11">
        <v>0</v>
      </c>
      <c r="BA699" s="3">
        <f t="shared" si="96"/>
        <v>91333</v>
      </c>
    </row>
    <row r="700" spans="1:53" x14ac:dyDescent="0.25">
      <c r="A700" s="1" t="s">
        <v>698</v>
      </c>
      <c r="B700" s="9" t="s">
        <v>1108</v>
      </c>
      <c r="C700" s="9" t="s">
        <v>1010</v>
      </c>
      <c r="D700" s="9" t="s">
        <v>2359</v>
      </c>
      <c r="E700" s="9" t="s">
        <v>1008</v>
      </c>
      <c r="F700" s="10">
        <v>45812</v>
      </c>
      <c r="G700" s="9" t="s">
        <v>1019</v>
      </c>
      <c r="I700" s="9" t="s">
        <v>1014</v>
      </c>
      <c r="J700" s="9" t="s">
        <v>1015</v>
      </c>
      <c r="K700" s="8" t="s">
        <v>1006</v>
      </c>
      <c r="L700" s="8" t="s">
        <v>1007</v>
      </c>
      <c r="M700" s="8" t="s">
        <v>2933</v>
      </c>
      <c r="N700" s="8" t="s">
        <v>2937</v>
      </c>
      <c r="O700" s="1" t="s">
        <v>2934</v>
      </c>
      <c r="P700">
        <v>30</v>
      </c>
      <c r="Q700">
        <v>30</v>
      </c>
      <c r="R700">
        <v>0</v>
      </c>
      <c r="S700">
        <f t="shared" si="98"/>
        <v>30</v>
      </c>
      <c r="T700" s="1" t="s">
        <v>2935</v>
      </c>
      <c r="U700" s="1" t="s">
        <v>2932</v>
      </c>
      <c r="V700" s="3">
        <f t="shared" si="99"/>
        <v>40000</v>
      </c>
      <c r="W700" s="3">
        <f t="shared" si="100"/>
        <v>16000</v>
      </c>
      <c r="X700" s="3">
        <f t="shared" si="92"/>
        <v>1250</v>
      </c>
      <c r="Y700" s="3">
        <f t="shared" si="93"/>
        <v>1600</v>
      </c>
      <c r="Z700" s="3">
        <f t="shared" si="94"/>
        <v>1800</v>
      </c>
      <c r="AA700" s="3">
        <v>0</v>
      </c>
      <c r="AB700" s="3">
        <f>ROUND(U700 - (V700+W700+X700+Y700) - (U700/Q700 * 2),0)</f>
        <v>34483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f>SUM(V700+W700+X700+Y700+AB700)</f>
        <v>93333</v>
      </c>
      <c r="AK700" s="3">
        <f>SUM(AJ700-AA700)</f>
        <v>93333</v>
      </c>
      <c r="AL700" s="3">
        <f>IF(V700&lt;=15000,V700*12%,1800)</f>
        <v>1800</v>
      </c>
      <c r="AM700" s="3">
        <v>0</v>
      </c>
      <c r="AN700" s="3">
        <f t="shared" si="95"/>
        <v>1800</v>
      </c>
      <c r="AO700" s="12">
        <v>200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3">
        <f t="shared" si="97"/>
        <v>200</v>
      </c>
      <c r="AV700" s="3">
        <f>SUM(AJ700 - AN700 - AU700)</f>
        <v>91333</v>
      </c>
      <c r="AW700" s="11">
        <v>0</v>
      </c>
      <c r="AX700" s="11">
        <v>0</v>
      </c>
      <c r="AY700" s="11">
        <v>0</v>
      </c>
      <c r="AZ700" s="11">
        <v>0</v>
      </c>
      <c r="BA700" s="3">
        <f t="shared" si="96"/>
        <v>91333</v>
      </c>
    </row>
    <row r="701" spans="1:53" x14ac:dyDescent="0.25">
      <c r="A701" s="1" t="s">
        <v>699</v>
      </c>
      <c r="B701" s="9" t="s">
        <v>2357</v>
      </c>
      <c r="C701" s="9" t="s">
        <v>1063</v>
      </c>
      <c r="D701" s="9" t="s">
        <v>2358</v>
      </c>
      <c r="E701" s="9" t="s">
        <v>1012</v>
      </c>
      <c r="F701" s="10">
        <v>45817</v>
      </c>
      <c r="G701" s="9" t="s">
        <v>1013</v>
      </c>
      <c r="I701" s="9" t="s">
        <v>1014</v>
      </c>
      <c r="J701" s="9" t="s">
        <v>1015</v>
      </c>
      <c r="K701" s="8" t="s">
        <v>1006</v>
      </c>
      <c r="L701" s="8" t="s">
        <v>1007</v>
      </c>
      <c r="M701" s="8" t="s">
        <v>2933</v>
      </c>
      <c r="N701" s="8" t="s">
        <v>2937</v>
      </c>
      <c r="O701" s="1" t="s">
        <v>2934</v>
      </c>
      <c r="P701">
        <v>30</v>
      </c>
      <c r="Q701">
        <v>30</v>
      </c>
      <c r="R701">
        <v>0</v>
      </c>
      <c r="S701">
        <f t="shared" si="98"/>
        <v>30</v>
      </c>
      <c r="T701" s="1" t="s">
        <v>2935</v>
      </c>
      <c r="U701" s="1" t="s">
        <v>2932</v>
      </c>
      <c r="V701" s="3">
        <f t="shared" si="99"/>
        <v>40000</v>
      </c>
      <c r="W701" s="3">
        <f t="shared" si="100"/>
        <v>16000</v>
      </c>
      <c r="X701" s="3">
        <f t="shared" si="92"/>
        <v>1250</v>
      </c>
      <c r="Y701" s="3">
        <f t="shared" si="93"/>
        <v>1600</v>
      </c>
      <c r="Z701" s="3">
        <f t="shared" si="94"/>
        <v>1800</v>
      </c>
      <c r="AA701" s="3">
        <v>0</v>
      </c>
      <c r="AB701" s="3">
        <f>ROUND(U701 - (V701+W701+X701+Y701) - (U701/Q701 * 2),0)</f>
        <v>34483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f>SUM(V701+W701+X701+Y701+AB701)</f>
        <v>93333</v>
      </c>
      <c r="AK701" s="3">
        <f>SUM(AJ701-AA701)</f>
        <v>93333</v>
      </c>
      <c r="AL701" s="3">
        <f>IF(V701&lt;=15000,V701*12%,1800)</f>
        <v>1800</v>
      </c>
      <c r="AM701" s="3">
        <v>0</v>
      </c>
      <c r="AN701" s="3">
        <f t="shared" si="95"/>
        <v>1800</v>
      </c>
      <c r="AO701" s="12">
        <v>200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3">
        <f t="shared" si="97"/>
        <v>200</v>
      </c>
      <c r="AV701" s="3">
        <f>SUM(AJ701 - AN701 - AU701)</f>
        <v>91333</v>
      </c>
      <c r="AW701" s="11">
        <v>0</v>
      </c>
      <c r="AX701" s="11">
        <v>0</v>
      </c>
      <c r="AY701" s="11">
        <v>0</v>
      </c>
      <c r="AZ701" s="11">
        <v>0</v>
      </c>
      <c r="BA701" s="3">
        <f t="shared" si="96"/>
        <v>91333</v>
      </c>
    </row>
    <row r="702" spans="1:53" x14ac:dyDescent="0.25">
      <c r="A702" s="1" t="s">
        <v>700</v>
      </c>
      <c r="B702" s="9" t="s">
        <v>2355</v>
      </c>
      <c r="C702" s="9" t="s">
        <v>1063</v>
      </c>
      <c r="D702" s="9" t="s">
        <v>2356</v>
      </c>
      <c r="E702" s="9" t="s">
        <v>1008</v>
      </c>
      <c r="F702" s="10">
        <v>45817</v>
      </c>
      <c r="G702" s="9" t="s">
        <v>1013</v>
      </c>
      <c r="I702" s="9" t="s">
        <v>1014</v>
      </c>
      <c r="J702" s="9" t="s">
        <v>1015</v>
      </c>
      <c r="K702" s="8" t="s">
        <v>1006</v>
      </c>
      <c r="L702" s="8" t="s">
        <v>1007</v>
      </c>
      <c r="M702" s="8" t="s">
        <v>2933</v>
      </c>
      <c r="N702" s="8" t="s">
        <v>2937</v>
      </c>
      <c r="O702" s="1" t="s">
        <v>2934</v>
      </c>
      <c r="P702">
        <v>30</v>
      </c>
      <c r="Q702">
        <v>30</v>
      </c>
      <c r="R702">
        <v>0</v>
      </c>
      <c r="S702">
        <f t="shared" si="98"/>
        <v>30</v>
      </c>
      <c r="T702" s="1" t="s">
        <v>2935</v>
      </c>
      <c r="U702" s="1" t="s">
        <v>2932</v>
      </c>
      <c r="V702" s="3">
        <f t="shared" si="99"/>
        <v>40000</v>
      </c>
      <c r="W702" s="3">
        <f t="shared" si="100"/>
        <v>16000</v>
      </c>
      <c r="X702" s="3">
        <f t="shared" si="92"/>
        <v>1250</v>
      </c>
      <c r="Y702" s="3">
        <f t="shared" si="93"/>
        <v>1600</v>
      </c>
      <c r="Z702" s="3">
        <f t="shared" si="94"/>
        <v>1800</v>
      </c>
      <c r="AA702" s="3">
        <v>0</v>
      </c>
      <c r="AB702" s="3">
        <f>ROUND(U702 - (V702+W702+X702+Y702) - (U702/Q702 * 2),0)</f>
        <v>34483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f>SUM(V702+W702+X702+Y702+AB702)</f>
        <v>93333</v>
      </c>
      <c r="AK702" s="3">
        <f>SUM(AJ702-AA702)</f>
        <v>93333</v>
      </c>
      <c r="AL702" s="3">
        <f>IF(V702&lt;=15000,V702*12%,1800)</f>
        <v>1800</v>
      </c>
      <c r="AM702" s="3">
        <v>0</v>
      </c>
      <c r="AN702" s="3">
        <f t="shared" si="95"/>
        <v>1800</v>
      </c>
      <c r="AO702" s="12">
        <v>200</v>
      </c>
      <c r="AP702" s="12">
        <v>0</v>
      </c>
      <c r="AQ702" s="12">
        <v>0</v>
      </c>
      <c r="AR702" s="12">
        <v>0</v>
      </c>
      <c r="AS702" s="12">
        <v>0</v>
      </c>
      <c r="AT702" s="12">
        <v>0</v>
      </c>
      <c r="AU702" s="3">
        <f t="shared" si="97"/>
        <v>200</v>
      </c>
      <c r="AV702" s="3">
        <f>SUM(AJ702 - AN702 - AU702)</f>
        <v>91333</v>
      </c>
      <c r="AW702" s="11">
        <v>0</v>
      </c>
      <c r="AX702" s="11">
        <v>0</v>
      </c>
      <c r="AY702" s="11">
        <v>0</v>
      </c>
      <c r="AZ702" s="11">
        <v>0</v>
      </c>
      <c r="BA702" s="3">
        <f t="shared" si="96"/>
        <v>91333</v>
      </c>
    </row>
    <row r="703" spans="1:53" x14ac:dyDescent="0.25">
      <c r="A703" s="1" t="s">
        <v>701</v>
      </c>
      <c r="B703" s="9" t="s">
        <v>2411</v>
      </c>
      <c r="C703" s="9" t="s">
        <v>1023</v>
      </c>
      <c r="D703" s="9">
        <v>0</v>
      </c>
      <c r="E703" s="9" t="s">
        <v>1012</v>
      </c>
      <c r="F703" s="10">
        <v>45820</v>
      </c>
      <c r="G703" s="9" t="s">
        <v>1013</v>
      </c>
      <c r="I703" s="9" t="s">
        <v>1014</v>
      </c>
      <c r="J703" s="9" t="s">
        <v>1021</v>
      </c>
      <c r="K703" s="8" t="s">
        <v>1006</v>
      </c>
      <c r="L703" s="8" t="s">
        <v>1007</v>
      </c>
      <c r="M703" s="8" t="s">
        <v>2933</v>
      </c>
      <c r="N703" s="8" t="s">
        <v>2937</v>
      </c>
      <c r="O703" s="1" t="s">
        <v>2934</v>
      </c>
      <c r="P703">
        <v>30</v>
      </c>
      <c r="Q703">
        <v>30</v>
      </c>
      <c r="R703">
        <v>0</v>
      </c>
      <c r="S703">
        <f t="shared" si="98"/>
        <v>30</v>
      </c>
      <c r="T703" s="1" t="s">
        <v>2935</v>
      </c>
      <c r="U703" s="1" t="s">
        <v>2932</v>
      </c>
      <c r="V703" s="3">
        <f t="shared" si="99"/>
        <v>40000</v>
      </c>
      <c r="W703" s="3">
        <f t="shared" si="100"/>
        <v>16000</v>
      </c>
      <c r="X703" s="3">
        <f t="shared" si="92"/>
        <v>1250</v>
      </c>
      <c r="Y703" s="3">
        <f t="shared" si="93"/>
        <v>1600</v>
      </c>
      <c r="Z703" s="3">
        <f t="shared" si="94"/>
        <v>1800</v>
      </c>
      <c r="AA703" s="3">
        <v>0</v>
      </c>
      <c r="AB703" s="3">
        <f>ROUND(U703 - (V703+W703+X703+Y703) - (U703/Q703 * 2),0)</f>
        <v>34483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f>SUM(V703+W703+X703+Y703+AB703)</f>
        <v>93333</v>
      </c>
      <c r="AK703" s="3">
        <f>SUM(AJ703-AA703)</f>
        <v>93333</v>
      </c>
      <c r="AL703" s="3">
        <f>IF(V703&lt;=15000,V703*12%,1800)</f>
        <v>1800</v>
      </c>
      <c r="AM703" s="3">
        <v>0</v>
      </c>
      <c r="AN703" s="3">
        <f t="shared" si="95"/>
        <v>1800</v>
      </c>
      <c r="AO703" s="12">
        <v>200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3">
        <f t="shared" si="97"/>
        <v>200</v>
      </c>
      <c r="AV703" s="3">
        <f>SUM(AJ703 - AN703 - AU703)</f>
        <v>91333</v>
      </c>
      <c r="AW703" s="11">
        <v>0</v>
      </c>
      <c r="AX703" s="11">
        <v>0</v>
      </c>
      <c r="AY703" s="11">
        <v>0</v>
      </c>
      <c r="AZ703" s="11">
        <v>0</v>
      </c>
      <c r="BA703" s="3">
        <f t="shared" si="96"/>
        <v>91333</v>
      </c>
    </row>
    <row r="704" spans="1:53" x14ac:dyDescent="0.25">
      <c r="A704" s="1" t="s">
        <v>702</v>
      </c>
      <c r="B704" s="9" t="s">
        <v>2409</v>
      </c>
      <c r="C704" s="9" t="s">
        <v>1128</v>
      </c>
      <c r="D704" s="9" t="s">
        <v>2410</v>
      </c>
      <c r="E704" s="9" t="s">
        <v>1008</v>
      </c>
      <c r="F704" s="10">
        <v>45819</v>
      </c>
      <c r="G704" s="9" t="s">
        <v>1013</v>
      </c>
      <c r="I704" s="9" t="s">
        <v>1042</v>
      </c>
      <c r="J704" s="9" t="s">
        <v>1048</v>
      </c>
      <c r="K704" s="8" t="s">
        <v>1006</v>
      </c>
      <c r="L704" s="8" t="s">
        <v>1007</v>
      </c>
      <c r="M704" s="8" t="s">
        <v>2933</v>
      </c>
      <c r="N704" s="8" t="s">
        <v>2937</v>
      </c>
      <c r="O704" s="1" t="s">
        <v>2934</v>
      </c>
      <c r="P704">
        <v>30</v>
      </c>
      <c r="Q704">
        <v>30</v>
      </c>
      <c r="R704">
        <v>0</v>
      </c>
      <c r="S704">
        <f t="shared" si="98"/>
        <v>30</v>
      </c>
      <c r="T704" s="1" t="s">
        <v>2935</v>
      </c>
      <c r="U704" s="1" t="s">
        <v>2932</v>
      </c>
      <c r="V704" s="3">
        <f t="shared" si="99"/>
        <v>40000</v>
      </c>
      <c r="W704" s="3">
        <f t="shared" si="100"/>
        <v>16000</v>
      </c>
      <c r="X704" s="3">
        <f t="shared" si="92"/>
        <v>1250</v>
      </c>
      <c r="Y704" s="3">
        <f t="shared" si="93"/>
        <v>1600</v>
      </c>
      <c r="Z704" s="3">
        <f t="shared" si="94"/>
        <v>1800</v>
      </c>
      <c r="AA704" s="3">
        <v>0</v>
      </c>
      <c r="AB704" s="3">
        <f>ROUND(U704 - (V704+W704+X704+Y704) - (U704/Q704 * 2),0)</f>
        <v>34483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f>SUM(V704+W704+X704+Y704+AB704)</f>
        <v>93333</v>
      </c>
      <c r="AK704" s="3">
        <f>SUM(AJ704-AA704)</f>
        <v>93333</v>
      </c>
      <c r="AL704" s="3">
        <f>IF(V704&lt;=15000,V704*12%,1800)</f>
        <v>1800</v>
      </c>
      <c r="AM704" s="3">
        <v>0</v>
      </c>
      <c r="AN704" s="3">
        <f t="shared" si="95"/>
        <v>1800</v>
      </c>
      <c r="AO704" s="12">
        <v>200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3">
        <f t="shared" si="97"/>
        <v>200</v>
      </c>
      <c r="AV704" s="3">
        <f>SUM(AJ704 - AN704 - AU704)</f>
        <v>91333</v>
      </c>
      <c r="AW704" s="11">
        <v>0</v>
      </c>
      <c r="AX704" s="11">
        <v>0</v>
      </c>
      <c r="AY704" s="11">
        <v>0</v>
      </c>
      <c r="AZ704" s="11">
        <v>0</v>
      </c>
      <c r="BA704" s="3">
        <f t="shared" si="96"/>
        <v>91333</v>
      </c>
    </row>
    <row r="705" spans="1:53" x14ac:dyDescent="0.25">
      <c r="A705" s="1" t="s">
        <v>703</v>
      </c>
      <c r="B705" s="9" t="s">
        <v>2407</v>
      </c>
      <c r="C705" s="9" t="s">
        <v>1128</v>
      </c>
      <c r="D705" s="9" t="s">
        <v>2408</v>
      </c>
      <c r="E705" s="9" t="s">
        <v>1008</v>
      </c>
      <c r="F705" s="10">
        <v>45819</v>
      </c>
      <c r="G705" s="9" t="s">
        <v>1019</v>
      </c>
      <c r="I705" s="9" t="s">
        <v>1042</v>
      </c>
      <c r="J705" s="9" t="s">
        <v>1048</v>
      </c>
      <c r="K705" s="8" t="s">
        <v>1006</v>
      </c>
      <c r="L705" s="8" t="s">
        <v>1007</v>
      </c>
      <c r="M705" s="8" t="s">
        <v>2933</v>
      </c>
      <c r="N705" s="8" t="s">
        <v>2937</v>
      </c>
      <c r="O705" s="1" t="s">
        <v>2934</v>
      </c>
      <c r="P705">
        <v>30</v>
      </c>
      <c r="Q705">
        <v>30</v>
      </c>
      <c r="R705">
        <v>0</v>
      </c>
      <c r="S705">
        <f t="shared" si="98"/>
        <v>30</v>
      </c>
      <c r="T705" s="1" t="s">
        <v>2935</v>
      </c>
      <c r="U705" s="1" t="s">
        <v>2932</v>
      </c>
      <c r="V705" s="3">
        <f t="shared" si="99"/>
        <v>40000</v>
      </c>
      <c r="W705" s="3">
        <f t="shared" si="100"/>
        <v>16000</v>
      </c>
      <c r="X705" s="3">
        <f t="shared" si="92"/>
        <v>1250</v>
      </c>
      <c r="Y705" s="3">
        <f t="shared" si="93"/>
        <v>1600</v>
      </c>
      <c r="Z705" s="3">
        <f t="shared" si="94"/>
        <v>1800</v>
      </c>
      <c r="AA705" s="3">
        <v>0</v>
      </c>
      <c r="AB705" s="3">
        <f>ROUND(U705 - (V705+W705+X705+Y705) - (U705/Q705 * 2),0)</f>
        <v>34483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f>SUM(V705+W705+X705+Y705+AB705)</f>
        <v>93333</v>
      </c>
      <c r="AK705" s="3">
        <f>SUM(AJ705-AA705)</f>
        <v>93333</v>
      </c>
      <c r="AL705" s="3">
        <f>IF(V705&lt;=15000,V705*12%,1800)</f>
        <v>1800</v>
      </c>
      <c r="AM705" s="3">
        <v>0</v>
      </c>
      <c r="AN705" s="3">
        <f t="shared" si="95"/>
        <v>1800</v>
      </c>
      <c r="AO705" s="12">
        <v>200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3">
        <f t="shared" si="97"/>
        <v>200</v>
      </c>
      <c r="AV705" s="3">
        <f>SUM(AJ705 - AN705 - AU705)</f>
        <v>91333</v>
      </c>
      <c r="AW705" s="11">
        <v>0</v>
      </c>
      <c r="AX705" s="11">
        <v>0</v>
      </c>
      <c r="AY705" s="11">
        <v>0</v>
      </c>
      <c r="AZ705" s="11">
        <v>0</v>
      </c>
      <c r="BA705" s="3">
        <f t="shared" si="96"/>
        <v>91333</v>
      </c>
    </row>
    <row r="706" spans="1:53" x14ac:dyDescent="0.25">
      <c r="A706" s="1" t="s">
        <v>704</v>
      </c>
      <c r="B706" s="9" t="s">
        <v>2405</v>
      </c>
      <c r="C706" s="9" t="s">
        <v>1128</v>
      </c>
      <c r="D706" s="9" t="s">
        <v>2406</v>
      </c>
      <c r="E706" s="9" t="s">
        <v>1008</v>
      </c>
      <c r="F706" s="10">
        <v>45819</v>
      </c>
      <c r="G706" s="9" t="s">
        <v>1019</v>
      </c>
      <c r="I706" s="9" t="s">
        <v>1042</v>
      </c>
      <c r="J706" s="9" t="s">
        <v>1048</v>
      </c>
      <c r="K706" s="8" t="s">
        <v>1006</v>
      </c>
      <c r="L706" s="8" t="s">
        <v>1007</v>
      </c>
      <c r="M706" s="8" t="s">
        <v>2933</v>
      </c>
      <c r="N706" s="8" t="s">
        <v>2937</v>
      </c>
      <c r="O706" s="1" t="s">
        <v>2934</v>
      </c>
      <c r="P706">
        <v>30</v>
      </c>
      <c r="Q706">
        <v>30</v>
      </c>
      <c r="R706">
        <v>0</v>
      </c>
      <c r="S706">
        <f t="shared" si="98"/>
        <v>30</v>
      </c>
      <c r="T706" s="1" t="s">
        <v>2935</v>
      </c>
      <c r="U706" s="1" t="s">
        <v>2932</v>
      </c>
      <c r="V706" s="3">
        <f t="shared" si="99"/>
        <v>40000</v>
      </c>
      <c r="W706" s="3">
        <f t="shared" si="100"/>
        <v>16000</v>
      </c>
      <c r="X706" s="3">
        <f t="shared" si="92"/>
        <v>1250</v>
      </c>
      <c r="Y706" s="3">
        <f t="shared" si="93"/>
        <v>1600</v>
      </c>
      <c r="Z706" s="3">
        <f t="shared" si="94"/>
        <v>1800</v>
      </c>
      <c r="AA706" s="3">
        <v>0</v>
      </c>
      <c r="AB706" s="3">
        <f>ROUND(U706 - (V706+W706+X706+Y706) - (U706/Q706 * 2),0)</f>
        <v>34483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f>SUM(V706+W706+X706+Y706+AB706)</f>
        <v>93333</v>
      </c>
      <c r="AK706" s="3">
        <f>SUM(AJ706-AA706)</f>
        <v>93333</v>
      </c>
      <c r="AL706" s="3">
        <f>IF(V706&lt;=15000,V706*12%,1800)</f>
        <v>1800</v>
      </c>
      <c r="AM706" s="3">
        <v>0</v>
      </c>
      <c r="AN706" s="3">
        <f t="shared" si="95"/>
        <v>1800</v>
      </c>
      <c r="AO706" s="12">
        <v>200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3">
        <f t="shared" si="97"/>
        <v>200</v>
      </c>
      <c r="AV706" s="3">
        <f>SUM(AJ706 - AN706 - AU706)</f>
        <v>91333</v>
      </c>
      <c r="AW706" s="11">
        <v>0</v>
      </c>
      <c r="AX706" s="11">
        <v>0</v>
      </c>
      <c r="AY706" s="11">
        <v>0</v>
      </c>
      <c r="AZ706" s="11">
        <v>0</v>
      </c>
      <c r="BA706" s="3">
        <f t="shared" si="96"/>
        <v>91333</v>
      </c>
    </row>
    <row r="707" spans="1:53" x14ac:dyDescent="0.25">
      <c r="A707" s="1" t="s">
        <v>705</v>
      </c>
      <c r="B707" s="9" t="s">
        <v>2403</v>
      </c>
      <c r="C707" s="9" t="s">
        <v>1128</v>
      </c>
      <c r="D707" s="9" t="s">
        <v>2404</v>
      </c>
      <c r="E707" s="9" t="s">
        <v>1008</v>
      </c>
      <c r="F707" s="10">
        <v>45819</v>
      </c>
      <c r="G707" s="9" t="s">
        <v>1019</v>
      </c>
      <c r="I707" s="9" t="s">
        <v>1042</v>
      </c>
      <c r="J707" s="9" t="s">
        <v>1048</v>
      </c>
      <c r="K707" s="8" t="s">
        <v>1006</v>
      </c>
      <c r="L707" s="8" t="s">
        <v>1007</v>
      </c>
      <c r="M707" s="8" t="s">
        <v>2933</v>
      </c>
      <c r="N707" s="8" t="s">
        <v>2937</v>
      </c>
      <c r="O707" s="1" t="s">
        <v>2934</v>
      </c>
      <c r="P707">
        <v>30</v>
      </c>
      <c r="Q707">
        <v>30</v>
      </c>
      <c r="R707">
        <v>0</v>
      </c>
      <c r="S707">
        <f t="shared" si="98"/>
        <v>30</v>
      </c>
      <c r="T707" s="1" t="s">
        <v>2935</v>
      </c>
      <c r="U707" s="1" t="s">
        <v>2932</v>
      </c>
      <c r="V707" s="3">
        <f t="shared" si="99"/>
        <v>40000</v>
      </c>
      <c r="W707" s="3">
        <f t="shared" si="100"/>
        <v>16000</v>
      </c>
      <c r="X707" s="3">
        <f t="shared" ref="X707:X770" si="101">ROUND(1250 - ((1250/Q707)*R707),0)</f>
        <v>1250</v>
      </c>
      <c r="Y707" s="3">
        <f t="shared" ref="Y707:Y770" si="102">ROUND(1600 - (1600/Q707) *R707,0)</f>
        <v>1600</v>
      </c>
      <c r="Z707" s="3">
        <f t="shared" ref="Z707:Z770" si="103">IF(V707&lt;=15000,V707*12%,1800)</f>
        <v>1800</v>
      </c>
      <c r="AA707" s="3">
        <v>0</v>
      </c>
      <c r="AB707" s="3">
        <f>ROUND(U707 - (V707+W707+X707+Y707) - (U707/Q707 * 2),0)</f>
        <v>34483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f>SUM(V707+W707+X707+Y707+AB707)</f>
        <v>93333</v>
      </c>
      <c r="AK707" s="3">
        <f>SUM(AJ707-AA707)</f>
        <v>93333</v>
      </c>
      <c r="AL707" s="3">
        <f>IF(V707&lt;=15000,V707*12%,1800)</f>
        <v>1800</v>
      </c>
      <c r="AM707" s="3">
        <v>0</v>
      </c>
      <c r="AN707" s="3">
        <f t="shared" ref="AN707:AN770" si="104">SUM(AL707+AM707)</f>
        <v>1800</v>
      </c>
      <c r="AO707" s="12">
        <v>200</v>
      </c>
      <c r="AP707" s="12">
        <v>0</v>
      </c>
      <c r="AQ707" s="12">
        <v>0</v>
      </c>
      <c r="AR707" s="12">
        <v>0</v>
      </c>
      <c r="AS707" s="12">
        <v>0</v>
      </c>
      <c r="AT707" s="12">
        <v>0</v>
      </c>
      <c r="AU707" s="3">
        <f t="shared" si="97"/>
        <v>200</v>
      </c>
      <c r="AV707" s="3">
        <f>SUM(AJ707 - AN707 - AU707)</f>
        <v>91333</v>
      </c>
      <c r="AW707" s="11">
        <v>0</v>
      </c>
      <c r="AX707" s="11">
        <v>0</v>
      </c>
      <c r="AY707" s="11">
        <v>0</v>
      </c>
      <c r="AZ707" s="11">
        <v>0</v>
      </c>
      <c r="BA707" s="3">
        <f t="shared" ref="BA707:BA770" si="105">AV707+AW707+AX707+AZ707</f>
        <v>91333</v>
      </c>
    </row>
    <row r="708" spans="1:53" x14ac:dyDescent="0.25">
      <c r="A708" s="1" t="s">
        <v>706</v>
      </c>
      <c r="B708" s="9" t="s">
        <v>1405</v>
      </c>
      <c r="C708" s="9" t="s">
        <v>1115</v>
      </c>
      <c r="D708" s="9" t="s">
        <v>2402</v>
      </c>
      <c r="E708" s="9" t="s">
        <v>1012</v>
      </c>
      <c r="F708" s="10">
        <v>44725</v>
      </c>
      <c r="G708" s="9" t="s">
        <v>1019</v>
      </c>
      <c r="I708" s="9" t="s">
        <v>1035</v>
      </c>
      <c r="J708" s="9" t="s">
        <v>1048</v>
      </c>
      <c r="K708" s="8" t="s">
        <v>1006</v>
      </c>
      <c r="L708" s="8" t="s">
        <v>1007</v>
      </c>
      <c r="M708" s="8" t="s">
        <v>2933</v>
      </c>
      <c r="N708" s="8" t="s">
        <v>2937</v>
      </c>
      <c r="O708" s="1" t="s">
        <v>2934</v>
      </c>
      <c r="P708">
        <v>30</v>
      </c>
      <c r="Q708">
        <v>30</v>
      </c>
      <c r="R708">
        <v>0</v>
      </c>
      <c r="S708">
        <f t="shared" si="98"/>
        <v>30</v>
      </c>
      <c r="T708" s="1" t="s">
        <v>2935</v>
      </c>
      <c r="U708" s="1" t="s">
        <v>2932</v>
      </c>
      <c r="V708" s="3">
        <f t="shared" si="99"/>
        <v>40000</v>
      </c>
      <c r="W708" s="3">
        <f t="shared" si="100"/>
        <v>16000</v>
      </c>
      <c r="X708" s="3">
        <f t="shared" si="101"/>
        <v>1250</v>
      </c>
      <c r="Y708" s="3">
        <f t="shared" si="102"/>
        <v>1600</v>
      </c>
      <c r="Z708" s="3">
        <f t="shared" si="103"/>
        <v>1800</v>
      </c>
      <c r="AA708" s="3">
        <v>0</v>
      </c>
      <c r="AB708" s="3">
        <f>ROUND(U708 - (V708+W708+X708+Y708) - (U708/Q708 * 2),0)</f>
        <v>34483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f>SUM(V708+W708+X708+Y708+AB708)</f>
        <v>93333</v>
      </c>
      <c r="AK708" s="3">
        <f>SUM(AJ708-AA708)</f>
        <v>93333</v>
      </c>
      <c r="AL708" s="3">
        <f>IF(V708&lt;=15000,V708*12%,1800)</f>
        <v>1800</v>
      </c>
      <c r="AM708" s="3">
        <v>0</v>
      </c>
      <c r="AN708" s="3">
        <f t="shared" si="104"/>
        <v>1800</v>
      </c>
      <c r="AO708" s="12">
        <v>200</v>
      </c>
      <c r="AP708" s="12">
        <v>0</v>
      </c>
      <c r="AQ708" s="12">
        <v>0</v>
      </c>
      <c r="AR708" s="12">
        <v>0</v>
      </c>
      <c r="AS708" s="12">
        <v>0</v>
      </c>
      <c r="AT708" s="12">
        <v>0</v>
      </c>
      <c r="AU708" s="3">
        <f t="shared" ref="AU708:AU771" si="106">SUM(AO708:AT708)</f>
        <v>200</v>
      </c>
      <c r="AV708" s="3">
        <f>SUM(AJ708 - AN708 - AU708)</f>
        <v>91333</v>
      </c>
      <c r="AW708" s="11">
        <v>0</v>
      </c>
      <c r="AX708" s="11">
        <v>0</v>
      </c>
      <c r="AY708" s="11">
        <v>0</v>
      </c>
      <c r="AZ708" s="11">
        <v>0</v>
      </c>
      <c r="BA708" s="3">
        <f t="shared" si="105"/>
        <v>91333</v>
      </c>
    </row>
    <row r="709" spans="1:53" x14ac:dyDescent="0.25">
      <c r="A709" s="1" t="s">
        <v>707</v>
      </c>
      <c r="B709" s="9" t="s">
        <v>2400</v>
      </c>
      <c r="C709" s="9" t="s">
        <v>1115</v>
      </c>
      <c r="D709" s="9" t="s">
        <v>2401</v>
      </c>
      <c r="E709" s="9" t="s">
        <v>1012</v>
      </c>
      <c r="F709" s="10">
        <v>45028</v>
      </c>
      <c r="G709" s="9" t="s">
        <v>1013</v>
      </c>
      <c r="I709" s="9" t="s">
        <v>1035</v>
      </c>
      <c r="J709" s="9" t="s">
        <v>1048</v>
      </c>
      <c r="K709" s="8" t="s">
        <v>1006</v>
      </c>
      <c r="L709" s="8" t="s">
        <v>1007</v>
      </c>
      <c r="M709" s="8" t="s">
        <v>2933</v>
      </c>
      <c r="N709" s="8" t="s">
        <v>2937</v>
      </c>
      <c r="O709" s="1" t="s">
        <v>2934</v>
      </c>
      <c r="P709">
        <v>30</v>
      </c>
      <c r="Q709">
        <v>30</v>
      </c>
      <c r="R709">
        <v>0</v>
      </c>
      <c r="S709">
        <f t="shared" ref="S709:S772" si="107">SUM(Q709-R709)</f>
        <v>30</v>
      </c>
      <c r="T709" s="1" t="s">
        <v>2935</v>
      </c>
      <c r="U709" s="1" t="s">
        <v>2932</v>
      </c>
      <c r="V709" s="3">
        <f t="shared" ref="V709:V772" si="108">ROUND((U709*40%) / Q709  * S709,0)</f>
        <v>40000</v>
      </c>
      <c r="W709" s="3">
        <f t="shared" ref="W709:W772" si="109">ROUND((U709*16%) / Q709  * S709,0)</f>
        <v>16000</v>
      </c>
      <c r="X709" s="3">
        <f t="shared" si="101"/>
        <v>1250</v>
      </c>
      <c r="Y709" s="3">
        <f t="shared" si="102"/>
        <v>1600</v>
      </c>
      <c r="Z709" s="3">
        <f t="shared" si="103"/>
        <v>1800</v>
      </c>
      <c r="AA709" s="3">
        <v>0</v>
      </c>
      <c r="AB709" s="3">
        <f>ROUND(U709 - (V709+W709+X709+Y709) - (U709/Q709 * 2),0)</f>
        <v>34483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f>SUM(V709+W709+X709+Y709+AB709)</f>
        <v>93333</v>
      </c>
      <c r="AK709" s="3">
        <f>SUM(AJ709-AA709)</f>
        <v>93333</v>
      </c>
      <c r="AL709" s="3">
        <f>IF(V709&lt;=15000,V709*12%,1800)</f>
        <v>1800</v>
      </c>
      <c r="AM709" s="3">
        <v>0</v>
      </c>
      <c r="AN709" s="3">
        <f t="shared" si="104"/>
        <v>1800</v>
      </c>
      <c r="AO709" s="12">
        <v>200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3">
        <f t="shared" si="106"/>
        <v>200</v>
      </c>
      <c r="AV709" s="3">
        <f>SUM(AJ709 - AN709 - AU709)</f>
        <v>91333</v>
      </c>
      <c r="AW709" s="11">
        <v>0</v>
      </c>
      <c r="AX709" s="11">
        <v>0</v>
      </c>
      <c r="AY709" s="11">
        <v>0</v>
      </c>
      <c r="AZ709" s="11">
        <v>0</v>
      </c>
      <c r="BA709" s="3">
        <f t="shared" si="105"/>
        <v>91333</v>
      </c>
    </row>
    <row r="710" spans="1:53" x14ac:dyDescent="0.25">
      <c r="A710" s="1" t="s">
        <v>708</v>
      </c>
      <c r="B710" s="9" t="s">
        <v>2397</v>
      </c>
      <c r="C710" s="9" t="s">
        <v>2398</v>
      </c>
      <c r="D710" s="9" t="s">
        <v>2399</v>
      </c>
      <c r="E710" s="9" t="s">
        <v>1008</v>
      </c>
      <c r="F710" s="10">
        <v>44718</v>
      </c>
      <c r="G710" s="9" t="s">
        <v>1019</v>
      </c>
      <c r="I710" s="9" t="s">
        <v>1014</v>
      </c>
      <c r="J710" s="9" t="s">
        <v>1021</v>
      </c>
      <c r="K710" s="8" t="s">
        <v>1006</v>
      </c>
      <c r="L710" s="8" t="s">
        <v>1007</v>
      </c>
      <c r="M710" s="8" t="s">
        <v>2933</v>
      </c>
      <c r="N710" s="8" t="s">
        <v>2937</v>
      </c>
      <c r="O710" s="1" t="s">
        <v>2934</v>
      </c>
      <c r="P710">
        <v>30</v>
      </c>
      <c r="Q710">
        <v>30</v>
      </c>
      <c r="R710">
        <v>0</v>
      </c>
      <c r="S710">
        <f t="shared" si="107"/>
        <v>30</v>
      </c>
      <c r="T710" s="1" t="s">
        <v>2935</v>
      </c>
      <c r="U710" s="1" t="s">
        <v>2932</v>
      </c>
      <c r="V710" s="3">
        <f t="shared" si="108"/>
        <v>40000</v>
      </c>
      <c r="W710" s="3">
        <f t="shared" si="109"/>
        <v>16000</v>
      </c>
      <c r="X710" s="3">
        <f t="shared" si="101"/>
        <v>1250</v>
      </c>
      <c r="Y710" s="3">
        <f t="shared" si="102"/>
        <v>1600</v>
      </c>
      <c r="Z710" s="3">
        <f t="shared" si="103"/>
        <v>1800</v>
      </c>
      <c r="AA710" s="3">
        <v>0</v>
      </c>
      <c r="AB710" s="3">
        <f>ROUND(U710 - (V710+W710+X710+Y710) - (U710/Q710 * 2),0)</f>
        <v>34483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f>SUM(V710+W710+X710+Y710+AB710)</f>
        <v>93333</v>
      </c>
      <c r="AK710" s="3">
        <f>SUM(AJ710-AA710)</f>
        <v>93333</v>
      </c>
      <c r="AL710" s="3">
        <f>IF(V710&lt;=15000,V710*12%,1800)</f>
        <v>1800</v>
      </c>
      <c r="AM710" s="3">
        <v>0</v>
      </c>
      <c r="AN710" s="3">
        <f t="shared" si="104"/>
        <v>1800</v>
      </c>
      <c r="AO710" s="12">
        <v>200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3">
        <f t="shared" si="106"/>
        <v>200</v>
      </c>
      <c r="AV710" s="3">
        <f>SUM(AJ710 - AN710 - AU710)</f>
        <v>91333</v>
      </c>
      <c r="AW710" s="11">
        <v>0</v>
      </c>
      <c r="AX710" s="11">
        <v>0</v>
      </c>
      <c r="AY710" s="11">
        <v>0</v>
      </c>
      <c r="AZ710" s="11">
        <v>0</v>
      </c>
      <c r="BA710" s="3">
        <f t="shared" si="105"/>
        <v>91333</v>
      </c>
    </row>
    <row r="711" spans="1:53" x14ac:dyDescent="0.25">
      <c r="A711" s="1" t="s">
        <v>709</v>
      </c>
      <c r="B711" s="9" t="s">
        <v>2395</v>
      </c>
      <c r="C711" s="9" t="s">
        <v>1434</v>
      </c>
      <c r="D711" s="9" t="s">
        <v>2396</v>
      </c>
      <c r="E711" s="9" t="s">
        <v>1008</v>
      </c>
      <c r="F711" s="10">
        <v>44720</v>
      </c>
      <c r="G711" s="9" t="s">
        <v>1019</v>
      </c>
      <c r="I711" s="9" t="s">
        <v>1014</v>
      </c>
      <c r="J711" s="9" t="s">
        <v>1015</v>
      </c>
      <c r="K711" s="8" t="s">
        <v>1006</v>
      </c>
      <c r="L711" s="8" t="s">
        <v>1007</v>
      </c>
      <c r="M711" s="8" t="s">
        <v>2933</v>
      </c>
      <c r="N711" s="8" t="s">
        <v>2937</v>
      </c>
      <c r="O711" s="1" t="s">
        <v>2934</v>
      </c>
      <c r="P711">
        <v>30</v>
      </c>
      <c r="Q711">
        <v>30</v>
      </c>
      <c r="R711">
        <v>0</v>
      </c>
      <c r="S711">
        <f t="shared" si="107"/>
        <v>30</v>
      </c>
      <c r="T711" s="1" t="s">
        <v>2935</v>
      </c>
      <c r="U711" s="1" t="s">
        <v>2932</v>
      </c>
      <c r="V711" s="3">
        <f t="shared" si="108"/>
        <v>40000</v>
      </c>
      <c r="W711" s="3">
        <f t="shared" si="109"/>
        <v>16000</v>
      </c>
      <c r="X711" s="3">
        <f t="shared" si="101"/>
        <v>1250</v>
      </c>
      <c r="Y711" s="3">
        <f t="shared" si="102"/>
        <v>1600</v>
      </c>
      <c r="Z711" s="3">
        <f t="shared" si="103"/>
        <v>1800</v>
      </c>
      <c r="AA711" s="3">
        <v>0</v>
      </c>
      <c r="AB711" s="3">
        <f>ROUND(U711 - (V711+W711+X711+Y711) - (U711/Q711 * 2),0)</f>
        <v>34483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f>SUM(V711+W711+X711+Y711+AB711)</f>
        <v>93333</v>
      </c>
      <c r="AK711" s="3">
        <f>SUM(AJ711-AA711)</f>
        <v>93333</v>
      </c>
      <c r="AL711" s="3">
        <f>IF(V711&lt;=15000,V711*12%,1800)</f>
        <v>1800</v>
      </c>
      <c r="AM711" s="3">
        <v>0</v>
      </c>
      <c r="AN711" s="3">
        <f t="shared" si="104"/>
        <v>1800</v>
      </c>
      <c r="AO711" s="12">
        <v>200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3">
        <f t="shared" si="106"/>
        <v>200</v>
      </c>
      <c r="AV711" s="3">
        <f>SUM(AJ711 - AN711 - AU711)</f>
        <v>91333</v>
      </c>
      <c r="AW711" s="11">
        <v>0</v>
      </c>
      <c r="AX711" s="11">
        <v>0</v>
      </c>
      <c r="AY711" s="11">
        <v>0</v>
      </c>
      <c r="AZ711" s="11">
        <v>0</v>
      </c>
      <c r="BA711" s="3">
        <f t="shared" si="105"/>
        <v>91333</v>
      </c>
    </row>
    <row r="712" spans="1:53" x14ac:dyDescent="0.25">
      <c r="A712" s="1" t="s">
        <v>710</v>
      </c>
      <c r="B712" s="9" t="s">
        <v>2393</v>
      </c>
      <c r="C712" s="9" t="s">
        <v>1115</v>
      </c>
      <c r="D712" s="9" t="s">
        <v>2394</v>
      </c>
      <c r="E712" s="9" t="s">
        <v>1012</v>
      </c>
      <c r="F712" s="10">
        <v>44732</v>
      </c>
      <c r="G712" s="9" t="s">
        <v>1019</v>
      </c>
      <c r="I712" s="9" t="s">
        <v>1035</v>
      </c>
      <c r="J712" s="9" t="s">
        <v>1048</v>
      </c>
      <c r="K712" s="8" t="s">
        <v>1006</v>
      </c>
      <c r="L712" s="8" t="s">
        <v>1007</v>
      </c>
      <c r="M712" s="8" t="s">
        <v>2933</v>
      </c>
      <c r="N712" s="8" t="s">
        <v>2937</v>
      </c>
      <c r="O712" s="1" t="s">
        <v>2934</v>
      </c>
      <c r="P712">
        <v>30</v>
      </c>
      <c r="Q712">
        <v>30</v>
      </c>
      <c r="R712">
        <v>0</v>
      </c>
      <c r="S712">
        <f t="shared" si="107"/>
        <v>30</v>
      </c>
      <c r="T712" s="1" t="s">
        <v>2935</v>
      </c>
      <c r="U712" s="1" t="s">
        <v>2932</v>
      </c>
      <c r="V712" s="3">
        <f t="shared" si="108"/>
        <v>40000</v>
      </c>
      <c r="W712" s="3">
        <f t="shared" si="109"/>
        <v>16000</v>
      </c>
      <c r="X712" s="3">
        <f t="shared" si="101"/>
        <v>1250</v>
      </c>
      <c r="Y712" s="3">
        <f t="shared" si="102"/>
        <v>1600</v>
      </c>
      <c r="Z712" s="3">
        <f t="shared" si="103"/>
        <v>1800</v>
      </c>
      <c r="AA712" s="3">
        <v>0</v>
      </c>
      <c r="AB712" s="3">
        <f>ROUND(U712 - (V712+W712+X712+Y712) - (U712/Q712 * 2),0)</f>
        <v>34483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f>SUM(V712+W712+X712+Y712+AB712)</f>
        <v>93333</v>
      </c>
      <c r="AK712" s="3">
        <f>SUM(AJ712-AA712)</f>
        <v>93333</v>
      </c>
      <c r="AL712" s="3">
        <f>IF(V712&lt;=15000,V712*12%,1800)</f>
        <v>1800</v>
      </c>
      <c r="AM712" s="3">
        <v>0</v>
      </c>
      <c r="AN712" s="3">
        <f t="shared" si="104"/>
        <v>1800</v>
      </c>
      <c r="AO712" s="12">
        <v>200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3">
        <f t="shared" si="106"/>
        <v>200</v>
      </c>
      <c r="AV712" s="3">
        <f>SUM(AJ712 - AN712 - AU712)</f>
        <v>91333</v>
      </c>
      <c r="AW712" s="11">
        <v>0</v>
      </c>
      <c r="AX712" s="11">
        <v>0</v>
      </c>
      <c r="AY712" s="11">
        <v>0</v>
      </c>
      <c r="AZ712" s="11">
        <v>0</v>
      </c>
      <c r="BA712" s="3">
        <f t="shared" si="105"/>
        <v>91333</v>
      </c>
    </row>
    <row r="713" spans="1:53" x14ac:dyDescent="0.25">
      <c r="A713" s="1" t="s">
        <v>711</v>
      </c>
      <c r="B713" s="9" t="s">
        <v>2391</v>
      </c>
      <c r="C713" s="9" t="s">
        <v>1115</v>
      </c>
      <c r="D713" s="9" t="s">
        <v>2392</v>
      </c>
      <c r="E713" s="9" t="s">
        <v>1008</v>
      </c>
      <c r="F713" s="10">
        <v>44732</v>
      </c>
      <c r="G713" s="9" t="s">
        <v>1019</v>
      </c>
      <c r="I713" s="9" t="s">
        <v>1035</v>
      </c>
      <c r="J713" s="9" t="s">
        <v>1048</v>
      </c>
      <c r="K713" s="8" t="s">
        <v>1006</v>
      </c>
      <c r="L713" s="8" t="s">
        <v>1007</v>
      </c>
      <c r="M713" s="8" t="s">
        <v>2933</v>
      </c>
      <c r="N713" s="8" t="s">
        <v>2937</v>
      </c>
      <c r="O713" s="1" t="s">
        <v>2934</v>
      </c>
      <c r="P713">
        <v>30</v>
      </c>
      <c r="Q713">
        <v>30</v>
      </c>
      <c r="R713">
        <v>0</v>
      </c>
      <c r="S713">
        <f t="shared" si="107"/>
        <v>30</v>
      </c>
      <c r="T713" s="1" t="s">
        <v>2935</v>
      </c>
      <c r="U713" s="1" t="s">
        <v>2932</v>
      </c>
      <c r="V713" s="3">
        <f t="shared" si="108"/>
        <v>40000</v>
      </c>
      <c r="W713" s="3">
        <f t="shared" si="109"/>
        <v>16000</v>
      </c>
      <c r="X713" s="3">
        <f t="shared" si="101"/>
        <v>1250</v>
      </c>
      <c r="Y713" s="3">
        <f t="shared" si="102"/>
        <v>1600</v>
      </c>
      <c r="Z713" s="3">
        <f t="shared" si="103"/>
        <v>1800</v>
      </c>
      <c r="AA713" s="3">
        <v>0</v>
      </c>
      <c r="AB713" s="3">
        <f>ROUND(U713 - (V713+W713+X713+Y713) - (U713/Q713 * 2),0)</f>
        <v>34483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f>SUM(V713+W713+X713+Y713+AB713)</f>
        <v>93333</v>
      </c>
      <c r="AK713" s="3">
        <f>SUM(AJ713-AA713)</f>
        <v>93333</v>
      </c>
      <c r="AL713" s="3">
        <f>IF(V713&lt;=15000,V713*12%,1800)</f>
        <v>1800</v>
      </c>
      <c r="AM713" s="3">
        <v>0</v>
      </c>
      <c r="AN713" s="3">
        <f t="shared" si="104"/>
        <v>1800</v>
      </c>
      <c r="AO713" s="12">
        <v>200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3">
        <f t="shared" si="106"/>
        <v>200</v>
      </c>
      <c r="AV713" s="3">
        <f>SUM(AJ713 - AN713 - AU713)</f>
        <v>91333</v>
      </c>
      <c r="AW713" s="11">
        <v>0</v>
      </c>
      <c r="AX713" s="11">
        <v>0</v>
      </c>
      <c r="AY713" s="11">
        <v>0</v>
      </c>
      <c r="AZ713" s="11">
        <v>0</v>
      </c>
      <c r="BA713" s="3">
        <f t="shared" si="105"/>
        <v>91333</v>
      </c>
    </row>
    <row r="714" spans="1:53" x14ac:dyDescent="0.25">
      <c r="A714" s="1" t="s">
        <v>712</v>
      </c>
      <c r="B714" s="9" t="s">
        <v>2389</v>
      </c>
      <c r="C714" s="9" t="s">
        <v>1173</v>
      </c>
      <c r="D714" s="9" t="s">
        <v>2390</v>
      </c>
      <c r="E714" s="9" t="s">
        <v>1012</v>
      </c>
      <c r="F714" s="10">
        <v>44732</v>
      </c>
      <c r="G714" s="9" t="s">
        <v>1013</v>
      </c>
      <c r="I714" s="9" t="s">
        <v>1035</v>
      </c>
      <c r="J714" s="9" t="s">
        <v>1048</v>
      </c>
      <c r="K714" s="8" t="s">
        <v>1006</v>
      </c>
      <c r="L714" s="8" t="s">
        <v>1007</v>
      </c>
      <c r="M714" s="8" t="s">
        <v>2933</v>
      </c>
      <c r="N714" s="8" t="s">
        <v>2937</v>
      </c>
      <c r="O714" s="1" t="s">
        <v>2934</v>
      </c>
      <c r="P714">
        <v>30</v>
      </c>
      <c r="Q714">
        <v>30</v>
      </c>
      <c r="R714">
        <v>0</v>
      </c>
      <c r="S714">
        <f t="shared" si="107"/>
        <v>30</v>
      </c>
      <c r="T714" s="1" t="s">
        <v>2935</v>
      </c>
      <c r="U714" s="1" t="s">
        <v>2932</v>
      </c>
      <c r="V714" s="3">
        <f t="shared" si="108"/>
        <v>40000</v>
      </c>
      <c r="W714" s="3">
        <f t="shared" si="109"/>
        <v>16000</v>
      </c>
      <c r="X714" s="3">
        <f t="shared" si="101"/>
        <v>1250</v>
      </c>
      <c r="Y714" s="3">
        <f t="shared" si="102"/>
        <v>1600</v>
      </c>
      <c r="Z714" s="3">
        <f t="shared" si="103"/>
        <v>1800</v>
      </c>
      <c r="AA714" s="3">
        <v>0</v>
      </c>
      <c r="AB714" s="3">
        <f>ROUND(U714 - (V714+W714+X714+Y714) - (U714/Q714 * 2),0)</f>
        <v>34483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f>SUM(V714+W714+X714+Y714+AB714)</f>
        <v>93333</v>
      </c>
      <c r="AK714" s="3">
        <f>SUM(AJ714-AA714)</f>
        <v>93333</v>
      </c>
      <c r="AL714" s="3">
        <f>IF(V714&lt;=15000,V714*12%,1800)</f>
        <v>1800</v>
      </c>
      <c r="AM714" s="3">
        <v>0</v>
      </c>
      <c r="AN714" s="3">
        <f t="shared" si="104"/>
        <v>1800</v>
      </c>
      <c r="AO714" s="12">
        <v>200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3">
        <f t="shared" si="106"/>
        <v>200</v>
      </c>
      <c r="AV714" s="3">
        <f>SUM(AJ714 - AN714 - AU714)</f>
        <v>91333</v>
      </c>
      <c r="AW714" s="11">
        <v>0</v>
      </c>
      <c r="AX714" s="11">
        <v>0</v>
      </c>
      <c r="AY714" s="11">
        <v>0</v>
      </c>
      <c r="AZ714" s="11">
        <v>0</v>
      </c>
      <c r="BA714" s="3">
        <f t="shared" si="105"/>
        <v>91333</v>
      </c>
    </row>
    <row r="715" spans="1:53" x14ac:dyDescent="0.25">
      <c r="A715" s="1" t="s">
        <v>713</v>
      </c>
      <c r="B715" s="9" t="s">
        <v>1094</v>
      </c>
      <c r="C715" s="9" t="s">
        <v>1063</v>
      </c>
      <c r="D715" s="9" t="s">
        <v>2388</v>
      </c>
      <c r="E715" s="9" t="s">
        <v>1012</v>
      </c>
      <c r="F715" s="10">
        <v>44713</v>
      </c>
      <c r="G715" s="9" t="s">
        <v>1013</v>
      </c>
      <c r="I715" s="9" t="s">
        <v>1014</v>
      </c>
      <c r="J715" s="9" t="s">
        <v>1015</v>
      </c>
      <c r="K715" s="8" t="s">
        <v>1006</v>
      </c>
      <c r="L715" s="8" t="s">
        <v>1007</v>
      </c>
      <c r="M715" s="8" t="s">
        <v>2933</v>
      </c>
      <c r="N715" s="8" t="s">
        <v>2937</v>
      </c>
      <c r="O715" s="1" t="s">
        <v>2934</v>
      </c>
      <c r="P715">
        <v>30</v>
      </c>
      <c r="Q715">
        <v>30</v>
      </c>
      <c r="R715">
        <v>0</v>
      </c>
      <c r="S715">
        <f t="shared" si="107"/>
        <v>30</v>
      </c>
      <c r="T715" s="1" t="s">
        <v>2935</v>
      </c>
      <c r="U715" s="1" t="s">
        <v>2932</v>
      </c>
      <c r="V715" s="3">
        <f t="shared" si="108"/>
        <v>40000</v>
      </c>
      <c r="W715" s="3">
        <f t="shared" si="109"/>
        <v>16000</v>
      </c>
      <c r="X715" s="3">
        <f t="shared" si="101"/>
        <v>1250</v>
      </c>
      <c r="Y715" s="3">
        <f t="shared" si="102"/>
        <v>1600</v>
      </c>
      <c r="Z715" s="3">
        <f t="shared" si="103"/>
        <v>1800</v>
      </c>
      <c r="AA715" s="3">
        <v>0</v>
      </c>
      <c r="AB715" s="3">
        <f>ROUND(U715 - (V715+W715+X715+Y715) - (U715/Q715 * 2),0)</f>
        <v>34483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f>SUM(V715+W715+X715+Y715+AB715)</f>
        <v>93333</v>
      </c>
      <c r="AK715" s="3">
        <f>SUM(AJ715-AA715)</f>
        <v>93333</v>
      </c>
      <c r="AL715" s="3">
        <f>IF(V715&lt;=15000,V715*12%,1800)</f>
        <v>1800</v>
      </c>
      <c r="AM715" s="3">
        <v>0</v>
      </c>
      <c r="AN715" s="3">
        <f t="shared" si="104"/>
        <v>1800</v>
      </c>
      <c r="AO715" s="12">
        <v>200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3">
        <f t="shared" si="106"/>
        <v>200</v>
      </c>
      <c r="AV715" s="3">
        <f>SUM(AJ715 - AN715 - AU715)</f>
        <v>91333</v>
      </c>
      <c r="AW715" s="11">
        <v>0</v>
      </c>
      <c r="AX715" s="11">
        <v>0</v>
      </c>
      <c r="AY715" s="11">
        <v>0</v>
      </c>
      <c r="AZ715" s="11">
        <v>0</v>
      </c>
      <c r="BA715" s="3">
        <f t="shared" si="105"/>
        <v>91333</v>
      </c>
    </row>
    <row r="716" spans="1:53" x14ac:dyDescent="0.25">
      <c r="A716" s="1" t="s">
        <v>714</v>
      </c>
      <c r="B716" s="9" t="s">
        <v>2386</v>
      </c>
      <c r="C716" s="9" t="s">
        <v>1023</v>
      </c>
      <c r="D716" s="9" t="s">
        <v>2387</v>
      </c>
      <c r="E716" s="9" t="s">
        <v>1012</v>
      </c>
      <c r="F716" s="10">
        <v>44725</v>
      </c>
      <c r="G716" s="9" t="s">
        <v>1013</v>
      </c>
      <c r="I716" s="9" t="s">
        <v>1014</v>
      </c>
      <c r="J716" s="9" t="s">
        <v>1021</v>
      </c>
      <c r="K716" s="8" t="s">
        <v>1006</v>
      </c>
      <c r="L716" s="8" t="s">
        <v>1007</v>
      </c>
      <c r="M716" s="8" t="s">
        <v>2933</v>
      </c>
      <c r="N716" s="8" t="s">
        <v>2937</v>
      </c>
      <c r="O716" s="1" t="s">
        <v>2934</v>
      </c>
      <c r="P716">
        <v>30</v>
      </c>
      <c r="Q716">
        <v>30</v>
      </c>
      <c r="R716">
        <v>0</v>
      </c>
      <c r="S716">
        <f t="shared" si="107"/>
        <v>30</v>
      </c>
      <c r="T716" s="1" t="s">
        <v>2935</v>
      </c>
      <c r="U716" s="1" t="s">
        <v>2932</v>
      </c>
      <c r="V716" s="3">
        <f t="shared" si="108"/>
        <v>40000</v>
      </c>
      <c r="W716" s="3">
        <f t="shared" si="109"/>
        <v>16000</v>
      </c>
      <c r="X716" s="3">
        <f t="shared" si="101"/>
        <v>1250</v>
      </c>
      <c r="Y716" s="3">
        <f t="shared" si="102"/>
        <v>1600</v>
      </c>
      <c r="Z716" s="3">
        <f t="shared" si="103"/>
        <v>1800</v>
      </c>
      <c r="AA716" s="3">
        <v>0</v>
      </c>
      <c r="AB716" s="3">
        <f>ROUND(U716 - (V716+W716+X716+Y716) - (U716/Q716 * 2),0)</f>
        <v>34483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f>SUM(V716+W716+X716+Y716+AB716)</f>
        <v>93333</v>
      </c>
      <c r="AK716" s="3">
        <f>SUM(AJ716-AA716)</f>
        <v>93333</v>
      </c>
      <c r="AL716" s="3">
        <f>IF(V716&lt;=15000,V716*12%,1800)</f>
        <v>1800</v>
      </c>
      <c r="AM716" s="3">
        <v>0</v>
      </c>
      <c r="AN716" s="3">
        <f t="shared" si="104"/>
        <v>1800</v>
      </c>
      <c r="AO716" s="12">
        <v>200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3">
        <f t="shared" si="106"/>
        <v>200</v>
      </c>
      <c r="AV716" s="3">
        <f>SUM(AJ716 - AN716 - AU716)</f>
        <v>91333</v>
      </c>
      <c r="AW716" s="11">
        <v>0</v>
      </c>
      <c r="AX716" s="11">
        <v>0</v>
      </c>
      <c r="AY716" s="11">
        <v>0</v>
      </c>
      <c r="AZ716" s="11">
        <v>0</v>
      </c>
      <c r="BA716" s="3">
        <f t="shared" si="105"/>
        <v>91333</v>
      </c>
    </row>
    <row r="717" spans="1:53" x14ac:dyDescent="0.25">
      <c r="A717" s="1" t="s">
        <v>715</v>
      </c>
      <c r="B717" s="9" t="s">
        <v>1542</v>
      </c>
      <c r="C717" s="9" t="s">
        <v>1075</v>
      </c>
      <c r="D717" s="9" t="s">
        <v>2385</v>
      </c>
      <c r="E717" s="9" t="s">
        <v>1012</v>
      </c>
      <c r="F717" s="10">
        <v>44739</v>
      </c>
      <c r="G717" s="9" t="s">
        <v>1019</v>
      </c>
      <c r="I717" s="9" t="s">
        <v>1014</v>
      </c>
      <c r="J717" s="9" t="s">
        <v>1015</v>
      </c>
      <c r="K717" s="8" t="s">
        <v>1006</v>
      </c>
      <c r="L717" s="8" t="s">
        <v>1007</v>
      </c>
      <c r="M717" s="8" t="s">
        <v>2933</v>
      </c>
      <c r="N717" s="8" t="s">
        <v>2937</v>
      </c>
      <c r="O717" s="1" t="s">
        <v>2934</v>
      </c>
      <c r="P717">
        <v>30</v>
      </c>
      <c r="Q717">
        <v>30</v>
      </c>
      <c r="R717">
        <v>0</v>
      </c>
      <c r="S717">
        <f t="shared" si="107"/>
        <v>30</v>
      </c>
      <c r="T717" s="1" t="s">
        <v>2935</v>
      </c>
      <c r="U717" s="1" t="s">
        <v>2932</v>
      </c>
      <c r="V717" s="3">
        <f t="shared" si="108"/>
        <v>40000</v>
      </c>
      <c r="W717" s="3">
        <f t="shared" si="109"/>
        <v>16000</v>
      </c>
      <c r="X717" s="3">
        <f t="shared" si="101"/>
        <v>1250</v>
      </c>
      <c r="Y717" s="3">
        <f t="shared" si="102"/>
        <v>1600</v>
      </c>
      <c r="Z717" s="3">
        <f t="shared" si="103"/>
        <v>1800</v>
      </c>
      <c r="AA717" s="3">
        <v>0</v>
      </c>
      <c r="AB717" s="3">
        <f>ROUND(U717 - (V717+W717+X717+Y717) - (U717/Q717 * 2),0)</f>
        <v>34483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f>SUM(V717+W717+X717+Y717+AB717)</f>
        <v>93333</v>
      </c>
      <c r="AK717" s="3">
        <f>SUM(AJ717-AA717)</f>
        <v>93333</v>
      </c>
      <c r="AL717" s="3">
        <f>IF(V717&lt;=15000,V717*12%,1800)</f>
        <v>1800</v>
      </c>
      <c r="AM717" s="3">
        <v>0</v>
      </c>
      <c r="AN717" s="3">
        <f t="shared" si="104"/>
        <v>1800</v>
      </c>
      <c r="AO717" s="12">
        <v>200</v>
      </c>
      <c r="AP717" s="12">
        <v>0</v>
      </c>
      <c r="AQ717" s="12">
        <v>0</v>
      </c>
      <c r="AR717" s="12">
        <v>0</v>
      </c>
      <c r="AS717" s="12">
        <v>0</v>
      </c>
      <c r="AT717" s="12">
        <v>0</v>
      </c>
      <c r="AU717" s="3">
        <f t="shared" si="106"/>
        <v>200</v>
      </c>
      <c r="AV717" s="3">
        <f>SUM(AJ717 - AN717 - AU717)</f>
        <v>91333</v>
      </c>
      <c r="AW717" s="11">
        <v>0</v>
      </c>
      <c r="AX717" s="11">
        <v>0</v>
      </c>
      <c r="AY717" s="11">
        <v>0</v>
      </c>
      <c r="AZ717" s="11">
        <v>0</v>
      </c>
      <c r="BA717" s="3">
        <f t="shared" si="105"/>
        <v>91333</v>
      </c>
    </row>
    <row r="718" spans="1:53" x14ac:dyDescent="0.25">
      <c r="A718" s="1" t="s">
        <v>716</v>
      </c>
      <c r="B718" s="9" t="s">
        <v>2384</v>
      </c>
      <c r="C718" s="9" t="s">
        <v>1063</v>
      </c>
      <c r="D718" s="9">
        <v>0</v>
      </c>
      <c r="E718" s="9" t="s">
        <v>1012</v>
      </c>
      <c r="F718" s="10">
        <v>44739</v>
      </c>
      <c r="G718" s="9" t="s">
        <v>1019</v>
      </c>
      <c r="I718" s="9" t="s">
        <v>1014</v>
      </c>
      <c r="J718" s="9" t="s">
        <v>1015</v>
      </c>
      <c r="K718" s="8" t="s">
        <v>1006</v>
      </c>
      <c r="L718" s="8" t="s">
        <v>1007</v>
      </c>
      <c r="M718" s="8" t="s">
        <v>2933</v>
      </c>
      <c r="N718" s="8" t="s">
        <v>2937</v>
      </c>
      <c r="O718" s="1" t="s">
        <v>2934</v>
      </c>
      <c r="P718">
        <v>30</v>
      </c>
      <c r="Q718">
        <v>30</v>
      </c>
      <c r="R718">
        <v>0</v>
      </c>
      <c r="S718">
        <f t="shared" si="107"/>
        <v>30</v>
      </c>
      <c r="T718" s="1" t="s">
        <v>2935</v>
      </c>
      <c r="U718" s="1" t="s">
        <v>2932</v>
      </c>
      <c r="V718" s="3">
        <f t="shared" si="108"/>
        <v>40000</v>
      </c>
      <c r="W718" s="3">
        <f t="shared" si="109"/>
        <v>16000</v>
      </c>
      <c r="X718" s="3">
        <f t="shared" si="101"/>
        <v>1250</v>
      </c>
      <c r="Y718" s="3">
        <f t="shared" si="102"/>
        <v>1600</v>
      </c>
      <c r="Z718" s="3">
        <f t="shared" si="103"/>
        <v>1800</v>
      </c>
      <c r="AA718" s="3">
        <v>0</v>
      </c>
      <c r="AB718" s="3">
        <f>ROUND(U718 - (V718+W718+X718+Y718) - (U718/Q718 * 2),0)</f>
        <v>34483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f>SUM(V718+W718+X718+Y718+AB718)</f>
        <v>93333</v>
      </c>
      <c r="AK718" s="3">
        <f>SUM(AJ718-AA718)</f>
        <v>93333</v>
      </c>
      <c r="AL718" s="3">
        <f>IF(V718&lt;=15000,V718*12%,1800)</f>
        <v>1800</v>
      </c>
      <c r="AM718" s="3">
        <v>0</v>
      </c>
      <c r="AN718" s="3">
        <f t="shared" si="104"/>
        <v>1800</v>
      </c>
      <c r="AO718" s="12">
        <v>200</v>
      </c>
      <c r="AP718" s="12">
        <v>0</v>
      </c>
      <c r="AQ718" s="12">
        <v>0</v>
      </c>
      <c r="AR718" s="12">
        <v>0</v>
      </c>
      <c r="AS718" s="12">
        <v>0</v>
      </c>
      <c r="AT718" s="12">
        <v>0</v>
      </c>
      <c r="AU718" s="3">
        <f t="shared" si="106"/>
        <v>200</v>
      </c>
      <c r="AV718" s="3">
        <f>SUM(AJ718 - AN718 - AU718)</f>
        <v>91333</v>
      </c>
      <c r="AW718" s="11">
        <v>0</v>
      </c>
      <c r="AX718" s="11">
        <v>0</v>
      </c>
      <c r="AY718" s="11">
        <v>0</v>
      </c>
      <c r="AZ718" s="11">
        <v>0</v>
      </c>
      <c r="BA718" s="3">
        <f t="shared" si="105"/>
        <v>91333</v>
      </c>
    </row>
    <row r="719" spans="1:53" x14ac:dyDescent="0.25">
      <c r="A719" s="1" t="s">
        <v>717</v>
      </c>
      <c r="B719" s="9" t="s">
        <v>2439</v>
      </c>
      <c r="C719" s="9" t="s">
        <v>1023</v>
      </c>
      <c r="D719" s="9" t="s">
        <v>2440</v>
      </c>
      <c r="E719" s="9" t="s">
        <v>1012</v>
      </c>
      <c r="F719" s="10">
        <v>44739</v>
      </c>
      <c r="G719" s="9" t="s">
        <v>1013</v>
      </c>
      <c r="I719" s="9" t="s">
        <v>1014</v>
      </c>
      <c r="J719" s="9" t="s">
        <v>1021</v>
      </c>
      <c r="K719" s="8" t="s">
        <v>1006</v>
      </c>
      <c r="L719" s="8" t="s">
        <v>1007</v>
      </c>
      <c r="M719" s="8" t="s">
        <v>2933</v>
      </c>
      <c r="N719" s="8" t="s">
        <v>2937</v>
      </c>
      <c r="O719" s="1" t="s">
        <v>2934</v>
      </c>
      <c r="P719">
        <v>30</v>
      </c>
      <c r="Q719">
        <v>30</v>
      </c>
      <c r="R719">
        <v>0</v>
      </c>
      <c r="S719">
        <f t="shared" si="107"/>
        <v>30</v>
      </c>
      <c r="T719" s="1" t="s">
        <v>2935</v>
      </c>
      <c r="U719" s="1" t="s">
        <v>2932</v>
      </c>
      <c r="V719" s="3">
        <f t="shared" si="108"/>
        <v>40000</v>
      </c>
      <c r="W719" s="3">
        <f t="shared" si="109"/>
        <v>16000</v>
      </c>
      <c r="X719" s="3">
        <f t="shared" si="101"/>
        <v>1250</v>
      </c>
      <c r="Y719" s="3">
        <f t="shared" si="102"/>
        <v>1600</v>
      </c>
      <c r="Z719" s="3">
        <f t="shared" si="103"/>
        <v>1800</v>
      </c>
      <c r="AA719" s="3">
        <v>0</v>
      </c>
      <c r="AB719" s="3">
        <f>ROUND(U719 - (V719+W719+X719+Y719) - (U719/Q719 * 2),0)</f>
        <v>34483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f>SUM(V719+W719+X719+Y719+AB719)</f>
        <v>93333</v>
      </c>
      <c r="AK719" s="3">
        <f>SUM(AJ719-AA719)</f>
        <v>93333</v>
      </c>
      <c r="AL719" s="3">
        <f>IF(V719&lt;=15000,V719*12%,1800)</f>
        <v>1800</v>
      </c>
      <c r="AM719" s="3">
        <v>0</v>
      </c>
      <c r="AN719" s="3">
        <f t="shared" si="104"/>
        <v>1800</v>
      </c>
      <c r="AO719" s="12">
        <v>200</v>
      </c>
      <c r="AP719" s="12">
        <v>0</v>
      </c>
      <c r="AQ719" s="12">
        <v>0</v>
      </c>
      <c r="AR719" s="12">
        <v>0</v>
      </c>
      <c r="AS719" s="12">
        <v>0</v>
      </c>
      <c r="AT719" s="12">
        <v>0</v>
      </c>
      <c r="AU719" s="3">
        <f t="shared" si="106"/>
        <v>200</v>
      </c>
      <c r="AV719" s="3">
        <f>SUM(AJ719 - AN719 - AU719)</f>
        <v>91333</v>
      </c>
      <c r="AW719" s="11">
        <v>0</v>
      </c>
      <c r="AX719" s="11">
        <v>0</v>
      </c>
      <c r="AY719" s="11">
        <v>0</v>
      </c>
      <c r="AZ719" s="11">
        <v>0</v>
      </c>
      <c r="BA719" s="3">
        <f t="shared" si="105"/>
        <v>91333</v>
      </c>
    </row>
    <row r="720" spans="1:53" x14ac:dyDescent="0.25">
      <c r="A720" s="1" t="s">
        <v>718</v>
      </c>
      <c r="B720" s="9" t="s">
        <v>2437</v>
      </c>
      <c r="C720" s="9" t="s">
        <v>1063</v>
      </c>
      <c r="D720" s="9" t="s">
        <v>2438</v>
      </c>
      <c r="E720" s="9" t="s">
        <v>1012</v>
      </c>
      <c r="F720" s="10">
        <v>44739</v>
      </c>
      <c r="G720" s="9" t="s">
        <v>1019</v>
      </c>
      <c r="I720" s="9" t="s">
        <v>1014</v>
      </c>
      <c r="J720" s="9" t="s">
        <v>1015</v>
      </c>
      <c r="K720" s="8" t="s">
        <v>1006</v>
      </c>
      <c r="L720" s="8" t="s">
        <v>1007</v>
      </c>
      <c r="M720" s="8" t="s">
        <v>2933</v>
      </c>
      <c r="N720" s="8" t="s">
        <v>2937</v>
      </c>
      <c r="O720" s="1" t="s">
        <v>2934</v>
      </c>
      <c r="P720">
        <v>30</v>
      </c>
      <c r="Q720">
        <v>30</v>
      </c>
      <c r="R720">
        <v>0</v>
      </c>
      <c r="S720">
        <f t="shared" si="107"/>
        <v>30</v>
      </c>
      <c r="T720" s="1" t="s">
        <v>2935</v>
      </c>
      <c r="U720" s="1" t="s">
        <v>2932</v>
      </c>
      <c r="V720" s="3">
        <f t="shared" si="108"/>
        <v>40000</v>
      </c>
      <c r="W720" s="3">
        <f t="shared" si="109"/>
        <v>16000</v>
      </c>
      <c r="X720" s="3">
        <f t="shared" si="101"/>
        <v>1250</v>
      </c>
      <c r="Y720" s="3">
        <f t="shared" si="102"/>
        <v>1600</v>
      </c>
      <c r="Z720" s="3">
        <f t="shared" si="103"/>
        <v>1800</v>
      </c>
      <c r="AA720" s="3">
        <v>0</v>
      </c>
      <c r="AB720" s="3">
        <f>ROUND(U720 - (V720+W720+X720+Y720) - (U720/Q720 * 2),0)</f>
        <v>34483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f>SUM(V720+W720+X720+Y720+AB720)</f>
        <v>93333</v>
      </c>
      <c r="AK720" s="3">
        <f>SUM(AJ720-AA720)</f>
        <v>93333</v>
      </c>
      <c r="AL720" s="3">
        <f>IF(V720&lt;=15000,V720*12%,1800)</f>
        <v>1800</v>
      </c>
      <c r="AM720" s="3">
        <v>0</v>
      </c>
      <c r="AN720" s="3">
        <f t="shared" si="104"/>
        <v>1800</v>
      </c>
      <c r="AO720" s="12">
        <v>200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3">
        <f t="shared" si="106"/>
        <v>200</v>
      </c>
      <c r="AV720" s="3">
        <f>SUM(AJ720 - AN720 - AU720)</f>
        <v>91333</v>
      </c>
      <c r="AW720" s="11">
        <v>0</v>
      </c>
      <c r="AX720" s="11">
        <v>0</v>
      </c>
      <c r="AY720" s="11">
        <v>0</v>
      </c>
      <c r="AZ720" s="11">
        <v>0</v>
      </c>
      <c r="BA720" s="3">
        <f t="shared" si="105"/>
        <v>91333</v>
      </c>
    </row>
    <row r="721" spans="1:53" x14ac:dyDescent="0.25">
      <c r="A721" s="1" t="s">
        <v>719</v>
      </c>
      <c r="B721" s="9" t="s">
        <v>2435</v>
      </c>
      <c r="C721" s="9" t="s">
        <v>1017</v>
      </c>
      <c r="D721" s="9" t="s">
        <v>2436</v>
      </c>
      <c r="E721" s="9" t="s">
        <v>1012</v>
      </c>
      <c r="F721" s="10">
        <v>44739</v>
      </c>
      <c r="G721" s="9" t="s">
        <v>1019</v>
      </c>
      <c r="I721" s="9" t="s">
        <v>1035</v>
      </c>
      <c r="J721" s="9" t="s">
        <v>1021</v>
      </c>
      <c r="K721" s="8" t="s">
        <v>1006</v>
      </c>
      <c r="L721" s="8" t="s">
        <v>1007</v>
      </c>
      <c r="M721" s="8" t="s">
        <v>2933</v>
      </c>
      <c r="N721" s="8" t="s">
        <v>2937</v>
      </c>
      <c r="O721" s="1" t="s">
        <v>2934</v>
      </c>
      <c r="P721">
        <v>30</v>
      </c>
      <c r="Q721">
        <v>30</v>
      </c>
      <c r="R721">
        <v>0</v>
      </c>
      <c r="S721">
        <f t="shared" si="107"/>
        <v>30</v>
      </c>
      <c r="T721" s="1" t="s">
        <v>2935</v>
      </c>
      <c r="U721" s="1" t="s">
        <v>2932</v>
      </c>
      <c r="V721" s="3">
        <f t="shared" si="108"/>
        <v>40000</v>
      </c>
      <c r="W721" s="3">
        <f t="shared" si="109"/>
        <v>16000</v>
      </c>
      <c r="X721" s="3">
        <f t="shared" si="101"/>
        <v>1250</v>
      </c>
      <c r="Y721" s="3">
        <f t="shared" si="102"/>
        <v>1600</v>
      </c>
      <c r="Z721" s="3">
        <f t="shared" si="103"/>
        <v>1800</v>
      </c>
      <c r="AA721" s="3">
        <v>0</v>
      </c>
      <c r="AB721" s="3">
        <f>ROUND(U721 - (V721+W721+X721+Y721) - (U721/Q721 * 2),0)</f>
        <v>34483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f>SUM(V721+W721+X721+Y721+AB721)</f>
        <v>93333</v>
      </c>
      <c r="AK721" s="3">
        <f>SUM(AJ721-AA721)</f>
        <v>93333</v>
      </c>
      <c r="AL721" s="3">
        <f>IF(V721&lt;=15000,V721*12%,1800)</f>
        <v>1800</v>
      </c>
      <c r="AM721" s="3">
        <v>0</v>
      </c>
      <c r="AN721" s="3">
        <f t="shared" si="104"/>
        <v>1800</v>
      </c>
      <c r="AO721" s="12">
        <v>200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3">
        <f t="shared" si="106"/>
        <v>200</v>
      </c>
      <c r="AV721" s="3">
        <f>SUM(AJ721 - AN721 - AU721)</f>
        <v>91333</v>
      </c>
      <c r="AW721" s="11">
        <v>0</v>
      </c>
      <c r="AX721" s="11">
        <v>0</v>
      </c>
      <c r="AY721" s="11">
        <v>0</v>
      </c>
      <c r="AZ721" s="11">
        <v>0</v>
      </c>
      <c r="BA721" s="3">
        <f t="shared" si="105"/>
        <v>91333</v>
      </c>
    </row>
    <row r="722" spans="1:53" x14ac:dyDescent="0.25">
      <c r="A722" s="1" t="s">
        <v>720</v>
      </c>
      <c r="B722" s="9" t="s">
        <v>2433</v>
      </c>
      <c r="C722" s="9" t="s">
        <v>1063</v>
      </c>
      <c r="D722" s="9" t="s">
        <v>2434</v>
      </c>
      <c r="E722" s="9" t="s">
        <v>1012</v>
      </c>
      <c r="F722" s="10">
        <v>44734</v>
      </c>
      <c r="G722" s="9" t="s">
        <v>1019</v>
      </c>
      <c r="I722" s="9" t="s">
        <v>1065</v>
      </c>
      <c r="J722" s="9" t="s">
        <v>1015</v>
      </c>
      <c r="K722" s="8" t="s">
        <v>1006</v>
      </c>
      <c r="L722" s="8" t="s">
        <v>1007</v>
      </c>
      <c r="M722" s="8" t="s">
        <v>2933</v>
      </c>
      <c r="N722" s="8" t="s">
        <v>2937</v>
      </c>
      <c r="O722" s="1" t="s">
        <v>2934</v>
      </c>
      <c r="P722">
        <v>30</v>
      </c>
      <c r="Q722">
        <v>30</v>
      </c>
      <c r="R722">
        <v>0</v>
      </c>
      <c r="S722">
        <f t="shared" si="107"/>
        <v>30</v>
      </c>
      <c r="T722" s="1" t="s">
        <v>2935</v>
      </c>
      <c r="U722" s="1" t="s">
        <v>2932</v>
      </c>
      <c r="V722" s="3">
        <f t="shared" si="108"/>
        <v>40000</v>
      </c>
      <c r="W722" s="3">
        <f t="shared" si="109"/>
        <v>16000</v>
      </c>
      <c r="X722" s="3">
        <f t="shared" si="101"/>
        <v>1250</v>
      </c>
      <c r="Y722" s="3">
        <f t="shared" si="102"/>
        <v>1600</v>
      </c>
      <c r="Z722" s="3">
        <f t="shared" si="103"/>
        <v>1800</v>
      </c>
      <c r="AA722" s="3">
        <v>0</v>
      </c>
      <c r="AB722" s="3">
        <f>ROUND(U722 - (V722+W722+X722+Y722) - (U722/Q722 * 2),0)</f>
        <v>34483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f>SUM(V722+W722+X722+Y722+AB722)</f>
        <v>93333</v>
      </c>
      <c r="AK722" s="3">
        <f>SUM(AJ722-AA722)</f>
        <v>93333</v>
      </c>
      <c r="AL722" s="3">
        <f>IF(V722&lt;=15000,V722*12%,1800)</f>
        <v>1800</v>
      </c>
      <c r="AM722" s="3">
        <v>0</v>
      </c>
      <c r="AN722" s="3">
        <f t="shared" si="104"/>
        <v>1800</v>
      </c>
      <c r="AO722" s="12">
        <v>200</v>
      </c>
      <c r="AP722" s="12">
        <v>0</v>
      </c>
      <c r="AQ722" s="12">
        <v>0</v>
      </c>
      <c r="AR722" s="12">
        <v>0</v>
      </c>
      <c r="AS722" s="12">
        <v>0</v>
      </c>
      <c r="AT722" s="12">
        <v>0</v>
      </c>
      <c r="AU722" s="3">
        <f t="shared" si="106"/>
        <v>200</v>
      </c>
      <c r="AV722" s="3">
        <f>SUM(AJ722 - AN722 - AU722)</f>
        <v>91333</v>
      </c>
      <c r="AW722" s="11">
        <v>0</v>
      </c>
      <c r="AX722" s="11">
        <v>0</v>
      </c>
      <c r="AY722" s="11">
        <v>0</v>
      </c>
      <c r="AZ722" s="11">
        <v>0</v>
      </c>
      <c r="BA722" s="3">
        <f t="shared" si="105"/>
        <v>91333</v>
      </c>
    </row>
    <row r="723" spans="1:53" x14ac:dyDescent="0.25">
      <c r="A723" s="1" t="s">
        <v>721</v>
      </c>
      <c r="B723" s="9" t="s">
        <v>1474</v>
      </c>
      <c r="C723" s="9" t="s">
        <v>1023</v>
      </c>
      <c r="D723" s="9" t="s">
        <v>2432</v>
      </c>
      <c r="E723" s="9" t="s">
        <v>1012</v>
      </c>
      <c r="F723" s="10">
        <v>44732</v>
      </c>
      <c r="G723" s="9" t="s">
        <v>1019</v>
      </c>
      <c r="I723" s="9" t="s">
        <v>1014</v>
      </c>
      <c r="J723" s="9" t="s">
        <v>1021</v>
      </c>
      <c r="K723" s="8" t="s">
        <v>1006</v>
      </c>
      <c r="L723" s="8" t="s">
        <v>1007</v>
      </c>
      <c r="M723" s="8" t="s">
        <v>2933</v>
      </c>
      <c r="N723" s="8" t="s">
        <v>2937</v>
      </c>
      <c r="O723" s="1" t="s">
        <v>2934</v>
      </c>
      <c r="P723">
        <v>30</v>
      </c>
      <c r="Q723">
        <v>30</v>
      </c>
      <c r="R723">
        <v>0</v>
      </c>
      <c r="S723">
        <f t="shared" si="107"/>
        <v>30</v>
      </c>
      <c r="T723" s="1" t="s">
        <v>2935</v>
      </c>
      <c r="U723" s="1" t="s">
        <v>2932</v>
      </c>
      <c r="V723" s="3">
        <f t="shared" si="108"/>
        <v>40000</v>
      </c>
      <c r="W723" s="3">
        <f t="shared" si="109"/>
        <v>16000</v>
      </c>
      <c r="X723" s="3">
        <f t="shared" si="101"/>
        <v>1250</v>
      </c>
      <c r="Y723" s="3">
        <f t="shared" si="102"/>
        <v>1600</v>
      </c>
      <c r="Z723" s="3">
        <f t="shared" si="103"/>
        <v>1800</v>
      </c>
      <c r="AA723" s="3">
        <v>0</v>
      </c>
      <c r="AB723" s="3">
        <f>ROUND(U723 - (V723+W723+X723+Y723) - (U723/Q723 * 2),0)</f>
        <v>34483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f>SUM(V723+W723+X723+Y723+AB723)</f>
        <v>93333</v>
      </c>
      <c r="AK723" s="3">
        <f>SUM(AJ723-AA723)</f>
        <v>93333</v>
      </c>
      <c r="AL723" s="3">
        <f>IF(V723&lt;=15000,V723*12%,1800)</f>
        <v>1800</v>
      </c>
      <c r="AM723" s="3">
        <v>0</v>
      </c>
      <c r="AN723" s="3">
        <f t="shared" si="104"/>
        <v>1800</v>
      </c>
      <c r="AO723" s="12">
        <v>200</v>
      </c>
      <c r="AP723" s="12">
        <v>0</v>
      </c>
      <c r="AQ723" s="12">
        <v>0</v>
      </c>
      <c r="AR723" s="12">
        <v>0</v>
      </c>
      <c r="AS723" s="12">
        <v>0</v>
      </c>
      <c r="AT723" s="12">
        <v>0</v>
      </c>
      <c r="AU723" s="3">
        <f t="shared" si="106"/>
        <v>200</v>
      </c>
      <c r="AV723" s="3">
        <f>SUM(AJ723 - AN723 - AU723)</f>
        <v>91333</v>
      </c>
      <c r="AW723" s="11">
        <v>0</v>
      </c>
      <c r="AX723" s="11">
        <v>0</v>
      </c>
      <c r="AY723" s="11">
        <v>0</v>
      </c>
      <c r="AZ723" s="11">
        <v>0</v>
      </c>
      <c r="BA723" s="3">
        <f t="shared" si="105"/>
        <v>91333</v>
      </c>
    </row>
    <row r="724" spans="1:53" x14ac:dyDescent="0.25">
      <c r="A724" s="1" t="s">
        <v>722</v>
      </c>
      <c r="B724" s="9" t="s">
        <v>2430</v>
      </c>
      <c r="C724" s="9" t="s">
        <v>1063</v>
      </c>
      <c r="D724" s="9" t="s">
        <v>2431</v>
      </c>
      <c r="E724" s="9" t="s">
        <v>1012</v>
      </c>
      <c r="F724" s="10">
        <v>44741</v>
      </c>
      <c r="G724" s="9" t="s">
        <v>1013</v>
      </c>
      <c r="I724" s="9" t="s">
        <v>1014</v>
      </c>
      <c r="J724" s="9" t="s">
        <v>1015</v>
      </c>
      <c r="K724" s="8" t="s">
        <v>1006</v>
      </c>
      <c r="L724" s="8" t="s">
        <v>1007</v>
      </c>
      <c r="M724" s="8" t="s">
        <v>2933</v>
      </c>
      <c r="N724" s="8" t="s">
        <v>2937</v>
      </c>
      <c r="O724" s="1" t="s">
        <v>2934</v>
      </c>
      <c r="P724">
        <v>30</v>
      </c>
      <c r="Q724">
        <v>30</v>
      </c>
      <c r="R724">
        <v>0</v>
      </c>
      <c r="S724">
        <f t="shared" si="107"/>
        <v>30</v>
      </c>
      <c r="T724" s="1" t="s">
        <v>2935</v>
      </c>
      <c r="U724" s="1" t="s">
        <v>2932</v>
      </c>
      <c r="V724" s="3">
        <f t="shared" si="108"/>
        <v>40000</v>
      </c>
      <c r="W724" s="3">
        <f t="shared" si="109"/>
        <v>16000</v>
      </c>
      <c r="X724" s="3">
        <f t="shared" si="101"/>
        <v>1250</v>
      </c>
      <c r="Y724" s="3">
        <f t="shared" si="102"/>
        <v>1600</v>
      </c>
      <c r="Z724" s="3">
        <f t="shared" si="103"/>
        <v>1800</v>
      </c>
      <c r="AA724" s="3">
        <v>0</v>
      </c>
      <c r="AB724" s="3">
        <f>ROUND(U724 - (V724+W724+X724+Y724) - (U724/Q724 * 2),0)</f>
        <v>34483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f>SUM(V724+W724+X724+Y724+AB724)</f>
        <v>93333</v>
      </c>
      <c r="AK724" s="3">
        <f>SUM(AJ724-AA724)</f>
        <v>93333</v>
      </c>
      <c r="AL724" s="3">
        <f>IF(V724&lt;=15000,V724*12%,1800)</f>
        <v>1800</v>
      </c>
      <c r="AM724" s="3">
        <v>0</v>
      </c>
      <c r="AN724" s="3">
        <f t="shared" si="104"/>
        <v>1800</v>
      </c>
      <c r="AO724" s="12">
        <v>200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3">
        <f t="shared" si="106"/>
        <v>200</v>
      </c>
      <c r="AV724" s="3">
        <f>SUM(AJ724 - AN724 - AU724)</f>
        <v>91333</v>
      </c>
      <c r="AW724" s="11">
        <v>0</v>
      </c>
      <c r="AX724" s="11">
        <v>0</v>
      </c>
      <c r="AY724" s="11">
        <v>0</v>
      </c>
      <c r="AZ724" s="11">
        <v>0</v>
      </c>
      <c r="BA724" s="3">
        <f t="shared" si="105"/>
        <v>91333</v>
      </c>
    </row>
    <row r="725" spans="1:53" x14ac:dyDescent="0.25">
      <c r="A725" s="1" t="s">
        <v>723</v>
      </c>
      <c r="B725" s="9" t="s">
        <v>2428</v>
      </c>
      <c r="C725" s="9" t="s">
        <v>1023</v>
      </c>
      <c r="D725" s="9" t="s">
        <v>2429</v>
      </c>
      <c r="E725" s="9" t="s">
        <v>1012</v>
      </c>
      <c r="F725" s="10">
        <v>44741</v>
      </c>
      <c r="G725" s="9" t="s">
        <v>1013</v>
      </c>
      <c r="I725" s="9" t="s">
        <v>1014</v>
      </c>
      <c r="J725" s="9" t="s">
        <v>1021</v>
      </c>
      <c r="K725" s="8" t="s">
        <v>1006</v>
      </c>
      <c r="L725" s="8" t="s">
        <v>1007</v>
      </c>
      <c r="M725" s="8" t="s">
        <v>2933</v>
      </c>
      <c r="N725" s="8" t="s">
        <v>2937</v>
      </c>
      <c r="O725" s="1" t="s">
        <v>2934</v>
      </c>
      <c r="P725">
        <v>30</v>
      </c>
      <c r="Q725">
        <v>30</v>
      </c>
      <c r="R725">
        <v>0</v>
      </c>
      <c r="S725">
        <f t="shared" si="107"/>
        <v>30</v>
      </c>
      <c r="T725" s="1" t="s">
        <v>2935</v>
      </c>
      <c r="U725" s="1" t="s">
        <v>2932</v>
      </c>
      <c r="V725" s="3">
        <f t="shared" si="108"/>
        <v>40000</v>
      </c>
      <c r="W725" s="3">
        <f t="shared" si="109"/>
        <v>16000</v>
      </c>
      <c r="X725" s="3">
        <f t="shared" si="101"/>
        <v>1250</v>
      </c>
      <c r="Y725" s="3">
        <f t="shared" si="102"/>
        <v>1600</v>
      </c>
      <c r="Z725" s="3">
        <f t="shared" si="103"/>
        <v>1800</v>
      </c>
      <c r="AA725" s="3">
        <v>0</v>
      </c>
      <c r="AB725" s="3">
        <f>ROUND(U725 - (V725+W725+X725+Y725) - (U725/Q725 * 2),0)</f>
        <v>34483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f>SUM(V725+W725+X725+Y725+AB725)</f>
        <v>93333</v>
      </c>
      <c r="AK725" s="3">
        <f>SUM(AJ725-AA725)</f>
        <v>93333</v>
      </c>
      <c r="AL725" s="3">
        <f>IF(V725&lt;=15000,V725*12%,1800)</f>
        <v>1800</v>
      </c>
      <c r="AM725" s="3">
        <v>0</v>
      </c>
      <c r="AN725" s="3">
        <f t="shared" si="104"/>
        <v>1800</v>
      </c>
      <c r="AO725" s="12">
        <v>200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3">
        <f t="shared" si="106"/>
        <v>200</v>
      </c>
      <c r="AV725" s="3">
        <f>SUM(AJ725 - AN725 - AU725)</f>
        <v>91333</v>
      </c>
      <c r="AW725" s="11">
        <v>0</v>
      </c>
      <c r="AX725" s="11">
        <v>0</v>
      </c>
      <c r="AY725" s="11">
        <v>0</v>
      </c>
      <c r="AZ725" s="11">
        <v>0</v>
      </c>
      <c r="BA725" s="3">
        <f t="shared" si="105"/>
        <v>91333</v>
      </c>
    </row>
    <row r="726" spans="1:53" x14ac:dyDescent="0.25">
      <c r="A726" s="1" t="s">
        <v>724</v>
      </c>
      <c r="B726" s="9" t="s">
        <v>2426</v>
      </c>
      <c r="C726" s="9" t="s">
        <v>1063</v>
      </c>
      <c r="D726" s="9" t="s">
        <v>2427</v>
      </c>
      <c r="E726" s="9" t="s">
        <v>1012</v>
      </c>
      <c r="F726" s="10">
        <v>44741</v>
      </c>
      <c r="G726" s="9" t="s">
        <v>1019</v>
      </c>
      <c r="I726" s="9" t="s">
        <v>1014</v>
      </c>
      <c r="J726" s="9" t="s">
        <v>1015</v>
      </c>
      <c r="K726" s="8" t="s">
        <v>1006</v>
      </c>
      <c r="L726" s="8" t="s">
        <v>1007</v>
      </c>
      <c r="M726" s="8" t="s">
        <v>2933</v>
      </c>
      <c r="N726" s="8" t="s">
        <v>2937</v>
      </c>
      <c r="O726" s="1" t="s">
        <v>2934</v>
      </c>
      <c r="P726">
        <v>30</v>
      </c>
      <c r="Q726">
        <v>30</v>
      </c>
      <c r="R726">
        <v>0</v>
      </c>
      <c r="S726">
        <f t="shared" si="107"/>
        <v>30</v>
      </c>
      <c r="T726" s="1" t="s">
        <v>2935</v>
      </c>
      <c r="U726" s="1" t="s">
        <v>2932</v>
      </c>
      <c r="V726" s="3">
        <f t="shared" si="108"/>
        <v>40000</v>
      </c>
      <c r="W726" s="3">
        <f t="shared" si="109"/>
        <v>16000</v>
      </c>
      <c r="X726" s="3">
        <f t="shared" si="101"/>
        <v>1250</v>
      </c>
      <c r="Y726" s="3">
        <f t="shared" si="102"/>
        <v>1600</v>
      </c>
      <c r="Z726" s="3">
        <f t="shared" si="103"/>
        <v>1800</v>
      </c>
      <c r="AA726" s="3">
        <v>0</v>
      </c>
      <c r="AB726" s="3">
        <f>ROUND(U726 - (V726+W726+X726+Y726) - (U726/Q726 * 2),0)</f>
        <v>34483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f>SUM(V726+W726+X726+Y726+AB726)</f>
        <v>93333</v>
      </c>
      <c r="AK726" s="3">
        <f>SUM(AJ726-AA726)</f>
        <v>93333</v>
      </c>
      <c r="AL726" s="3">
        <f>IF(V726&lt;=15000,V726*12%,1800)</f>
        <v>1800</v>
      </c>
      <c r="AM726" s="3">
        <v>0</v>
      </c>
      <c r="AN726" s="3">
        <f t="shared" si="104"/>
        <v>1800</v>
      </c>
      <c r="AO726" s="12">
        <v>200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3">
        <f t="shared" si="106"/>
        <v>200</v>
      </c>
      <c r="AV726" s="3">
        <f>SUM(AJ726 - AN726 - AU726)</f>
        <v>91333</v>
      </c>
      <c r="AW726" s="11">
        <v>0</v>
      </c>
      <c r="AX726" s="11">
        <v>0</v>
      </c>
      <c r="AY726" s="11">
        <v>0</v>
      </c>
      <c r="AZ726" s="11">
        <v>0</v>
      </c>
      <c r="BA726" s="3">
        <f t="shared" si="105"/>
        <v>91333</v>
      </c>
    </row>
    <row r="727" spans="1:53" x14ac:dyDescent="0.25">
      <c r="A727" s="1" t="s">
        <v>725</v>
      </c>
      <c r="B727" s="9" t="s">
        <v>2424</v>
      </c>
      <c r="C727" s="9" t="s">
        <v>1063</v>
      </c>
      <c r="D727" s="9" t="s">
        <v>2425</v>
      </c>
      <c r="E727" s="9" t="s">
        <v>1012</v>
      </c>
      <c r="F727" s="10">
        <v>44741</v>
      </c>
      <c r="G727" s="9" t="s">
        <v>1019</v>
      </c>
      <c r="I727" s="9" t="s">
        <v>1014</v>
      </c>
      <c r="J727" s="9" t="s">
        <v>1015</v>
      </c>
      <c r="K727" s="8" t="s">
        <v>1006</v>
      </c>
      <c r="L727" s="8" t="s">
        <v>1007</v>
      </c>
      <c r="M727" s="8" t="s">
        <v>2933</v>
      </c>
      <c r="N727" s="8" t="s">
        <v>2937</v>
      </c>
      <c r="O727" s="1" t="s">
        <v>2934</v>
      </c>
      <c r="P727">
        <v>30</v>
      </c>
      <c r="Q727">
        <v>30</v>
      </c>
      <c r="R727">
        <v>0</v>
      </c>
      <c r="S727">
        <f t="shared" si="107"/>
        <v>30</v>
      </c>
      <c r="T727" s="1" t="s">
        <v>2935</v>
      </c>
      <c r="U727" s="1" t="s">
        <v>2932</v>
      </c>
      <c r="V727" s="3">
        <f t="shared" si="108"/>
        <v>40000</v>
      </c>
      <c r="W727" s="3">
        <f t="shared" si="109"/>
        <v>16000</v>
      </c>
      <c r="X727" s="3">
        <f t="shared" si="101"/>
        <v>1250</v>
      </c>
      <c r="Y727" s="3">
        <f t="shared" si="102"/>
        <v>1600</v>
      </c>
      <c r="Z727" s="3">
        <f t="shared" si="103"/>
        <v>1800</v>
      </c>
      <c r="AA727" s="3">
        <v>0</v>
      </c>
      <c r="AB727" s="3">
        <f>ROUND(U727 - (V727+W727+X727+Y727) - (U727/Q727 * 2),0)</f>
        <v>34483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f>SUM(V727+W727+X727+Y727+AB727)</f>
        <v>93333</v>
      </c>
      <c r="AK727" s="3">
        <f>SUM(AJ727-AA727)</f>
        <v>93333</v>
      </c>
      <c r="AL727" s="3">
        <f>IF(V727&lt;=15000,V727*12%,1800)</f>
        <v>1800</v>
      </c>
      <c r="AM727" s="3">
        <v>0</v>
      </c>
      <c r="AN727" s="3">
        <f t="shared" si="104"/>
        <v>1800</v>
      </c>
      <c r="AO727" s="12">
        <v>200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3">
        <f t="shared" si="106"/>
        <v>200</v>
      </c>
      <c r="AV727" s="3">
        <f>SUM(AJ727 - AN727 - AU727)</f>
        <v>91333</v>
      </c>
      <c r="AW727" s="11">
        <v>0</v>
      </c>
      <c r="AX727" s="11">
        <v>0</v>
      </c>
      <c r="AY727" s="11">
        <v>0</v>
      </c>
      <c r="AZ727" s="11">
        <v>0</v>
      </c>
      <c r="BA727" s="3">
        <f t="shared" si="105"/>
        <v>91333</v>
      </c>
    </row>
    <row r="728" spans="1:53" x14ac:dyDescent="0.25">
      <c r="A728" s="1" t="s">
        <v>726</v>
      </c>
      <c r="B728" s="9" t="s">
        <v>2422</v>
      </c>
      <c r="C728" s="9" t="s">
        <v>2398</v>
      </c>
      <c r="D728" s="9" t="s">
        <v>2423</v>
      </c>
      <c r="E728" s="9" t="s">
        <v>1012</v>
      </c>
      <c r="F728" s="10">
        <v>44741</v>
      </c>
      <c r="G728" s="9" t="s">
        <v>1019</v>
      </c>
      <c r="I728" s="9" t="s">
        <v>1014</v>
      </c>
      <c r="J728" s="9" t="s">
        <v>1021</v>
      </c>
      <c r="K728" s="8" t="s">
        <v>1006</v>
      </c>
      <c r="L728" s="8" t="s">
        <v>1007</v>
      </c>
      <c r="M728" s="8" t="s">
        <v>2933</v>
      </c>
      <c r="N728" s="8" t="s">
        <v>2937</v>
      </c>
      <c r="O728" s="1" t="s">
        <v>2934</v>
      </c>
      <c r="P728">
        <v>30</v>
      </c>
      <c r="Q728">
        <v>30</v>
      </c>
      <c r="R728">
        <v>0</v>
      </c>
      <c r="S728">
        <f t="shared" si="107"/>
        <v>30</v>
      </c>
      <c r="T728" s="1" t="s">
        <v>2935</v>
      </c>
      <c r="U728" s="1" t="s">
        <v>2932</v>
      </c>
      <c r="V728" s="3">
        <f t="shared" si="108"/>
        <v>40000</v>
      </c>
      <c r="W728" s="3">
        <f t="shared" si="109"/>
        <v>16000</v>
      </c>
      <c r="X728" s="3">
        <f t="shared" si="101"/>
        <v>1250</v>
      </c>
      <c r="Y728" s="3">
        <f t="shared" si="102"/>
        <v>1600</v>
      </c>
      <c r="Z728" s="3">
        <f t="shared" si="103"/>
        <v>1800</v>
      </c>
      <c r="AA728" s="3">
        <v>0</v>
      </c>
      <c r="AB728" s="3">
        <f>ROUND(U728 - (V728+W728+X728+Y728) - (U728/Q728 * 2),0)</f>
        <v>34483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f>SUM(V728+W728+X728+Y728+AB728)</f>
        <v>93333</v>
      </c>
      <c r="AK728" s="3">
        <f>SUM(AJ728-AA728)</f>
        <v>93333</v>
      </c>
      <c r="AL728" s="3">
        <f>IF(V728&lt;=15000,V728*12%,1800)</f>
        <v>1800</v>
      </c>
      <c r="AM728" s="3">
        <v>0</v>
      </c>
      <c r="AN728" s="3">
        <f t="shared" si="104"/>
        <v>1800</v>
      </c>
      <c r="AO728" s="12">
        <v>200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3">
        <f t="shared" si="106"/>
        <v>200</v>
      </c>
      <c r="AV728" s="3">
        <f>SUM(AJ728 - AN728 - AU728)</f>
        <v>91333</v>
      </c>
      <c r="AW728" s="11">
        <v>0</v>
      </c>
      <c r="AX728" s="11">
        <v>0</v>
      </c>
      <c r="AY728" s="11">
        <v>0</v>
      </c>
      <c r="AZ728" s="11">
        <v>0</v>
      </c>
      <c r="BA728" s="3">
        <f t="shared" si="105"/>
        <v>91333</v>
      </c>
    </row>
    <row r="729" spans="1:53" x14ac:dyDescent="0.25">
      <c r="A729" s="1" t="s">
        <v>727</v>
      </c>
      <c r="B729" s="9" t="s">
        <v>2420</v>
      </c>
      <c r="C729" s="9" t="s">
        <v>1128</v>
      </c>
      <c r="D729" s="9" t="s">
        <v>2421</v>
      </c>
      <c r="E729" s="9" t="s">
        <v>1012</v>
      </c>
      <c r="F729" s="10">
        <v>44746</v>
      </c>
      <c r="G729" s="9" t="s">
        <v>1019</v>
      </c>
      <c r="I729" s="9" t="s">
        <v>1042</v>
      </c>
      <c r="J729" s="9" t="s">
        <v>1048</v>
      </c>
      <c r="K729" s="8" t="s">
        <v>1006</v>
      </c>
      <c r="L729" s="8" t="s">
        <v>1007</v>
      </c>
      <c r="M729" s="8" t="s">
        <v>2933</v>
      </c>
      <c r="N729" s="8" t="s">
        <v>2937</v>
      </c>
      <c r="O729" s="1" t="s">
        <v>2934</v>
      </c>
      <c r="P729">
        <v>30</v>
      </c>
      <c r="Q729">
        <v>30</v>
      </c>
      <c r="R729">
        <v>0</v>
      </c>
      <c r="S729">
        <f t="shared" si="107"/>
        <v>30</v>
      </c>
      <c r="T729" s="1" t="s">
        <v>2935</v>
      </c>
      <c r="U729" s="1" t="s">
        <v>2932</v>
      </c>
      <c r="V729" s="3">
        <f t="shared" si="108"/>
        <v>40000</v>
      </c>
      <c r="W729" s="3">
        <f t="shared" si="109"/>
        <v>16000</v>
      </c>
      <c r="X729" s="3">
        <f t="shared" si="101"/>
        <v>1250</v>
      </c>
      <c r="Y729" s="3">
        <f t="shared" si="102"/>
        <v>1600</v>
      </c>
      <c r="Z729" s="3">
        <f t="shared" si="103"/>
        <v>1800</v>
      </c>
      <c r="AA729" s="3">
        <v>0</v>
      </c>
      <c r="AB729" s="3">
        <f>ROUND(U729 - (V729+W729+X729+Y729) - (U729/Q729 * 2),0)</f>
        <v>34483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f>SUM(V729+W729+X729+Y729+AB729)</f>
        <v>93333</v>
      </c>
      <c r="AK729" s="3">
        <f>SUM(AJ729-AA729)</f>
        <v>93333</v>
      </c>
      <c r="AL729" s="3">
        <f>IF(V729&lt;=15000,V729*12%,1800)</f>
        <v>1800</v>
      </c>
      <c r="AM729" s="3">
        <v>0</v>
      </c>
      <c r="AN729" s="3">
        <f t="shared" si="104"/>
        <v>1800</v>
      </c>
      <c r="AO729" s="12">
        <v>200</v>
      </c>
      <c r="AP729" s="12">
        <v>0</v>
      </c>
      <c r="AQ729" s="12">
        <v>0</v>
      </c>
      <c r="AR729" s="12">
        <v>0</v>
      </c>
      <c r="AS729" s="12">
        <v>0</v>
      </c>
      <c r="AT729" s="12">
        <v>0</v>
      </c>
      <c r="AU729" s="3">
        <f t="shared" si="106"/>
        <v>200</v>
      </c>
      <c r="AV729" s="3">
        <f>SUM(AJ729 - AN729 - AU729)</f>
        <v>91333</v>
      </c>
      <c r="AW729" s="11">
        <v>0</v>
      </c>
      <c r="AX729" s="11">
        <v>0</v>
      </c>
      <c r="AY729" s="11">
        <v>0</v>
      </c>
      <c r="AZ729" s="11">
        <v>0</v>
      </c>
      <c r="BA729" s="3">
        <f t="shared" si="105"/>
        <v>91333</v>
      </c>
    </row>
    <row r="730" spans="1:53" x14ac:dyDescent="0.25">
      <c r="A730" s="1" t="s">
        <v>728</v>
      </c>
      <c r="B730" s="9" t="s">
        <v>2418</v>
      </c>
      <c r="C730" s="9" t="s">
        <v>1173</v>
      </c>
      <c r="D730" s="9" t="s">
        <v>2419</v>
      </c>
      <c r="E730" s="9" t="s">
        <v>1008</v>
      </c>
      <c r="F730" s="10">
        <v>44746</v>
      </c>
      <c r="G730" s="9" t="s">
        <v>1019</v>
      </c>
      <c r="I730" s="9" t="s">
        <v>1042</v>
      </c>
      <c r="J730" s="9" t="s">
        <v>1048</v>
      </c>
      <c r="K730" s="8" t="s">
        <v>1006</v>
      </c>
      <c r="L730" s="8" t="s">
        <v>1007</v>
      </c>
      <c r="M730" s="8" t="s">
        <v>2933</v>
      </c>
      <c r="N730" s="8" t="s">
        <v>2937</v>
      </c>
      <c r="O730" s="1" t="s">
        <v>2934</v>
      </c>
      <c r="P730">
        <v>30</v>
      </c>
      <c r="Q730">
        <v>30</v>
      </c>
      <c r="R730">
        <v>0</v>
      </c>
      <c r="S730">
        <f t="shared" si="107"/>
        <v>30</v>
      </c>
      <c r="T730" s="1" t="s">
        <v>2935</v>
      </c>
      <c r="U730" s="1" t="s">
        <v>2932</v>
      </c>
      <c r="V730" s="3">
        <f t="shared" si="108"/>
        <v>40000</v>
      </c>
      <c r="W730" s="3">
        <f t="shared" si="109"/>
        <v>16000</v>
      </c>
      <c r="X730" s="3">
        <f t="shared" si="101"/>
        <v>1250</v>
      </c>
      <c r="Y730" s="3">
        <f t="shared" si="102"/>
        <v>1600</v>
      </c>
      <c r="Z730" s="3">
        <f t="shared" si="103"/>
        <v>1800</v>
      </c>
      <c r="AA730" s="3">
        <v>0</v>
      </c>
      <c r="AB730" s="3">
        <f>ROUND(U730 - (V730+W730+X730+Y730) - (U730/Q730 * 2),0)</f>
        <v>34483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f>SUM(V730+W730+X730+Y730+AB730)</f>
        <v>93333</v>
      </c>
      <c r="AK730" s="3">
        <f>SUM(AJ730-AA730)</f>
        <v>93333</v>
      </c>
      <c r="AL730" s="3">
        <f>IF(V730&lt;=15000,V730*12%,1800)</f>
        <v>1800</v>
      </c>
      <c r="AM730" s="3">
        <v>0</v>
      </c>
      <c r="AN730" s="3">
        <f t="shared" si="104"/>
        <v>1800</v>
      </c>
      <c r="AO730" s="12">
        <v>200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3">
        <f t="shared" si="106"/>
        <v>200</v>
      </c>
      <c r="AV730" s="3">
        <f>SUM(AJ730 - AN730 - AU730)</f>
        <v>91333</v>
      </c>
      <c r="AW730" s="11">
        <v>0</v>
      </c>
      <c r="AX730" s="11">
        <v>0</v>
      </c>
      <c r="AY730" s="11">
        <v>0</v>
      </c>
      <c r="AZ730" s="11">
        <v>0</v>
      </c>
      <c r="BA730" s="3">
        <f t="shared" si="105"/>
        <v>91333</v>
      </c>
    </row>
    <row r="731" spans="1:53" x14ac:dyDescent="0.25">
      <c r="A731" s="1" t="s">
        <v>729</v>
      </c>
      <c r="B731" s="9" t="s">
        <v>2416</v>
      </c>
      <c r="C731" s="9" t="s">
        <v>1115</v>
      </c>
      <c r="D731" s="9" t="s">
        <v>2417</v>
      </c>
      <c r="E731" s="9" t="s">
        <v>1012</v>
      </c>
      <c r="F731" s="10">
        <v>44746</v>
      </c>
      <c r="G731" s="9" t="s">
        <v>1019</v>
      </c>
      <c r="I731" s="9" t="s">
        <v>1042</v>
      </c>
      <c r="J731" s="9" t="s">
        <v>1048</v>
      </c>
      <c r="K731" s="8" t="s">
        <v>1006</v>
      </c>
      <c r="L731" s="8" t="s">
        <v>1007</v>
      </c>
      <c r="M731" s="8" t="s">
        <v>2933</v>
      </c>
      <c r="N731" s="8" t="s">
        <v>2937</v>
      </c>
      <c r="O731" s="1" t="s">
        <v>2934</v>
      </c>
      <c r="P731">
        <v>30</v>
      </c>
      <c r="Q731">
        <v>30</v>
      </c>
      <c r="R731">
        <v>0</v>
      </c>
      <c r="S731">
        <f t="shared" si="107"/>
        <v>30</v>
      </c>
      <c r="T731" s="1" t="s">
        <v>2935</v>
      </c>
      <c r="U731" s="1" t="s">
        <v>2932</v>
      </c>
      <c r="V731" s="3">
        <f t="shared" si="108"/>
        <v>40000</v>
      </c>
      <c r="W731" s="3">
        <f t="shared" si="109"/>
        <v>16000</v>
      </c>
      <c r="X731" s="3">
        <f t="shared" si="101"/>
        <v>1250</v>
      </c>
      <c r="Y731" s="3">
        <f t="shared" si="102"/>
        <v>1600</v>
      </c>
      <c r="Z731" s="3">
        <f t="shared" si="103"/>
        <v>1800</v>
      </c>
      <c r="AA731" s="3">
        <v>0</v>
      </c>
      <c r="AB731" s="3">
        <f>ROUND(U731 - (V731+W731+X731+Y731) - (U731/Q731 * 2),0)</f>
        <v>34483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f>SUM(V731+W731+X731+Y731+AB731)</f>
        <v>93333</v>
      </c>
      <c r="AK731" s="3">
        <f>SUM(AJ731-AA731)</f>
        <v>93333</v>
      </c>
      <c r="AL731" s="3">
        <f>IF(V731&lt;=15000,V731*12%,1800)</f>
        <v>1800</v>
      </c>
      <c r="AM731" s="3">
        <v>0</v>
      </c>
      <c r="AN731" s="3">
        <f t="shared" si="104"/>
        <v>1800</v>
      </c>
      <c r="AO731" s="12">
        <v>200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3">
        <f t="shared" si="106"/>
        <v>200</v>
      </c>
      <c r="AV731" s="3">
        <f>SUM(AJ731 - AN731 - AU731)</f>
        <v>91333</v>
      </c>
      <c r="AW731" s="11">
        <v>0</v>
      </c>
      <c r="AX731" s="11">
        <v>0</v>
      </c>
      <c r="AY731" s="11">
        <v>0</v>
      </c>
      <c r="AZ731" s="11">
        <v>0</v>
      </c>
      <c r="BA731" s="3">
        <f t="shared" si="105"/>
        <v>91333</v>
      </c>
    </row>
    <row r="732" spans="1:53" x14ac:dyDescent="0.25">
      <c r="A732" s="1" t="s">
        <v>730</v>
      </c>
      <c r="B732" s="9" t="s">
        <v>2413</v>
      </c>
      <c r="C732" s="9" t="s">
        <v>1128</v>
      </c>
      <c r="D732" s="9" t="s">
        <v>2415</v>
      </c>
      <c r="E732" s="9" t="s">
        <v>1012</v>
      </c>
      <c r="F732" s="10">
        <v>44746</v>
      </c>
      <c r="G732" s="9" t="s">
        <v>1013</v>
      </c>
      <c r="I732" s="9" t="s">
        <v>1042</v>
      </c>
      <c r="J732" s="9" t="s">
        <v>1048</v>
      </c>
      <c r="K732" s="8" t="s">
        <v>1006</v>
      </c>
      <c r="L732" s="8" t="s">
        <v>1007</v>
      </c>
      <c r="M732" s="8" t="s">
        <v>2933</v>
      </c>
      <c r="N732" s="8" t="s">
        <v>2937</v>
      </c>
      <c r="O732" s="1" t="s">
        <v>2934</v>
      </c>
      <c r="P732">
        <v>30</v>
      </c>
      <c r="Q732">
        <v>30</v>
      </c>
      <c r="R732">
        <v>0</v>
      </c>
      <c r="S732">
        <f t="shared" si="107"/>
        <v>30</v>
      </c>
      <c r="T732" s="1" t="s">
        <v>2935</v>
      </c>
      <c r="U732" s="1" t="s">
        <v>2932</v>
      </c>
      <c r="V732" s="3">
        <f t="shared" si="108"/>
        <v>40000</v>
      </c>
      <c r="W732" s="3">
        <f t="shared" si="109"/>
        <v>16000</v>
      </c>
      <c r="X732" s="3">
        <f t="shared" si="101"/>
        <v>1250</v>
      </c>
      <c r="Y732" s="3">
        <f t="shared" si="102"/>
        <v>1600</v>
      </c>
      <c r="Z732" s="3">
        <f t="shared" si="103"/>
        <v>1800</v>
      </c>
      <c r="AA732" s="3">
        <v>0</v>
      </c>
      <c r="AB732" s="3">
        <f>ROUND(U732 - (V732+W732+X732+Y732) - (U732/Q732 * 2),0)</f>
        <v>34483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f>SUM(V732+W732+X732+Y732+AB732)</f>
        <v>93333</v>
      </c>
      <c r="AK732" s="3">
        <f>SUM(AJ732-AA732)</f>
        <v>93333</v>
      </c>
      <c r="AL732" s="3">
        <f>IF(V732&lt;=15000,V732*12%,1800)</f>
        <v>1800</v>
      </c>
      <c r="AM732" s="3">
        <v>0</v>
      </c>
      <c r="AN732" s="3">
        <f t="shared" si="104"/>
        <v>1800</v>
      </c>
      <c r="AO732" s="12">
        <v>200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3">
        <f t="shared" si="106"/>
        <v>200</v>
      </c>
      <c r="AV732" s="3">
        <f>SUM(AJ732 - AN732 - AU732)</f>
        <v>91333</v>
      </c>
      <c r="AW732" s="11">
        <v>0</v>
      </c>
      <c r="AX732" s="11">
        <v>0</v>
      </c>
      <c r="AY732" s="11">
        <v>0</v>
      </c>
      <c r="AZ732" s="11">
        <v>0</v>
      </c>
      <c r="BA732" s="3">
        <f t="shared" si="105"/>
        <v>91333</v>
      </c>
    </row>
    <row r="733" spans="1:53" x14ac:dyDescent="0.25">
      <c r="A733" s="1" t="s">
        <v>731</v>
      </c>
      <c r="B733" s="9" t="s">
        <v>2413</v>
      </c>
      <c r="C733" s="9" t="s">
        <v>1128</v>
      </c>
      <c r="D733" s="9" t="s">
        <v>2414</v>
      </c>
      <c r="E733" s="9" t="s">
        <v>1012</v>
      </c>
      <c r="F733" s="10">
        <v>44746</v>
      </c>
      <c r="G733" s="9" t="s">
        <v>1013</v>
      </c>
      <c r="I733" s="9" t="s">
        <v>1042</v>
      </c>
      <c r="J733" s="9" t="s">
        <v>1048</v>
      </c>
      <c r="K733" s="8" t="s">
        <v>1006</v>
      </c>
      <c r="L733" s="8" t="s">
        <v>1007</v>
      </c>
      <c r="M733" s="8" t="s">
        <v>2933</v>
      </c>
      <c r="N733" s="8" t="s">
        <v>2937</v>
      </c>
      <c r="O733" s="1" t="s">
        <v>2934</v>
      </c>
      <c r="P733">
        <v>30</v>
      </c>
      <c r="Q733">
        <v>30</v>
      </c>
      <c r="R733">
        <v>0</v>
      </c>
      <c r="S733">
        <f t="shared" si="107"/>
        <v>30</v>
      </c>
      <c r="T733" s="1" t="s">
        <v>2935</v>
      </c>
      <c r="U733" s="1" t="s">
        <v>2932</v>
      </c>
      <c r="V733" s="3">
        <f t="shared" si="108"/>
        <v>40000</v>
      </c>
      <c r="W733" s="3">
        <f t="shared" si="109"/>
        <v>16000</v>
      </c>
      <c r="X733" s="3">
        <f t="shared" si="101"/>
        <v>1250</v>
      </c>
      <c r="Y733" s="3">
        <f t="shared" si="102"/>
        <v>1600</v>
      </c>
      <c r="Z733" s="3">
        <f t="shared" si="103"/>
        <v>1800</v>
      </c>
      <c r="AA733" s="3">
        <v>0</v>
      </c>
      <c r="AB733" s="3">
        <f>ROUND(U733 - (V733+W733+X733+Y733) - (U733/Q733 * 2),0)</f>
        <v>34483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f>SUM(V733+W733+X733+Y733+AB733)</f>
        <v>93333</v>
      </c>
      <c r="AK733" s="3">
        <f>SUM(AJ733-AA733)</f>
        <v>93333</v>
      </c>
      <c r="AL733" s="3">
        <f>IF(V733&lt;=15000,V733*12%,1800)</f>
        <v>1800</v>
      </c>
      <c r="AM733" s="3">
        <v>0</v>
      </c>
      <c r="AN733" s="3">
        <f t="shared" si="104"/>
        <v>1800</v>
      </c>
      <c r="AO733" s="12">
        <v>200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3">
        <f t="shared" si="106"/>
        <v>200</v>
      </c>
      <c r="AV733" s="3">
        <f>SUM(AJ733 - AN733 - AU733)</f>
        <v>91333</v>
      </c>
      <c r="AW733" s="11">
        <v>0</v>
      </c>
      <c r="AX733" s="11">
        <v>0</v>
      </c>
      <c r="AY733" s="11">
        <v>0</v>
      </c>
      <c r="AZ733" s="11">
        <v>0</v>
      </c>
      <c r="BA733" s="3">
        <f t="shared" si="105"/>
        <v>91333</v>
      </c>
    </row>
    <row r="734" spans="1:53" x14ac:dyDescent="0.25">
      <c r="A734" s="1" t="s">
        <v>732</v>
      </c>
      <c r="B734" s="9" t="s">
        <v>1388</v>
      </c>
      <c r="C734" s="9" t="s">
        <v>1320</v>
      </c>
      <c r="D734" s="9" t="s">
        <v>2412</v>
      </c>
      <c r="E734" s="9" t="s">
        <v>1012</v>
      </c>
      <c r="F734" s="10">
        <v>44748</v>
      </c>
      <c r="G734" s="9" t="s">
        <v>1019</v>
      </c>
      <c r="I734" s="9" t="s">
        <v>1014</v>
      </c>
      <c r="J734" s="9" t="s">
        <v>1015</v>
      </c>
      <c r="K734" s="8" t="s">
        <v>1006</v>
      </c>
      <c r="L734" s="8" t="s">
        <v>1007</v>
      </c>
      <c r="M734" s="8" t="s">
        <v>2933</v>
      </c>
      <c r="N734" s="8" t="s">
        <v>2937</v>
      </c>
      <c r="O734" s="1" t="s">
        <v>2934</v>
      </c>
      <c r="P734">
        <v>30</v>
      </c>
      <c r="Q734">
        <v>30</v>
      </c>
      <c r="R734">
        <v>0</v>
      </c>
      <c r="S734">
        <f t="shared" si="107"/>
        <v>30</v>
      </c>
      <c r="T734" s="1" t="s">
        <v>2935</v>
      </c>
      <c r="U734" s="1" t="s">
        <v>2932</v>
      </c>
      <c r="V734" s="3">
        <f t="shared" si="108"/>
        <v>40000</v>
      </c>
      <c r="W734" s="3">
        <f t="shared" si="109"/>
        <v>16000</v>
      </c>
      <c r="X734" s="3">
        <f t="shared" si="101"/>
        <v>1250</v>
      </c>
      <c r="Y734" s="3">
        <f t="shared" si="102"/>
        <v>1600</v>
      </c>
      <c r="Z734" s="3">
        <f t="shared" si="103"/>
        <v>1800</v>
      </c>
      <c r="AA734" s="3">
        <v>0</v>
      </c>
      <c r="AB734" s="3">
        <f>ROUND(U734 - (V734+W734+X734+Y734) - (U734/Q734 * 2),0)</f>
        <v>34483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f>SUM(V734+W734+X734+Y734+AB734)</f>
        <v>93333</v>
      </c>
      <c r="AK734" s="3">
        <f>SUM(AJ734-AA734)</f>
        <v>93333</v>
      </c>
      <c r="AL734" s="3">
        <f>IF(V734&lt;=15000,V734*12%,1800)</f>
        <v>1800</v>
      </c>
      <c r="AM734" s="3">
        <v>0</v>
      </c>
      <c r="AN734" s="3">
        <f t="shared" si="104"/>
        <v>1800</v>
      </c>
      <c r="AO734" s="12">
        <v>200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3">
        <f t="shared" si="106"/>
        <v>200</v>
      </c>
      <c r="AV734" s="3">
        <f>SUM(AJ734 - AN734 - AU734)</f>
        <v>91333</v>
      </c>
      <c r="AW734" s="11">
        <v>0</v>
      </c>
      <c r="AX734" s="11">
        <v>0</v>
      </c>
      <c r="AY734" s="11">
        <v>0</v>
      </c>
      <c r="AZ734" s="11">
        <v>0</v>
      </c>
      <c r="BA734" s="3">
        <f t="shared" si="105"/>
        <v>91333</v>
      </c>
    </row>
    <row r="735" spans="1:53" x14ac:dyDescent="0.25">
      <c r="A735" s="1" t="s">
        <v>733</v>
      </c>
      <c r="B735" s="9" t="s">
        <v>1256</v>
      </c>
      <c r="C735" s="9" t="s">
        <v>1026</v>
      </c>
      <c r="D735" s="9" t="s">
        <v>2465</v>
      </c>
      <c r="E735" s="9" t="s">
        <v>1012</v>
      </c>
      <c r="F735" s="10">
        <v>44748</v>
      </c>
      <c r="G735" s="9" t="s">
        <v>1013</v>
      </c>
      <c r="I735" s="9" t="s">
        <v>1014</v>
      </c>
      <c r="J735" s="9" t="s">
        <v>1015</v>
      </c>
      <c r="K735" s="8" t="s">
        <v>1006</v>
      </c>
      <c r="L735" s="8" t="s">
        <v>1007</v>
      </c>
      <c r="M735" s="8" t="s">
        <v>2933</v>
      </c>
      <c r="N735" s="8" t="s">
        <v>2937</v>
      </c>
      <c r="O735" s="1" t="s">
        <v>2934</v>
      </c>
      <c r="P735">
        <v>30</v>
      </c>
      <c r="Q735">
        <v>30</v>
      </c>
      <c r="R735">
        <v>0</v>
      </c>
      <c r="S735">
        <f t="shared" si="107"/>
        <v>30</v>
      </c>
      <c r="T735" s="1" t="s">
        <v>2935</v>
      </c>
      <c r="U735" s="1" t="s">
        <v>2932</v>
      </c>
      <c r="V735" s="3">
        <f t="shared" si="108"/>
        <v>40000</v>
      </c>
      <c r="W735" s="3">
        <f t="shared" si="109"/>
        <v>16000</v>
      </c>
      <c r="X735" s="3">
        <f t="shared" si="101"/>
        <v>1250</v>
      </c>
      <c r="Y735" s="3">
        <f t="shared" si="102"/>
        <v>1600</v>
      </c>
      <c r="Z735" s="3">
        <f t="shared" si="103"/>
        <v>1800</v>
      </c>
      <c r="AA735" s="3">
        <v>0</v>
      </c>
      <c r="AB735" s="3">
        <f>ROUND(U735 - (V735+W735+X735+Y735) - (U735/Q735 * 2),0)</f>
        <v>34483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f>SUM(V735+W735+X735+Y735+AB735)</f>
        <v>93333</v>
      </c>
      <c r="AK735" s="3">
        <f>SUM(AJ735-AA735)</f>
        <v>93333</v>
      </c>
      <c r="AL735" s="3">
        <f>IF(V735&lt;=15000,V735*12%,1800)</f>
        <v>1800</v>
      </c>
      <c r="AM735" s="3">
        <v>0</v>
      </c>
      <c r="AN735" s="3">
        <f t="shared" si="104"/>
        <v>1800</v>
      </c>
      <c r="AO735" s="12">
        <v>200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3">
        <f t="shared" si="106"/>
        <v>200</v>
      </c>
      <c r="AV735" s="3">
        <f>SUM(AJ735 - AN735 - AU735)</f>
        <v>91333</v>
      </c>
      <c r="AW735" s="11">
        <v>0</v>
      </c>
      <c r="AX735" s="11">
        <v>0</v>
      </c>
      <c r="AY735" s="11">
        <v>0</v>
      </c>
      <c r="AZ735" s="11">
        <v>0</v>
      </c>
      <c r="BA735" s="3">
        <f t="shared" si="105"/>
        <v>91333</v>
      </c>
    </row>
    <row r="736" spans="1:53" x14ac:dyDescent="0.25">
      <c r="A736" s="1" t="s">
        <v>734</v>
      </c>
      <c r="B736" s="9" t="s">
        <v>2463</v>
      </c>
      <c r="C736" s="9" t="s">
        <v>1320</v>
      </c>
      <c r="D736" s="9" t="s">
        <v>2464</v>
      </c>
      <c r="E736" s="9" t="s">
        <v>1012</v>
      </c>
      <c r="F736" s="10">
        <v>44753</v>
      </c>
      <c r="G736" s="9" t="s">
        <v>1019</v>
      </c>
      <c r="I736" s="9" t="s">
        <v>1014</v>
      </c>
      <c r="J736" s="9" t="s">
        <v>1015</v>
      </c>
      <c r="K736" s="8" t="s">
        <v>1006</v>
      </c>
      <c r="L736" s="8" t="s">
        <v>1007</v>
      </c>
      <c r="M736" s="8" t="s">
        <v>2933</v>
      </c>
      <c r="N736" s="8" t="s">
        <v>2937</v>
      </c>
      <c r="O736" s="1" t="s">
        <v>2934</v>
      </c>
      <c r="P736">
        <v>30</v>
      </c>
      <c r="Q736">
        <v>30</v>
      </c>
      <c r="R736">
        <v>0</v>
      </c>
      <c r="S736">
        <f t="shared" si="107"/>
        <v>30</v>
      </c>
      <c r="T736" s="1" t="s">
        <v>2935</v>
      </c>
      <c r="U736" s="1" t="s">
        <v>2932</v>
      </c>
      <c r="V736" s="3">
        <f t="shared" si="108"/>
        <v>40000</v>
      </c>
      <c r="W736" s="3">
        <f t="shared" si="109"/>
        <v>16000</v>
      </c>
      <c r="X736" s="3">
        <f t="shared" si="101"/>
        <v>1250</v>
      </c>
      <c r="Y736" s="3">
        <f t="shared" si="102"/>
        <v>1600</v>
      </c>
      <c r="Z736" s="3">
        <f t="shared" si="103"/>
        <v>1800</v>
      </c>
      <c r="AA736" s="3">
        <v>0</v>
      </c>
      <c r="AB736" s="3">
        <f>ROUND(U736 - (V736+W736+X736+Y736) - (U736/Q736 * 2),0)</f>
        <v>34483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f>SUM(V736+W736+X736+Y736+AB736)</f>
        <v>93333</v>
      </c>
      <c r="AK736" s="3">
        <f>SUM(AJ736-AA736)</f>
        <v>93333</v>
      </c>
      <c r="AL736" s="3">
        <f>IF(V736&lt;=15000,V736*12%,1800)</f>
        <v>1800</v>
      </c>
      <c r="AM736" s="3">
        <v>0</v>
      </c>
      <c r="AN736" s="3">
        <f t="shared" si="104"/>
        <v>1800</v>
      </c>
      <c r="AO736" s="12">
        <v>200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3">
        <f t="shared" si="106"/>
        <v>200</v>
      </c>
      <c r="AV736" s="3">
        <f>SUM(AJ736 - AN736 - AU736)</f>
        <v>91333</v>
      </c>
      <c r="AW736" s="11">
        <v>0</v>
      </c>
      <c r="AX736" s="11">
        <v>0</v>
      </c>
      <c r="AY736" s="11">
        <v>0</v>
      </c>
      <c r="AZ736" s="11">
        <v>0</v>
      </c>
      <c r="BA736" s="3">
        <f t="shared" si="105"/>
        <v>91333</v>
      </c>
    </row>
    <row r="737" spans="1:53" x14ac:dyDescent="0.25">
      <c r="A737" s="1" t="s">
        <v>735</v>
      </c>
      <c r="B737" s="9" t="s">
        <v>1099</v>
      </c>
      <c r="C737" s="9" t="s">
        <v>1075</v>
      </c>
      <c r="D737" s="9" t="s">
        <v>2462</v>
      </c>
      <c r="E737" s="9" t="s">
        <v>1012</v>
      </c>
      <c r="F737" s="10">
        <v>44753</v>
      </c>
      <c r="G737" s="9" t="s">
        <v>1013</v>
      </c>
      <c r="I737" s="9" t="s">
        <v>1014</v>
      </c>
      <c r="J737" s="9" t="s">
        <v>1015</v>
      </c>
      <c r="K737" s="8" t="s">
        <v>1006</v>
      </c>
      <c r="L737" s="8" t="s">
        <v>1007</v>
      </c>
      <c r="M737" s="8" t="s">
        <v>2933</v>
      </c>
      <c r="N737" s="8" t="s">
        <v>2937</v>
      </c>
      <c r="O737" s="1" t="s">
        <v>2934</v>
      </c>
      <c r="P737">
        <v>30</v>
      </c>
      <c r="Q737">
        <v>30</v>
      </c>
      <c r="R737">
        <v>0</v>
      </c>
      <c r="S737">
        <f t="shared" si="107"/>
        <v>30</v>
      </c>
      <c r="T737" s="1" t="s">
        <v>2935</v>
      </c>
      <c r="U737" s="1" t="s">
        <v>2932</v>
      </c>
      <c r="V737" s="3">
        <f t="shared" si="108"/>
        <v>40000</v>
      </c>
      <c r="W737" s="3">
        <f t="shared" si="109"/>
        <v>16000</v>
      </c>
      <c r="X737" s="3">
        <f t="shared" si="101"/>
        <v>1250</v>
      </c>
      <c r="Y737" s="3">
        <f t="shared" si="102"/>
        <v>1600</v>
      </c>
      <c r="Z737" s="3">
        <f t="shared" si="103"/>
        <v>1800</v>
      </c>
      <c r="AA737" s="3">
        <v>0</v>
      </c>
      <c r="AB737" s="3">
        <f>ROUND(U737 - (V737+W737+X737+Y737) - (U737/Q737 * 2),0)</f>
        <v>34483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f>SUM(V737+W737+X737+Y737+AB737)</f>
        <v>93333</v>
      </c>
      <c r="AK737" s="3">
        <f>SUM(AJ737-AA737)</f>
        <v>93333</v>
      </c>
      <c r="AL737" s="3">
        <f>IF(V737&lt;=15000,V737*12%,1800)</f>
        <v>1800</v>
      </c>
      <c r="AM737" s="3">
        <v>0</v>
      </c>
      <c r="AN737" s="3">
        <f t="shared" si="104"/>
        <v>1800</v>
      </c>
      <c r="AO737" s="12">
        <v>200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3">
        <f t="shared" si="106"/>
        <v>200</v>
      </c>
      <c r="AV737" s="3">
        <f>SUM(AJ737 - AN737 - AU737)</f>
        <v>91333</v>
      </c>
      <c r="AW737" s="11">
        <v>0</v>
      </c>
      <c r="AX737" s="11">
        <v>0</v>
      </c>
      <c r="AY737" s="11">
        <v>0</v>
      </c>
      <c r="AZ737" s="11">
        <v>0</v>
      </c>
      <c r="BA737" s="3">
        <f t="shared" si="105"/>
        <v>91333</v>
      </c>
    </row>
    <row r="738" spans="1:53" x14ac:dyDescent="0.25">
      <c r="A738" s="1" t="s">
        <v>736</v>
      </c>
      <c r="B738" s="9" t="s">
        <v>2461</v>
      </c>
      <c r="C738" s="9" t="s">
        <v>1023</v>
      </c>
      <c r="D738" s="9">
        <v>0</v>
      </c>
      <c r="E738" s="9" t="s">
        <v>1012</v>
      </c>
      <c r="F738" s="10">
        <v>44753</v>
      </c>
      <c r="G738" s="9" t="s">
        <v>1013</v>
      </c>
      <c r="I738" s="9" t="s">
        <v>1014</v>
      </c>
      <c r="J738" s="9" t="s">
        <v>1021</v>
      </c>
      <c r="K738" s="8" t="s">
        <v>1006</v>
      </c>
      <c r="L738" s="8" t="s">
        <v>1007</v>
      </c>
      <c r="M738" s="8" t="s">
        <v>2933</v>
      </c>
      <c r="N738" s="8" t="s">
        <v>2937</v>
      </c>
      <c r="O738" s="1" t="s">
        <v>2934</v>
      </c>
      <c r="P738">
        <v>30</v>
      </c>
      <c r="Q738">
        <v>30</v>
      </c>
      <c r="R738">
        <v>0</v>
      </c>
      <c r="S738">
        <f t="shared" si="107"/>
        <v>30</v>
      </c>
      <c r="T738" s="1" t="s">
        <v>2935</v>
      </c>
      <c r="U738" s="1" t="s">
        <v>2932</v>
      </c>
      <c r="V738" s="3">
        <f t="shared" si="108"/>
        <v>40000</v>
      </c>
      <c r="W738" s="3">
        <f t="shared" si="109"/>
        <v>16000</v>
      </c>
      <c r="X738" s="3">
        <f t="shared" si="101"/>
        <v>1250</v>
      </c>
      <c r="Y738" s="3">
        <f t="shared" si="102"/>
        <v>1600</v>
      </c>
      <c r="Z738" s="3">
        <f t="shared" si="103"/>
        <v>1800</v>
      </c>
      <c r="AA738" s="3">
        <v>0</v>
      </c>
      <c r="AB738" s="3">
        <f>ROUND(U738 - (V738+W738+X738+Y738) - (U738/Q738 * 2),0)</f>
        <v>34483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f>SUM(V738+W738+X738+Y738+AB738)</f>
        <v>93333</v>
      </c>
      <c r="AK738" s="3">
        <f>SUM(AJ738-AA738)</f>
        <v>93333</v>
      </c>
      <c r="AL738" s="3">
        <f>IF(V738&lt;=15000,V738*12%,1800)</f>
        <v>1800</v>
      </c>
      <c r="AM738" s="3">
        <v>0</v>
      </c>
      <c r="AN738" s="3">
        <f t="shared" si="104"/>
        <v>1800</v>
      </c>
      <c r="AO738" s="12">
        <v>200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3">
        <f t="shared" si="106"/>
        <v>200</v>
      </c>
      <c r="AV738" s="3">
        <f>SUM(AJ738 - AN738 - AU738)</f>
        <v>91333</v>
      </c>
      <c r="AW738" s="11">
        <v>0</v>
      </c>
      <c r="AX738" s="11">
        <v>0</v>
      </c>
      <c r="AY738" s="11">
        <v>0</v>
      </c>
      <c r="AZ738" s="11">
        <v>0</v>
      </c>
      <c r="BA738" s="3">
        <f t="shared" si="105"/>
        <v>91333</v>
      </c>
    </row>
    <row r="739" spans="1:53" x14ac:dyDescent="0.25">
      <c r="A739" s="1" t="s">
        <v>737</v>
      </c>
      <c r="B739" s="9" t="s">
        <v>2437</v>
      </c>
      <c r="C739" s="9" t="s">
        <v>1023</v>
      </c>
      <c r="D739" s="9" t="s">
        <v>2460</v>
      </c>
      <c r="E739" s="9" t="s">
        <v>1012</v>
      </c>
      <c r="F739" s="10">
        <v>44753</v>
      </c>
      <c r="G739" s="9" t="s">
        <v>1019</v>
      </c>
      <c r="I739" s="9" t="s">
        <v>1014</v>
      </c>
      <c r="J739" s="9" t="s">
        <v>1021</v>
      </c>
      <c r="K739" s="8" t="s">
        <v>1006</v>
      </c>
      <c r="L739" s="8" t="s">
        <v>1007</v>
      </c>
      <c r="M739" s="8" t="s">
        <v>2933</v>
      </c>
      <c r="N739" s="8" t="s">
        <v>2937</v>
      </c>
      <c r="O739" s="1" t="s">
        <v>2934</v>
      </c>
      <c r="P739">
        <v>30</v>
      </c>
      <c r="Q739">
        <v>30</v>
      </c>
      <c r="R739">
        <v>0</v>
      </c>
      <c r="S739">
        <f t="shared" si="107"/>
        <v>30</v>
      </c>
      <c r="T739" s="1" t="s">
        <v>2935</v>
      </c>
      <c r="U739" s="1" t="s">
        <v>2932</v>
      </c>
      <c r="V739" s="3">
        <f t="shared" si="108"/>
        <v>40000</v>
      </c>
      <c r="W739" s="3">
        <f t="shared" si="109"/>
        <v>16000</v>
      </c>
      <c r="X739" s="3">
        <f t="shared" si="101"/>
        <v>1250</v>
      </c>
      <c r="Y739" s="3">
        <f t="shared" si="102"/>
        <v>1600</v>
      </c>
      <c r="Z739" s="3">
        <f t="shared" si="103"/>
        <v>1800</v>
      </c>
      <c r="AA739" s="3">
        <v>0</v>
      </c>
      <c r="AB739" s="3">
        <f>ROUND(U739 - (V739+W739+X739+Y739) - (U739/Q739 * 2),0)</f>
        <v>34483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f>SUM(V739+W739+X739+Y739+AB739)</f>
        <v>93333</v>
      </c>
      <c r="AK739" s="3">
        <f>SUM(AJ739-AA739)</f>
        <v>93333</v>
      </c>
      <c r="AL739" s="3">
        <f>IF(V739&lt;=15000,V739*12%,1800)</f>
        <v>1800</v>
      </c>
      <c r="AM739" s="3">
        <v>0</v>
      </c>
      <c r="AN739" s="3">
        <f t="shared" si="104"/>
        <v>1800</v>
      </c>
      <c r="AO739" s="12">
        <v>200</v>
      </c>
      <c r="AP739" s="12">
        <v>0</v>
      </c>
      <c r="AQ739" s="12">
        <v>0</v>
      </c>
      <c r="AR739" s="12">
        <v>0</v>
      </c>
      <c r="AS739" s="12">
        <v>0</v>
      </c>
      <c r="AT739" s="12">
        <v>0</v>
      </c>
      <c r="AU739" s="3">
        <f t="shared" si="106"/>
        <v>200</v>
      </c>
      <c r="AV739" s="3">
        <f>SUM(AJ739 - AN739 - AU739)</f>
        <v>91333</v>
      </c>
      <c r="AW739" s="11">
        <v>0</v>
      </c>
      <c r="AX739" s="11">
        <v>0</v>
      </c>
      <c r="AY739" s="11">
        <v>0</v>
      </c>
      <c r="AZ739" s="11">
        <v>0</v>
      </c>
      <c r="BA739" s="3">
        <f t="shared" si="105"/>
        <v>91333</v>
      </c>
    </row>
    <row r="740" spans="1:53" x14ac:dyDescent="0.25">
      <c r="A740" s="1" t="s">
        <v>738</v>
      </c>
      <c r="B740" s="9" t="s">
        <v>2458</v>
      </c>
      <c r="C740" s="9" t="s">
        <v>1023</v>
      </c>
      <c r="D740" s="9" t="s">
        <v>2459</v>
      </c>
      <c r="E740" s="9" t="s">
        <v>1012</v>
      </c>
      <c r="F740" s="10">
        <v>44753</v>
      </c>
      <c r="G740" s="9" t="s">
        <v>1019</v>
      </c>
      <c r="I740" s="9" t="s">
        <v>1014</v>
      </c>
      <c r="J740" s="9" t="s">
        <v>1021</v>
      </c>
      <c r="K740" s="8" t="s">
        <v>1006</v>
      </c>
      <c r="L740" s="8" t="s">
        <v>1007</v>
      </c>
      <c r="M740" s="8" t="s">
        <v>2933</v>
      </c>
      <c r="N740" s="8" t="s">
        <v>2937</v>
      </c>
      <c r="O740" s="1" t="s">
        <v>2934</v>
      </c>
      <c r="P740">
        <v>30</v>
      </c>
      <c r="Q740">
        <v>30</v>
      </c>
      <c r="R740">
        <v>0</v>
      </c>
      <c r="S740">
        <f t="shared" si="107"/>
        <v>30</v>
      </c>
      <c r="T740" s="1" t="s">
        <v>2935</v>
      </c>
      <c r="U740" s="1" t="s">
        <v>2932</v>
      </c>
      <c r="V740" s="3">
        <f t="shared" si="108"/>
        <v>40000</v>
      </c>
      <c r="W740" s="3">
        <f t="shared" si="109"/>
        <v>16000</v>
      </c>
      <c r="X740" s="3">
        <f t="shared" si="101"/>
        <v>1250</v>
      </c>
      <c r="Y740" s="3">
        <f t="shared" si="102"/>
        <v>1600</v>
      </c>
      <c r="Z740" s="3">
        <f t="shared" si="103"/>
        <v>1800</v>
      </c>
      <c r="AA740" s="3">
        <v>0</v>
      </c>
      <c r="AB740" s="3">
        <f>ROUND(U740 - (V740+W740+X740+Y740) - (U740/Q740 * 2),0)</f>
        <v>34483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f>SUM(V740+W740+X740+Y740+AB740)</f>
        <v>93333</v>
      </c>
      <c r="AK740" s="3">
        <f>SUM(AJ740-AA740)</f>
        <v>93333</v>
      </c>
      <c r="AL740" s="3">
        <f>IF(V740&lt;=15000,V740*12%,1800)</f>
        <v>1800</v>
      </c>
      <c r="AM740" s="3">
        <v>0</v>
      </c>
      <c r="AN740" s="3">
        <f t="shared" si="104"/>
        <v>1800</v>
      </c>
      <c r="AO740" s="12">
        <v>200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3">
        <f t="shared" si="106"/>
        <v>200</v>
      </c>
      <c r="AV740" s="3">
        <f>SUM(AJ740 - AN740 - AU740)</f>
        <v>91333</v>
      </c>
      <c r="AW740" s="11">
        <v>0</v>
      </c>
      <c r="AX740" s="11">
        <v>0</v>
      </c>
      <c r="AY740" s="11">
        <v>0</v>
      </c>
      <c r="AZ740" s="11">
        <v>0</v>
      </c>
      <c r="BA740" s="3">
        <f t="shared" si="105"/>
        <v>91333</v>
      </c>
    </row>
    <row r="741" spans="1:53" x14ac:dyDescent="0.25">
      <c r="A741" s="1" t="s">
        <v>739</v>
      </c>
      <c r="B741" s="9" t="s">
        <v>2456</v>
      </c>
      <c r="C741" s="9" t="s">
        <v>1023</v>
      </c>
      <c r="D741" s="9" t="s">
        <v>2457</v>
      </c>
      <c r="E741" s="9" t="s">
        <v>1012</v>
      </c>
      <c r="F741" s="10">
        <v>44753</v>
      </c>
      <c r="G741" s="9" t="s">
        <v>1019</v>
      </c>
      <c r="I741" s="9" t="s">
        <v>2009</v>
      </c>
      <c r="J741" s="9" t="s">
        <v>1021</v>
      </c>
      <c r="K741" s="8" t="s">
        <v>1006</v>
      </c>
      <c r="L741" s="8" t="s">
        <v>1007</v>
      </c>
      <c r="M741" s="8" t="s">
        <v>2933</v>
      </c>
      <c r="N741" s="8" t="s">
        <v>2937</v>
      </c>
      <c r="O741" s="1" t="s">
        <v>2934</v>
      </c>
      <c r="P741">
        <v>30</v>
      </c>
      <c r="Q741">
        <v>30</v>
      </c>
      <c r="R741">
        <v>0</v>
      </c>
      <c r="S741">
        <f t="shared" si="107"/>
        <v>30</v>
      </c>
      <c r="T741" s="1" t="s">
        <v>2935</v>
      </c>
      <c r="U741" s="1" t="s">
        <v>2932</v>
      </c>
      <c r="V741" s="3">
        <f t="shared" si="108"/>
        <v>40000</v>
      </c>
      <c r="W741" s="3">
        <f t="shared" si="109"/>
        <v>16000</v>
      </c>
      <c r="X741" s="3">
        <f t="shared" si="101"/>
        <v>1250</v>
      </c>
      <c r="Y741" s="3">
        <f t="shared" si="102"/>
        <v>1600</v>
      </c>
      <c r="Z741" s="3">
        <f t="shared" si="103"/>
        <v>1800</v>
      </c>
      <c r="AA741" s="3">
        <v>0</v>
      </c>
      <c r="AB741" s="3">
        <f>ROUND(U741 - (V741+W741+X741+Y741) - (U741/Q741 * 2),0)</f>
        <v>34483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f>SUM(V741+W741+X741+Y741+AB741)</f>
        <v>93333</v>
      </c>
      <c r="AK741" s="3">
        <f>SUM(AJ741-AA741)</f>
        <v>93333</v>
      </c>
      <c r="AL741" s="3">
        <f>IF(V741&lt;=15000,V741*12%,1800)</f>
        <v>1800</v>
      </c>
      <c r="AM741" s="3">
        <v>0</v>
      </c>
      <c r="AN741" s="3">
        <f t="shared" si="104"/>
        <v>1800</v>
      </c>
      <c r="AO741" s="12">
        <v>200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3">
        <f t="shared" si="106"/>
        <v>200</v>
      </c>
      <c r="AV741" s="3">
        <f>SUM(AJ741 - AN741 - AU741)</f>
        <v>91333</v>
      </c>
      <c r="AW741" s="11">
        <v>0</v>
      </c>
      <c r="AX741" s="11">
        <v>0</v>
      </c>
      <c r="AY741" s="11">
        <v>0</v>
      </c>
      <c r="AZ741" s="11">
        <v>0</v>
      </c>
      <c r="BA741" s="3">
        <f t="shared" si="105"/>
        <v>91333</v>
      </c>
    </row>
    <row r="742" spans="1:53" x14ac:dyDescent="0.25">
      <c r="A742" s="1" t="s">
        <v>740</v>
      </c>
      <c r="B742" s="9" t="s">
        <v>1542</v>
      </c>
      <c r="C742" s="9" t="s">
        <v>1026</v>
      </c>
      <c r="D742" s="9" t="s">
        <v>2455</v>
      </c>
      <c r="E742" s="9" t="s">
        <v>1012</v>
      </c>
      <c r="F742" s="10">
        <v>44760</v>
      </c>
      <c r="G742" s="9" t="s">
        <v>1019</v>
      </c>
      <c r="I742" s="9" t="s">
        <v>1014</v>
      </c>
      <c r="J742" s="9" t="s">
        <v>1015</v>
      </c>
      <c r="K742" s="8" t="s">
        <v>1006</v>
      </c>
      <c r="L742" s="8" t="s">
        <v>1007</v>
      </c>
      <c r="M742" s="8" t="s">
        <v>2933</v>
      </c>
      <c r="N742" s="8" t="s">
        <v>2937</v>
      </c>
      <c r="O742" s="1" t="s">
        <v>2934</v>
      </c>
      <c r="P742">
        <v>30</v>
      </c>
      <c r="Q742">
        <v>30</v>
      </c>
      <c r="R742">
        <v>0</v>
      </c>
      <c r="S742">
        <f t="shared" si="107"/>
        <v>30</v>
      </c>
      <c r="T742" s="1" t="s">
        <v>2935</v>
      </c>
      <c r="U742" s="1" t="s">
        <v>2932</v>
      </c>
      <c r="V742" s="3">
        <f t="shared" si="108"/>
        <v>40000</v>
      </c>
      <c r="W742" s="3">
        <f t="shared" si="109"/>
        <v>16000</v>
      </c>
      <c r="X742" s="3">
        <f t="shared" si="101"/>
        <v>1250</v>
      </c>
      <c r="Y742" s="3">
        <f t="shared" si="102"/>
        <v>1600</v>
      </c>
      <c r="Z742" s="3">
        <f t="shared" si="103"/>
        <v>1800</v>
      </c>
      <c r="AA742" s="3">
        <v>0</v>
      </c>
      <c r="AB742" s="3">
        <f>ROUND(U742 - (V742+W742+X742+Y742) - (U742/Q742 * 2),0)</f>
        <v>34483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f>SUM(V742+W742+X742+Y742+AB742)</f>
        <v>93333</v>
      </c>
      <c r="AK742" s="3">
        <f>SUM(AJ742-AA742)</f>
        <v>93333</v>
      </c>
      <c r="AL742" s="3">
        <f>IF(V742&lt;=15000,V742*12%,1800)</f>
        <v>1800</v>
      </c>
      <c r="AM742" s="3">
        <v>0</v>
      </c>
      <c r="AN742" s="3">
        <f t="shared" si="104"/>
        <v>1800</v>
      </c>
      <c r="AO742" s="12">
        <v>200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3">
        <f t="shared" si="106"/>
        <v>200</v>
      </c>
      <c r="AV742" s="3">
        <f>SUM(AJ742 - AN742 - AU742)</f>
        <v>91333</v>
      </c>
      <c r="AW742" s="11">
        <v>0</v>
      </c>
      <c r="AX742" s="11">
        <v>0</v>
      </c>
      <c r="AY742" s="11">
        <v>0</v>
      </c>
      <c r="AZ742" s="11">
        <v>0</v>
      </c>
      <c r="BA742" s="3">
        <f t="shared" si="105"/>
        <v>91333</v>
      </c>
    </row>
    <row r="743" spans="1:53" x14ac:dyDescent="0.25">
      <c r="A743" s="1" t="s">
        <v>741</v>
      </c>
      <c r="B743" s="9" t="s">
        <v>2453</v>
      </c>
      <c r="C743" s="9" t="s">
        <v>1305</v>
      </c>
      <c r="D743" s="9" t="s">
        <v>2454</v>
      </c>
      <c r="E743" s="9" t="s">
        <v>1008</v>
      </c>
      <c r="F743" s="10">
        <v>44767</v>
      </c>
      <c r="G743" s="9" t="s">
        <v>1013</v>
      </c>
      <c r="I743" s="9" t="s">
        <v>1042</v>
      </c>
      <c r="J743" s="9" t="s">
        <v>1307</v>
      </c>
      <c r="K743" s="8" t="s">
        <v>1006</v>
      </c>
      <c r="L743" s="8" t="s">
        <v>1007</v>
      </c>
      <c r="M743" s="8" t="s">
        <v>2933</v>
      </c>
      <c r="N743" s="8" t="s">
        <v>2937</v>
      </c>
      <c r="O743" s="1" t="s">
        <v>2934</v>
      </c>
      <c r="P743">
        <v>30</v>
      </c>
      <c r="Q743">
        <v>30</v>
      </c>
      <c r="R743">
        <v>0</v>
      </c>
      <c r="S743">
        <f t="shared" si="107"/>
        <v>30</v>
      </c>
      <c r="T743" s="1" t="s">
        <v>2935</v>
      </c>
      <c r="U743" s="1" t="s">
        <v>2932</v>
      </c>
      <c r="V743" s="3">
        <f t="shared" si="108"/>
        <v>40000</v>
      </c>
      <c r="W743" s="3">
        <f t="shared" si="109"/>
        <v>16000</v>
      </c>
      <c r="X743" s="3">
        <f t="shared" si="101"/>
        <v>1250</v>
      </c>
      <c r="Y743" s="3">
        <f t="shared" si="102"/>
        <v>1600</v>
      </c>
      <c r="Z743" s="3">
        <f t="shared" si="103"/>
        <v>1800</v>
      </c>
      <c r="AA743" s="3">
        <v>0</v>
      </c>
      <c r="AB743" s="3">
        <f>ROUND(U743 - (V743+W743+X743+Y743) - (U743/Q743 * 2),0)</f>
        <v>34483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f>SUM(V743+W743+X743+Y743+AB743)</f>
        <v>93333</v>
      </c>
      <c r="AK743" s="3">
        <f>SUM(AJ743-AA743)</f>
        <v>93333</v>
      </c>
      <c r="AL743" s="3">
        <f>IF(V743&lt;=15000,V743*12%,1800)</f>
        <v>1800</v>
      </c>
      <c r="AM743" s="3">
        <v>0</v>
      </c>
      <c r="AN743" s="3">
        <f t="shared" si="104"/>
        <v>1800</v>
      </c>
      <c r="AO743" s="12">
        <v>200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3">
        <f t="shared" si="106"/>
        <v>200</v>
      </c>
      <c r="AV743" s="3">
        <f>SUM(AJ743 - AN743 - AU743)</f>
        <v>91333</v>
      </c>
      <c r="AW743" s="11">
        <v>0</v>
      </c>
      <c r="AX743" s="11">
        <v>0</v>
      </c>
      <c r="AY743" s="11">
        <v>0</v>
      </c>
      <c r="AZ743" s="11">
        <v>0</v>
      </c>
      <c r="BA743" s="3">
        <f t="shared" si="105"/>
        <v>91333</v>
      </c>
    </row>
    <row r="744" spans="1:53" x14ac:dyDescent="0.25">
      <c r="A744" s="1" t="s">
        <v>742</v>
      </c>
      <c r="B744" s="9" t="s">
        <v>2451</v>
      </c>
      <c r="C744" s="9" t="s">
        <v>1236</v>
      </c>
      <c r="D744" s="9" t="s">
        <v>2452</v>
      </c>
      <c r="E744" s="9" t="s">
        <v>1012</v>
      </c>
      <c r="F744" s="10">
        <v>44769</v>
      </c>
      <c r="G744" s="9" t="s">
        <v>1013</v>
      </c>
      <c r="I744" s="9" t="s">
        <v>1035</v>
      </c>
      <c r="J744" s="9" t="s">
        <v>1048</v>
      </c>
      <c r="K744" s="8" t="s">
        <v>1006</v>
      </c>
      <c r="L744" s="8" t="s">
        <v>1007</v>
      </c>
      <c r="M744" s="8" t="s">
        <v>2933</v>
      </c>
      <c r="N744" s="8" t="s">
        <v>2937</v>
      </c>
      <c r="O744" s="1" t="s">
        <v>2934</v>
      </c>
      <c r="P744">
        <v>30</v>
      </c>
      <c r="Q744">
        <v>30</v>
      </c>
      <c r="R744">
        <v>0</v>
      </c>
      <c r="S744">
        <f t="shared" si="107"/>
        <v>30</v>
      </c>
      <c r="T744" s="1" t="s">
        <v>2935</v>
      </c>
      <c r="U744" s="1" t="s">
        <v>2932</v>
      </c>
      <c r="V744" s="3">
        <f t="shared" si="108"/>
        <v>40000</v>
      </c>
      <c r="W744" s="3">
        <f t="shared" si="109"/>
        <v>16000</v>
      </c>
      <c r="X744" s="3">
        <f t="shared" si="101"/>
        <v>1250</v>
      </c>
      <c r="Y744" s="3">
        <f t="shared" si="102"/>
        <v>1600</v>
      </c>
      <c r="Z744" s="3">
        <f t="shared" si="103"/>
        <v>1800</v>
      </c>
      <c r="AA744" s="3">
        <v>0</v>
      </c>
      <c r="AB744" s="3">
        <f>ROUND(U744 - (V744+W744+X744+Y744) - (U744/Q744 * 2),0)</f>
        <v>34483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f>SUM(V744+W744+X744+Y744+AB744)</f>
        <v>93333</v>
      </c>
      <c r="AK744" s="3">
        <f>SUM(AJ744-AA744)</f>
        <v>93333</v>
      </c>
      <c r="AL744" s="3">
        <f>IF(V744&lt;=15000,V744*12%,1800)</f>
        <v>1800</v>
      </c>
      <c r="AM744" s="3">
        <v>0</v>
      </c>
      <c r="AN744" s="3">
        <f t="shared" si="104"/>
        <v>1800</v>
      </c>
      <c r="AO744" s="12">
        <v>200</v>
      </c>
      <c r="AP744" s="12">
        <v>0</v>
      </c>
      <c r="AQ744" s="12">
        <v>0</v>
      </c>
      <c r="AR744" s="12">
        <v>0</v>
      </c>
      <c r="AS744" s="12">
        <v>0</v>
      </c>
      <c r="AT744" s="12">
        <v>0</v>
      </c>
      <c r="AU744" s="3">
        <f t="shared" si="106"/>
        <v>200</v>
      </c>
      <c r="AV744" s="3">
        <f>SUM(AJ744 - AN744 - AU744)</f>
        <v>91333</v>
      </c>
      <c r="AW744" s="11">
        <v>0</v>
      </c>
      <c r="AX744" s="11">
        <v>0</v>
      </c>
      <c r="AY744" s="11">
        <v>0</v>
      </c>
      <c r="AZ744" s="11">
        <v>0</v>
      </c>
      <c r="BA744" s="3">
        <f t="shared" si="105"/>
        <v>91333</v>
      </c>
    </row>
    <row r="745" spans="1:53" x14ac:dyDescent="0.25">
      <c r="A745" s="1" t="s">
        <v>743</v>
      </c>
      <c r="B745" s="9" t="s">
        <v>2449</v>
      </c>
      <c r="C745" s="9" t="s">
        <v>1434</v>
      </c>
      <c r="D745" s="9" t="s">
        <v>2450</v>
      </c>
      <c r="E745" s="9" t="s">
        <v>1008</v>
      </c>
      <c r="F745" s="10">
        <v>44762</v>
      </c>
      <c r="G745" s="9" t="s">
        <v>1019</v>
      </c>
      <c r="I745" s="9" t="s">
        <v>1014</v>
      </c>
      <c r="J745" s="9" t="s">
        <v>1015</v>
      </c>
      <c r="K745" s="8" t="s">
        <v>1006</v>
      </c>
      <c r="L745" s="8" t="s">
        <v>1007</v>
      </c>
      <c r="M745" s="8" t="s">
        <v>2933</v>
      </c>
      <c r="N745" s="8" t="s">
        <v>2937</v>
      </c>
      <c r="O745" s="1" t="s">
        <v>2934</v>
      </c>
      <c r="P745">
        <v>30</v>
      </c>
      <c r="Q745">
        <v>30</v>
      </c>
      <c r="R745">
        <v>0</v>
      </c>
      <c r="S745">
        <f t="shared" si="107"/>
        <v>30</v>
      </c>
      <c r="T745" s="1" t="s">
        <v>2935</v>
      </c>
      <c r="U745" s="1" t="s">
        <v>2932</v>
      </c>
      <c r="V745" s="3">
        <f t="shared" si="108"/>
        <v>40000</v>
      </c>
      <c r="W745" s="3">
        <f t="shared" si="109"/>
        <v>16000</v>
      </c>
      <c r="X745" s="3">
        <f t="shared" si="101"/>
        <v>1250</v>
      </c>
      <c r="Y745" s="3">
        <f t="shared" si="102"/>
        <v>1600</v>
      </c>
      <c r="Z745" s="3">
        <f t="shared" si="103"/>
        <v>1800</v>
      </c>
      <c r="AA745" s="3">
        <v>0</v>
      </c>
      <c r="AB745" s="3">
        <f>ROUND(U745 - (V745+W745+X745+Y745) - (U745/Q745 * 2),0)</f>
        <v>34483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f>SUM(V745+W745+X745+Y745+AB745)</f>
        <v>93333</v>
      </c>
      <c r="AK745" s="3">
        <f>SUM(AJ745-AA745)</f>
        <v>93333</v>
      </c>
      <c r="AL745" s="3">
        <f>IF(V745&lt;=15000,V745*12%,1800)</f>
        <v>1800</v>
      </c>
      <c r="AM745" s="3">
        <v>0</v>
      </c>
      <c r="AN745" s="3">
        <f t="shared" si="104"/>
        <v>1800</v>
      </c>
      <c r="AO745" s="12">
        <v>200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3">
        <f t="shared" si="106"/>
        <v>200</v>
      </c>
      <c r="AV745" s="3">
        <f>SUM(AJ745 - AN745 - AU745)</f>
        <v>91333</v>
      </c>
      <c r="AW745" s="11">
        <v>0</v>
      </c>
      <c r="AX745" s="11">
        <v>0</v>
      </c>
      <c r="AY745" s="11">
        <v>0</v>
      </c>
      <c r="AZ745" s="11">
        <v>0</v>
      </c>
      <c r="BA745" s="3">
        <f t="shared" si="105"/>
        <v>91333</v>
      </c>
    </row>
    <row r="746" spans="1:53" x14ac:dyDescent="0.25">
      <c r="A746" s="1" t="s">
        <v>744</v>
      </c>
      <c r="B746" s="9" t="s">
        <v>2447</v>
      </c>
      <c r="C746" s="9" t="s">
        <v>1063</v>
      </c>
      <c r="D746" s="9" t="s">
        <v>2448</v>
      </c>
      <c r="E746" s="9" t="s">
        <v>1012</v>
      </c>
      <c r="F746" s="10">
        <v>44767</v>
      </c>
      <c r="G746" s="9" t="s">
        <v>1019</v>
      </c>
      <c r="I746" s="9" t="s">
        <v>1065</v>
      </c>
      <c r="J746" s="9" t="s">
        <v>1015</v>
      </c>
      <c r="K746" s="8" t="s">
        <v>1006</v>
      </c>
      <c r="L746" s="8" t="s">
        <v>1007</v>
      </c>
      <c r="M746" s="8" t="s">
        <v>2933</v>
      </c>
      <c r="N746" s="8" t="s">
        <v>2937</v>
      </c>
      <c r="O746" s="1" t="s">
        <v>2934</v>
      </c>
      <c r="P746">
        <v>30</v>
      </c>
      <c r="Q746">
        <v>30</v>
      </c>
      <c r="R746">
        <v>0</v>
      </c>
      <c r="S746">
        <f t="shared" si="107"/>
        <v>30</v>
      </c>
      <c r="T746" s="1" t="s">
        <v>2935</v>
      </c>
      <c r="U746" s="1" t="s">
        <v>2932</v>
      </c>
      <c r="V746" s="3">
        <f t="shared" si="108"/>
        <v>40000</v>
      </c>
      <c r="W746" s="3">
        <f t="shared" si="109"/>
        <v>16000</v>
      </c>
      <c r="X746" s="3">
        <f t="shared" si="101"/>
        <v>1250</v>
      </c>
      <c r="Y746" s="3">
        <f t="shared" si="102"/>
        <v>1600</v>
      </c>
      <c r="Z746" s="3">
        <f t="shared" si="103"/>
        <v>1800</v>
      </c>
      <c r="AA746" s="3">
        <v>0</v>
      </c>
      <c r="AB746" s="3">
        <f>ROUND(U746 - (V746+W746+X746+Y746) - (U746/Q746 * 2),0)</f>
        <v>34483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f>SUM(V746+W746+X746+Y746+AB746)</f>
        <v>93333</v>
      </c>
      <c r="AK746" s="3">
        <f>SUM(AJ746-AA746)</f>
        <v>93333</v>
      </c>
      <c r="AL746" s="3">
        <f>IF(V746&lt;=15000,V746*12%,1800)</f>
        <v>1800</v>
      </c>
      <c r="AM746" s="3">
        <v>0</v>
      </c>
      <c r="AN746" s="3">
        <f t="shared" si="104"/>
        <v>1800</v>
      </c>
      <c r="AO746" s="12">
        <v>200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3">
        <f t="shared" si="106"/>
        <v>200</v>
      </c>
      <c r="AV746" s="3">
        <f>SUM(AJ746 - AN746 - AU746)</f>
        <v>91333</v>
      </c>
      <c r="AW746" s="11">
        <v>0</v>
      </c>
      <c r="AX746" s="11">
        <v>0</v>
      </c>
      <c r="AY746" s="11">
        <v>0</v>
      </c>
      <c r="AZ746" s="11">
        <v>0</v>
      </c>
      <c r="BA746" s="3">
        <f t="shared" si="105"/>
        <v>91333</v>
      </c>
    </row>
    <row r="747" spans="1:53" x14ac:dyDescent="0.25">
      <c r="A747" s="1" t="s">
        <v>745</v>
      </c>
      <c r="B747" s="9" t="s">
        <v>2445</v>
      </c>
      <c r="C747" s="9" t="s">
        <v>1173</v>
      </c>
      <c r="D747" s="9" t="s">
        <v>2446</v>
      </c>
      <c r="E747" s="9" t="s">
        <v>1012</v>
      </c>
      <c r="F747" s="10">
        <v>44774</v>
      </c>
      <c r="G747" s="9" t="s">
        <v>1013</v>
      </c>
      <c r="I747" s="9" t="s">
        <v>1042</v>
      </c>
      <c r="J747" s="9" t="s">
        <v>1048</v>
      </c>
      <c r="K747" s="8" t="s">
        <v>1006</v>
      </c>
      <c r="L747" s="8" t="s">
        <v>1007</v>
      </c>
      <c r="M747" s="8" t="s">
        <v>2933</v>
      </c>
      <c r="N747" s="8" t="s">
        <v>2937</v>
      </c>
      <c r="O747" s="1" t="s">
        <v>2934</v>
      </c>
      <c r="P747">
        <v>30</v>
      </c>
      <c r="Q747">
        <v>30</v>
      </c>
      <c r="R747">
        <v>0</v>
      </c>
      <c r="S747">
        <f t="shared" si="107"/>
        <v>30</v>
      </c>
      <c r="T747" s="1" t="s">
        <v>2935</v>
      </c>
      <c r="U747" s="1" t="s">
        <v>2932</v>
      </c>
      <c r="V747" s="3">
        <f t="shared" si="108"/>
        <v>40000</v>
      </c>
      <c r="W747" s="3">
        <f t="shared" si="109"/>
        <v>16000</v>
      </c>
      <c r="X747" s="3">
        <f t="shared" si="101"/>
        <v>1250</v>
      </c>
      <c r="Y747" s="3">
        <f t="shared" si="102"/>
        <v>1600</v>
      </c>
      <c r="Z747" s="3">
        <f t="shared" si="103"/>
        <v>1800</v>
      </c>
      <c r="AA747" s="3">
        <v>0</v>
      </c>
      <c r="AB747" s="3">
        <f>ROUND(U747 - (V747+W747+X747+Y747) - (U747/Q747 * 2),0)</f>
        <v>34483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f>SUM(V747+W747+X747+Y747+AB747)</f>
        <v>93333</v>
      </c>
      <c r="AK747" s="3">
        <f>SUM(AJ747-AA747)</f>
        <v>93333</v>
      </c>
      <c r="AL747" s="3">
        <f>IF(V747&lt;=15000,V747*12%,1800)</f>
        <v>1800</v>
      </c>
      <c r="AM747" s="3">
        <v>0</v>
      </c>
      <c r="AN747" s="3">
        <f t="shared" si="104"/>
        <v>1800</v>
      </c>
      <c r="AO747" s="12">
        <v>200</v>
      </c>
      <c r="AP747" s="12">
        <v>0</v>
      </c>
      <c r="AQ747" s="12">
        <v>0</v>
      </c>
      <c r="AR747" s="12">
        <v>0</v>
      </c>
      <c r="AS747" s="12">
        <v>0</v>
      </c>
      <c r="AT747" s="12">
        <v>0</v>
      </c>
      <c r="AU747" s="3">
        <f t="shared" si="106"/>
        <v>200</v>
      </c>
      <c r="AV747" s="3">
        <f>SUM(AJ747 - AN747 - AU747)</f>
        <v>91333</v>
      </c>
      <c r="AW747" s="11">
        <v>0</v>
      </c>
      <c r="AX747" s="11">
        <v>0</v>
      </c>
      <c r="AY747" s="11">
        <v>0</v>
      </c>
      <c r="AZ747" s="11">
        <v>0</v>
      </c>
      <c r="BA747" s="3">
        <f t="shared" si="105"/>
        <v>91333</v>
      </c>
    </row>
    <row r="748" spans="1:53" x14ac:dyDescent="0.25">
      <c r="A748" s="1" t="s">
        <v>746</v>
      </c>
      <c r="B748" s="9" t="s">
        <v>2437</v>
      </c>
      <c r="C748" s="9" t="s">
        <v>1026</v>
      </c>
      <c r="D748" s="9" t="s">
        <v>2444</v>
      </c>
      <c r="E748" s="9" t="s">
        <v>1012</v>
      </c>
      <c r="F748" s="10">
        <v>44774</v>
      </c>
      <c r="G748" s="9" t="s">
        <v>1019</v>
      </c>
      <c r="I748" s="9" t="s">
        <v>1014</v>
      </c>
      <c r="J748" s="9" t="s">
        <v>1015</v>
      </c>
      <c r="K748" s="8" t="s">
        <v>1006</v>
      </c>
      <c r="L748" s="8" t="s">
        <v>1007</v>
      </c>
      <c r="M748" s="8" t="s">
        <v>2933</v>
      </c>
      <c r="N748" s="8" t="s">
        <v>2937</v>
      </c>
      <c r="O748" s="1" t="s">
        <v>2934</v>
      </c>
      <c r="P748">
        <v>30</v>
      </c>
      <c r="Q748">
        <v>30</v>
      </c>
      <c r="R748">
        <v>0</v>
      </c>
      <c r="S748">
        <f t="shared" si="107"/>
        <v>30</v>
      </c>
      <c r="T748" s="1" t="s">
        <v>2935</v>
      </c>
      <c r="U748" s="1" t="s">
        <v>2932</v>
      </c>
      <c r="V748" s="3">
        <f t="shared" si="108"/>
        <v>40000</v>
      </c>
      <c r="W748" s="3">
        <f t="shared" si="109"/>
        <v>16000</v>
      </c>
      <c r="X748" s="3">
        <f t="shared" si="101"/>
        <v>1250</v>
      </c>
      <c r="Y748" s="3">
        <f t="shared" si="102"/>
        <v>1600</v>
      </c>
      <c r="Z748" s="3">
        <f t="shared" si="103"/>
        <v>1800</v>
      </c>
      <c r="AA748" s="3">
        <v>0</v>
      </c>
      <c r="AB748" s="3">
        <f>ROUND(U748 - (V748+W748+X748+Y748) - (U748/Q748 * 2),0)</f>
        <v>34483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f>SUM(V748+W748+X748+Y748+AB748)</f>
        <v>93333</v>
      </c>
      <c r="AK748" s="3">
        <f>SUM(AJ748-AA748)</f>
        <v>93333</v>
      </c>
      <c r="AL748" s="3">
        <f>IF(V748&lt;=15000,V748*12%,1800)</f>
        <v>1800</v>
      </c>
      <c r="AM748" s="3">
        <v>0</v>
      </c>
      <c r="AN748" s="3">
        <f t="shared" si="104"/>
        <v>1800</v>
      </c>
      <c r="AO748" s="12">
        <v>200</v>
      </c>
      <c r="AP748" s="12">
        <v>0</v>
      </c>
      <c r="AQ748" s="12">
        <v>0</v>
      </c>
      <c r="AR748" s="12">
        <v>0</v>
      </c>
      <c r="AS748" s="12">
        <v>0</v>
      </c>
      <c r="AT748" s="12">
        <v>0</v>
      </c>
      <c r="AU748" s="3">
        <f t="shared" si="106"/>
        <v>200</v>
      </c>
      <c r="AV748" s="3">
        <f>SUM(AJ748 - AN748 - AU748)</f>
        <v>91333</v>
      </c>
      <c r="AW748" s="11">
        <v>0</v>
      </c>
      <c r="AX748" s="11">
        <v>0</v>
      </c>
      <c r="AY748" s="11">
        <v>0</v>
      </c>
      <c r="AZ748" s="11">
        <v>0</v>
      </c>
      <c r="BA748" s="3">
        <f t="shared" si="105"/>
        <v>91333</v>
      </c>
    </row>
    <row r="749" spans="1:53" x14ac:dyDescent="0.25">
      <c r="A749" s="1" t="s">
        <v>747</v>
      </c>
      <c r="B749" s="9" t="s">
        <v>2442</v>
      </c>
      <c r="C749" s="9" t="s">
        <v>1010</v>
      </c>
      <c r="D749" s="9" t="s">
        <v>2443</v>
      </c>
      <c r="E749" s="9" t="s">
        <v>1008</v>
      </c>
      <c r="F749" s="10">
        <v>44774</v>
      </c>
      <c r="G749" s="9" t="s">
        <v>1019</v>
      </c>
      <c r="I749" s="9" t="s">
        <v>1014</v>
      </c>
      <c r="J749" s="9" t="s">
        <v>1015</v>
      </c>
      <c r="K749" s="8" t="s">
        <v>1006</v>
      </c>
      <c r="L749" s="8" t="s">
        <v>1007</v>
      </c>
      <c r="M749" s="8" t="s">
        <v>2933</v>
      </c>
      <c r="N749" s="8" t="s">
        <v>2937</v>
      </c>
      <c r="O749" s="1" t="s">
        <v>2934</v>
      </c>
      <c r="P749">
        <v>30</v>
      </c>
      <c r="Q749">
        <v>30</v>
      </c>
      <c r="R749">
        <v>0</v>
      </c>
      <c r="S749">
        <f t="shared" si="107"/>
        <v>30</v>
      </c>
      <c r="T749" s="1" t="s">
        <v>2935</v>
      </c>
      <c r="U749" s="1" t="s">
        <v>2932</v>
      </c>
      <c r="V749" s="3">
        <f t="shared" si="108"/>
        <v>40000</v>
      </c>
      <c r="W749" s="3">
        <f t="shared" si="109"/>
        <v>16000</v>
      </c>
      <c r="X749" s="3">
        <f t="shared" si="101"/>
        <v>1250</v>
      </c>
      <c r="Y749" s="3">
        <f t="shared" si="102"/>
        <v>1600</v>
      </c>
      <c r="Z749" s="3">
        <f t="shared" si="103"/>
        <v>1800</v>
      </c>
      <c r="AA749" s="3">
        <v>0</v>
      </c>
      <c r="AB749" s="3">
        <f>ROUND(U749 - (V749+W749+X749+Y749) - (U749/Q749 * 2),0)</f>
        <v>34483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f>SUM(V749+W749+X749+Y749+AB749)</f>
        <v>93333</v>
      </c>
      <c r="AK749" s="3">
        <f>SUM(AJ749-AA749)</f>
        <v>93333</v>
      </c>
      <c r="AL749" s="3">
        <f>IF(V749&lt;=15000,V749*12%,1800)</f>
        <v>1800</v>
      </c>
      <c r="AM749" s="3">
        <v>0</v>
      </c>
      <c r="AN749" s="3">
        <f t="shared" si="104"/>
        <v>1800</v>
      </c>
      <c r="AO749" s="12">
        <v>200</v>
      </c>
      <c r="AP749" s="12">
        <v>0</v>
      </c>
      <c r="AQ749" s="12">
        <v>0</v>
      </c>
      <c r="AR749" s="12">
        <v>0</v>
      </c>
      <c r="AS749" s="12">
        <v>0</v>
      </c>
      <c r="AT749" s="12">
        <v>0</v>
      </c>
      <c r="AU749" s="3">
        <f t="shared" si="106"/>
        <v>200</v>
      </c>
      <c r="AV749" s="3">
        <f>SUM(AJ749 - AN749 - AU749)</f>
        <v>91333</v>
      </c>
      <c r="AW749" s="11">
        <v>0</v>
      </c>
      <c r="AX749" s="11">
        <v>0</v>
      </c>
      <c r="AY749" s="11">
        <v>0</v>
      </c>
      <c r="AZ749" s="11">
        <v>0</v>
      </c>
      <c r="BA749" s="3">
        <f t="shared" si="105"/>
        <v>91333</v>
      </c>
    </row>
    <row r="750" spans="1:53" x14ac:dyDescent="0.25">
      <c r="A750" s="1" t="s">
        <v>748</v>
      </c>
      <c r="B750" s="9" t="s">
        <v>1712</v>
      </c>
      <c r="C750" s="9" t="s">
        <v>1017</v>
      </c>
      <c r="D750" s="9" t="s">
        <v>2441</v>
      </c>
      <c r="E750" s="9" t="s">
        <v>1012</v>
      </c>
      <c r="F750" s="10">
        <v>44774</v>
      </c>
      <c r="G750" s="9" t="s">
        <v>1019</v>
      </c>
      <c r="I750" s="9" t="s">
        <v>1014</v>
      </c>
      <c r="J750" s="9" t="s">
        <v>1021</v>
      </c>
      <c r="K750" s="8" t="s">
        <v>1006</v>
      </c>
      <c r="L750" s="8" t="s">
        <v>1007</v>
      </c>
      <c r="M750" s="8" t="s">
        <v>2933</v>
      </c>
      <c r="N750" s="8" t="s">
        <v>2937</v>
      </c>
      <c r="O750" s="1" t="s">
        <v>2934</v>
      </c>
      <c r="P750">
        <v>30</v>
      </c>
      <c r="Q750">
        <v>30</v>
      </c>
      <c r="R750">
        <v>0</v>
      </c>
      <c r="S750">
        <f t="shared" si="107"/>
        <v>30</v>
      </c>
      <c r="T750" s="1" t="s">
        <v>2935</v>
      </c>
      <c r="U750" s="1" t="s">
        <v>2932</v>
      </c>
      <c r="V750" s="3">
        <f t="shared" si="108"/>
        <v>40000</v>
      </c>
      <c r="W750" s="3">
        <f t="shared" si="109"/>
        <v>16000</v>
      </c>
      <c r="X750" s="3">
        <f t="shared" si="101"/>
        <v>1250</v>
      </c>
      <c r="Y750" s="3">
        <f t="shared" si="102"/>
        <v>1600</v>
      </c>
      <c r="Z750" s="3">
        <f t="shared" si="103"/>
        <v>1800</v>
      </c>
      <c r="AA750" s="3">
        <v>0</v>
      </c>
      <c r="AB750" s="3">
        <f>ROUND(U750 - (V750+W750+X750+Y750) - (U750/Q750 * 2),0)</f>
        <v>34483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f>SUM(V750+W750+X750+Y750+AB750)</f>
        <v>93333</v>
      </c>
      <c r="AK750" s="3">
        <f>SUM(AJ750-AA750)</f>
        <v>93333</v>
      </c>
      <c r="AL750" s="3">
        <f>IF(V750&lt;=15000,V750*12%,1800)</f>
        <v>1800</v>
      </c>
      <c r="AM750" s="3">
        <v>0</v>
      </c>
      <c r="AN750" s="3">
        <f t="shared" si="104"/>
        <v>1800</v>
      </c>
      <c r="AO750" s="12">
        <v>200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3">
        <f t="shared" si="106"/>
        <v>200</v>
      </c>
      <c r="AV750" s="3">
        <f>SUM(AJ750 - AN750 - AU750)</f>
        <v>91333</v>
      </c>
      <c r="AW750" s="11">
        <v>0</v>
      </c>
      <c r="AX750" s="11">
        <v>0</v>
      </c>
      <c r="AY750" s="11">
        <v>0</v>
      </c>
      <c r="AZ750" s="11">
        <v>0</v>
      </c>
      <c r="BA750" s="3">
        <f t="shared" si="105"/>
        <v>91333</v>
      </c>
    </row>
    <row r="751" spans="1:53" x14ac:dyDescent="0.25">
      <c r="A751" s="1" t="s">
        <v>749</v>
      </c>
      <c r="B751" s="9" t="s">
        <v>2495</v>
      </c>
      <c r="C751" s="9" t="s">
        <v>1128</v>
      </c>
      <c r="D751" s="9" t="s">
        <v>2496</v>
      </c>
      <c r="E751" s="9" t="s">
        <v>1012</v>
      </c>
      <c r="F751" s="10">
        <v>45819</v>
      </c>
      <c r="G751" s="9" t="s">
        <v>1019</v>
      </c>
      <c r="I751" s="9" t="s">
        <v>1042</v>
      </c>
      <c r="J751" s="9" t="s">
        <v>1048</v>
      </c>
      <c r="K751" s="8" t="s">
        <v>1006</v>
      </c>
      <c r="L751" s="8" t="s">
        <v>1007</v>
      </c>
      <c r="M751" s="8" t="s">
        <v>2933</v>
      </c>
      <c r="N751" s="8" t="s">
        <v>2937</v>
      </c>
      <c r="O751" s="1" t="s">
        <v>2934</v>
      </c>
      <c r="P751">
        <v>30</v>
      </c>
      <c r="Q751">
        <v>30</v>
      </c>
      <c r="R751">
        <v>0</v>
      </c>
      <c r="S751">
        <f t="shared" si="107"/>
        <v>30</v>
      </c>
      <c r="T751" s="1" t="s">
        <v>2935</v>
      </c>
      <c r="U751" s="1" t="s">
        <v>2932</v>
      </c>
      <c r="V751" s="3">
        <f t="shared" si="108"/>
        <v>40000</v>
      </c>
      <c r="W751" s="3">
        <f t="shared" si="109"/>
        <v>16000</v>
      </c>
      <c r="X751" s="3">
        <f t="shared" si="101"/>
        <v>1250</v>
      </c>
      <c r="Y751" s="3">
        <f t="shared" si="102"/>
        <v>1600</v>
      </c>
      <c r="Z751" s="3">
        <f t="shared" si="103"/>
        <v>1800</v>
      </c>
      <c r="AA751" s="3">
        <v>0</v>
      </c>
      <c r="AB751" s="3">
        <f>ROUND(U751 - (V751+W751+X751+Y751) - (U751/Q751 * 2),0)</f>
        <v>34483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f>SUM(V751+W751+X751+Y751+AB751)</f>
        <v>93333</v>
      </c>
      <c r="AK751" s="3">
        <f>SUM(AJ751-AA751)</f>
        <v>93333</v>
      </c>
      <c r="AL751" s="3">
        <f>IF(V751&lt;=15000,V751*12%,1800)</f>
        <v>1800</v>
      </c>
      <c r="AM751" s="3">
        <v>0</v>
      </c>
      <c r="AN751" s="3">
        <f t="shared" si="104"/>
        <v>1800</v>
      </c>
      <c r="AO751" s="12">
        <v>200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3">
        <f t="shared" si="106"/>
        <v>200</v>
      </c>
      <c r="AV751" s="3">
        <f>SUM(AJ751 - AN751 - AU751)</f>
        <v>91333</v>
      </c>
      <c r="AW751" s="11">
        <v>0</v>
      </c>
      <c r="AX751" s="11">
        <v>0</v>
      </c>
      <c r="AY751" s="11">
        <v>0</v>
      </c>
      <c r="AZ751" s="11">
        <v>0</v>
      </c>
      <c r="BA751" s="3">
        <f t="shared" si="105"/>
        <v>91333</v>
      </c>
    </row>
    <row r="752" spans="1:53" x14ac:dyDescent="0.25">
      <c r="A752" s="1" t="s">
        <v>750</v>
      </c>
      <c r="B752" s="9" t="s">
        <v>2493</v>
      </c>
      <c r="C752" s="9" t="s">
        <v>1128</v>
      </c>
      <c r="D752" s="9" t="s">
        <v>2494</v>
      </c>
      <c r="E752" s="9" t="s">
        <v>1008</v>
      </c>
      <c r="F752" s="10">
        <v>45819</v>
      </c>
      <c r="G752" s="9" t="s">
        <v>1019</v>
      </c>
      <c r="I752" s="9" t="s">
        <v>1042</v>
      </c>
      <c r="J752" s="9" t="s">
        <v>1048</v>
      </c>
      <c r="K752" s="8" t="s">
        <v>1006</v>
      </c>
      <c r="L752" s="8" t="s">
        <v>1007</v>
      </c>
      <c r="M752" s="8" t="s">
        <v>2933</v>
      </c>
      <c r="N752" s="8" t="s">
        <v>2937</v>
      </c>
      <c r="O752" s="1" t="s">
        <v>2934</v>
      </c>
      <c r="P752">
        <v>30</v>
      </c>
      <c r="Q752">
        <v>30</v>
      </c>
      <c r="R752">
        <v>0</v>
      </c>
      <c r="S752">
        <f t="shared" si="107"/>
        <v>30</v>
      </c>
      <c r="T752" s="1" t="s">
        <v>2935</v>
      </c>
      <c r="U752" s="1" t="s">
        <v>2932</v>
      </c>
      <c r="V752" s="3">
        <f t="shared" si="108"/>
        <v>40000</v>
      </c>
      <c r="W752" s="3">
        <f t="shared" si="109"/>
        <v>16000</v>
      </c>
      <c r="X752" s="3">
        <f t="shared" si="101"/>
        <v>1250</v>
      </c>
      <c r="Y752" s="3">
        <f t="shared" si="102"/>
        <v>1600</v>
      </c>
      <c r="Z752" s="3">
        <f t="shared" si="103"/>
        <v>1800</v>
      </c>
      <c r="AA752" s="3">
        <v>0</v>
      </c>
      <c r="AB752" s="3">
        <f>ROUND(U752 - (V752+W752+X752+Y752) - (U752/Q752 * 2),0)</f>
        <v>34483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f>SUM(V752+W752+X752+Y752+AB752)</f>
        <v>93333</v>
      </c>
      <c r="AK752" s="3">
        <f>SUM(AJ752-AA752)</f>
        <v>93333</v>
      </c>
      <c r="AL752" s="3">
        <f>IF(V752&lt;=15000,V752*12%,1800)</f>
        <v>1800</v>
      </c>
      <c r="AM752" s="3">
        <v>0</v>
      </c>
      <c r="AN752" s="3">
        <f t="shared" si="104"/>
        <v>1800</v>
      </c>
      <c r="AO752" s="12">
        <v>200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3">
        <f t="shared" si="106"/>
        <v>200</v>
      </c>
      <c r="AV752" s="3">
        <f>SUM(AJ752 - AN752 - AU752)</f>
        <v>91333</v>
      </c>
      <c r="AW752" s="11">
        <v>0</v>
      </c>
      <c r="AX752" s="11">
        <v>0</v>
      </c>
      <c r="AY752" s="11">
        <v>0</v>
      </c>
      <c r="AZ752" s="11">
        <v>0</v>
      </c>
      <c r="BA752" s="3">
        <f t="shared" si="105"/>
        <v>91333</v>
      </c>
    </row>
    <row r="753" spans="1:53" x14ac:dyDescent="0.25">
      <c r="A753" s="1" t="s">
        <v>751</v>
      </c>
      <c r="B753" s="9" t="s">
        <v>2491</v>
      </c>
      <c r="C753" s="9" t="s">
        <v>1128</v>
      </c>
      <c r="D753" s="9" t="s">
        <v>2492</v>
      </c>
      <c r="E753" s="9" t="s">
        <v>1008</v>
      </c>
      <c r="F753" s="10">
        <v>45819</v>
      </c>
      <c r="G753" s="9" t="s">
        <v>1013</v>
      </c>
      <c r="I753" s="9" t="s">
        <v>1042</v>
      </c>
      <c r="J753" s="9" t="s">
        <v>1048</v>
      </c>
      <c r="K753" s="8" t="s">
        <v>1006</v>
      </c>
      <c r="L753" s="8" t="s">
        <v>1007</v>
      </c>
      <c r="M753" s="8" t="s">
        <v>2933</v>
      </c>
      <c r="N753" s="8" t="s">
        <v>2937</v>
      </c>
      <c r="O753" s="1" t="s">
        <v>2934</v>
      </c>
      <c r="P753">
        <v>30</v>
      </c>
      <c r="Q753">
        <v>30</v>
      </c>
      <c r="R753">
        <v>0</v>
      </c>
      <c r="S753">
        <f t="shared" si="107"/>
        <v>30</v>
      </c>
      <c r="T753" s="1" t="s">
        <v>2935</v>
      </c>
      <c r="U753" s="1" t="s">
        <v>2932</v>
      </c>
      <c r="V753" s="3">
        <f t="shared" si="108"/>
        <v>40000</v>
      </c>
      <c r="W753" s="3">
        <f t="shared" si="109"/>
        <v>16000</v>
      </c>
      <c r="X753" s="3">
        <f t="shared" si="101"/>
        <v>1250</v>
      </c>
      <c r="Y753" s="3">
        <f t="shared" si="102"/>
        <v>1600</v>
      </c>
      <c r="Z753" s="3">
        <f t="shared" si="103"/>
        <v>1800</v>
      </c>
      <c r="AA753" s="3">
        <v>0</v>
      </c>
      <c r="AB753" s="3">
        <f>ROUND(U753 - (V753+W753+X753+Y753) - (U753/Q753 * 2),0)</f>
        <v>34483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f>SUM(V753+W753+X753+Y753+AB753)</f>
        <v>93333</v>
      </c>
      <c r="AK753" s="3">
        <f>SUM(AJ753-AA753)</f>
        <v>93333</v>
      </c>
      <c r="AL753" s="3">
        <f>IF(V753&lt;=15000,V753*12%,1800)</f>
        <v>1800</v>
      </c>
      <c r="AM753" s="3">
        <v>0</v>
      </c>
      <c r="AN753" s="3">
        <f t="shared" si="104"/>
        <v>1800</v>
      </c>
      <c r="AO753" s="12">
        <v>200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3">
        <f t="shared" si="106"/>
        <v>200</v>
      </c>
      <c r="AV753" s="3">
        <f>SUM(AJ753 - AN753 - AU753)</f>
        <v>91333</v>
      </c>
      <c r="AW753" s="11">
        <v>0</v>
      </c>
      <c r="AX753" s="11">
        <v>0</v>
      </c>
      <c r="AY753" s="11">
        <v>0</v>
      </c>
      <c r="AZ753" s="11">
        <v>0</v>
      </c>
      <c r="BA753" s="3">
        <f t="shared" si="105"/>
        <v>91333</v>
      </c>
    </row>
    <row r="754" spans="1:53" x14ac:dyDescent="0.25">
      <c r="A754" s="1" t="s">
        <v>752</v>
      </c>
      <c r="B754" s="9" t="s">
        <v>2489</v>
      </c>
      <c r="C754" s="9" t="s">
        <v>1128</v>
      </c>
      <c r="D754" s="9" t="s">
        <v>2490</v>
      </c>
      <c r="E754" s="9" t="s">
        <v>1008</v>
      </c>
      <c r="F754" s="10">
        <v>45819</v>
      </c>
      <c r="G754" s="9" t="s">
        <v>1019</v>
      </c>
      <c r="I754" s="9" t="s">
        <v>1042</v>
      </c>
      <c r="J754" s="9" t="s">
        <v>1048</v>
      </c>
      <c r="K754" s="8" t="s">
        <v>1006</v>
      </c>
      <c r="L754" s="8" t="s">
        <v>1007</v>
      </c>
      <c r="M754" s="8" t="s">
        <v>2933</v>
      </c>
      <c r="N754" s="8" t="s">
        <v>2937</v>
      </c>
      <c r="O754" s="1" t="s">
        <v>2934</v>
      </c>
      <c r="P754">
        <v>30</v>
      </c>
      <c r="Q754">
        <v>30</v>
      </c>
      <c r="R754">
        <v>0</v>
      </c>
      <c r="S754">
        <f t="shared" si="107"/>
        <v>30</v>
      </c>
      <c r="T754" s="1" t="s">
        <v>2935</v>
      </c>
      <c r="U754" s="1" t="s">
        <v>2932</v>
      </c>
      <c r="V754" s="3">
        <f t="shared" si="108"/>
        <v>40000</v>
      </c>
      <c r="W754" s="3">
        <f t="shared" si="109"/>
        <v>16000</v>
      </c>
      <c r="X754" s="3">
        <f t="shared" si="101"/>
        <v>1250</v>
      </c>
      <c r="Y754" s="3">
        <f t="shared" si="102"/>
        <v>1600</v>
      </c>
      <c r="Z754" s="3">
        <f t="shared" si="103"/>
        <v>1800</v>
      </c>
      <c r="AA754" s="3">
        <v>0</v>
      </c>
      <c r="AB754" s="3">
        <f>ROUND(U754 - (V754+W754+X754+Y754) - (U754/Q754 * 2),0)</f>
        <v>34483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f>SUM(V754+W754+X754+Y754+AB754)</f>
        <v>93333</v>
      </c>
      <c r="AK754" s="3">
        <f>SUM(AJ754-AA754)</f>
        <v>93333</v>
      </c>
      <c r="AL754" s="3">
        <f>IF(V754&lt;=15000,V754*12%,1800)</f>
        <v>1800</v>
      </c>
      <c r="AM754" s="3">
        <v>0</v>
      </c>
      <c r="AN754" s="3">
        <f t="shared" si="104"/>
        <v>1800</v>
      </c>
      <c r="AO754" s="12">
        <v>200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3">
        <f t="shared" si="106"/>
        <v>200</v>
      </c>
      <c r="AV754" s="3">
        <f>SUM(AJ754 - AN754 - AU754)</f>
        <v>91333</v>
      </c>
      <c r="AW754" s="11">
        <v>0</v>
      </c>
      <c r="AX754" s="11">
        <v>0</v>
      </c>
      <c r="AY754" s="11">
        <v>0</v>
      </c>
      <c r="AZ754" s="11">
        <v>0</v>
      </c>
      <c r="BA754" s="3">
        <f t="shared" si="105"/>
        <v>91333</v>
      </c>
    </row>
    <row r="755" spans="1:53" x14ac:dyDescent="0.25">
      <c r="A755" s="1" t="s">
        <v>753</v>
      </c>
      <c r="B755" s="9" t="s">
        <v>2487</v>
      </c>
      <c r="C755" s="9" t="s">
        <v>1128</v>
      </c>
      <c r="D755" s="9" t="s">
        <v>2488</v>
      </c>
      <c r="E755" s="9" t="s">
        <v>1008</v>
      </c>
      <c r="F755" s="10">
        <v>45824</v>
      </c>
      <c r="G755" s="9" t="s">
        <v>1019</v>
      </c>
      <c r="I755" s="9" t="s">
        <v>1042</v>
      </c>
      <c r="J755" s="9" t="s">
        <v>1048</v>
      </c>
      <c r="K755" s="8" t="s">
        <v>1006</v>
      </c>
      <c r="L755" s="8" t="s">
        <v>1007</v>
      </c>
      <c r="M755" s="8" t="s">
        <v>2933</v>
      </c>
      <c r="N755" s="8" t="s">
        <v>2937</v>
      </c>
      <c r="O755" s="1" t="s">
        <v>2934</v>
      </c>
      <c r="P755">
        <v>30</v>
      </c>
      <c r="Q755">
        <v>30</v>
      </c>
      <c r="R755">
        <v>0</v>
      </c>
      <c r="S755">
        <f t="shared" si="107"/>
        <v>30</v>
      </c>
      <c r="T755" s="1" t="s">
        <v>2935</v>
      </c>
      <c r="U755" s="1" t="s">
        <v>2932</v>
      </c>
      <c r="V755" s="3">
        <f t="shared" si="108"/>
        <v>40000</v>
      </c>
      <c r="W755" s="3">
        <f t="shared" si="109"/>
        <v>16000</v>
      </c>
      <c r="X755" s="3">
        <f t="shared" si="101"/>
        <v>1250</v>
      </c>
      <c r="Y755" s="3">
        <f t="shared" si="102"/>
        <v>1600</v>
      </c>
      <c r="Z755" s="3">
        <f t="shared" si="103"/>
        <v>1800</v>
      </c>
      <c r="AA755" s="3">
        <v>0</v>
      </c>
      <c r="AB755" s="3">
        <f>ROUND(U755 - (V755+W755+X755+Y755) - (U755/Q755 * 2),0)</f>
        <v>34483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f>SUM(V755+W755+X755+Y755+AB755)</f>
        <v>93333</v>
      </c>
      <c r="AK755" s="3">
        <f>SUM(AJ755-AA755)</f>
        <v>93333</v>
      </c>
      <c r="AL755" s="3">
        <f>IF(V755&lt;=15000,V755*12%,1800)</f>
        <v>1800</v>
      </c>
      <c r="AM755" s="3">
        <v>0</v>
      </c>
      <c r="AN755" s="3">
        <f t="shared" si="104"/>
        <v>1800</v>
      </c>
      <c r="AO755" s="12">
        <v>200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3">
        <f t="shared" si="106"/>
        <v>200</v>
      </c>
      <c r="AV755" s="3">
        <f>SUM(AJ755 - AN755 - AU755)</f>
        <v>91333</v>
      </c>
      <c r="AW755" s="11">
        <v>0</v>
      </c>
      <c r="AX755" s="11">
        <v>0</v>
      </c>
      <c r="AY755" s="11">
        <v>0</v>
      </c>
      <c r="AZ755" s="11">
        <v>0</v>
      </c>
      <c r="BA755" s="3">
        <f t="shared" si="105"/>
        <v>91333</v>
      </c>
    </row>
    <row r="756" spans="1:53" x14ac:dyDescent="0.25">
      <c r="A756" s="1" t="s">
        <v>754</v>
      </c>
      <c r="B756" s="9" t="s">
        <v>2485</v>
      </c>
      <c r="C756" s="9" t="s">
        <v>1128</v>
      </c>
      <c r="D756" s="9" t="s">
        <v>2486</v>
      </c>
      <c r="E756" s="9" t="s">
        <v>1008</v>
      </c>
      <c r="F756" s="10">
        <v>45824</v>
      </c>
      <c r="G756" s="9" t="s">
        <v>1013</v>
      </c>
      <c r="I756" s="9" t="s">
        <v>1035</v>
      </c>
      <c r="J756" s="9" t="s">
        <v>1048</v>
      </c>
      <c r="K756" s="8" t="s">
        <v>1006</v>
      </c>
      <c r="L756" s="8" t="s">
        <v>1007</v>
      </c>
      <c r="M756" s="8" t="s">
        <v>2933</v>
      </c>
      <c r="N756" s="8" t="s">
        <v>2937</v>
      </c>
      <c r="O756" s="1" t="s">
        <v>2934</v>
      </c>
      <c r="P756">
        <v>30</v>
      </c>
      <c r="Q756">
        <v>30</v>
      </c>
      <c r="R756">
        <v>0</v>
      </c>
      <c r="S756">
        <f t="shared" si="107"/>
        <v>30</v>
      </c>
      <c r="T756" s="1" t="s">
        <v>2935</v>
      </c>
      <c r="U756" s="1" t="s">
        <v>2932</v>
      </c>
      <c r="V756" s="3">
        <f t="shared" si="108"/>
        <v>40000</v>
      </c>
      <c r="W756" s="3">
        <f t="shared" si="109"/>
        <v>16000</v>
      </c>
      <c r="X756" s="3">
        <f t="shared" si="101"/>
        <v>1250</v>
      </c>
      <c r="Y756" s="3">
        <f t="shared" si="102"/>
        <v>1600</v>
      </c>
      <c r="Z756" s="3">
        <f t="shared" si="103"/>
        <v>1800</v>
      </c>
      <c r="AA756" s="3">
        <v>0</v>
      </c>
      <c r="AB756" s="3">
        <f>ROUND(U756 - (V756+W756+X756+Y756) - (U756/Q756 * 2),0)</f>
        <v>34483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f>SUM(V756+W756+X756+Y756+AB756)</f>
        <v>93333</v>
      </c>
      <c r="AK756" s="3">
        <f>SUM(AJ756-AA756)</f>
        <v>93333</v>
      </c>
      <c r="AL756" s="3">
        <f>IF(V756&lt;=15000,V756*12%,1800)</f>
        <v>1800</v>
      </c>
      <c r="AM756" s="3">
        <v>0</v>
      </c>
      <c r="AN756" s="3">
        <f t="shared" si="104"/>
        <v>1800</v>
      </c>
      <c r="AO756" s="12">
        <v>200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3">
        <f t="shared" si="106"/>
        <v>200</v>
      </c>
      <c r="AV756" s="3">
        <f>SUM(AJ756 - AN756 - AU756)</f>
        <v>91333</v>
      </c>
      <c r="AW756" s="11">
        <v>0</v>
      </c>
      <c r="AX756" s="11">
        <v>0</v>
      </c>
      <c r="AY756" s="11">
        <v>0</v>
      </c>
      <c r="AZ756" s="11">
        <v>0</v>
      </c>
      <c r="BA756" s="3">
        <f t="shared" si="105"/>
        <v>91333</v>
      </c>
    </row>
    <row r="757" spans="1:53" x14ac:dyDescent="0.25">
      <c r="A757" s="1" t="s">
        <v>755</v>
      </c>
      <c r="B757" s="9" t="s">
        <v>2483</v>
      </c>
      <c r="C757" s="9" t="s">
        <v>1128</v>
      </c>
      <c r="D757" s="9" t="s">
        <v>2484</v>
      </c>
      <c r="E757" s="9" t="s">
        <v>1008</v>
      </c>
      <c r="F757" s="10">
        <v>45824</v>
      </c>
      <c r="G757" s="9" t="s">
        <v>1019</v>
      </c>
      <c r="I757" s="9" t="s">
        <v>1035</v>
      </c>
      <c r="J757" s="9" t="s">
        <v>1048</v>
      </c>
      <c r="K757" s="8" t="s">
        <v>1006</v>
      </c>
      <c r="L757" s="8" t="s">
        <v>1007</v>
      </c>
      <c r="M757" s="8" t="s">
        <v>2933</v>
      </c>
      <c r="N757" s="8" t="s">
        <v>2937</v>
      </c>
      <c r="O757" s="1" t="s">
        <v>2934</v>
      </c>
      <c r="P757">
        <v>30</v>
      </c>
      <c r="Q757">
        <v>30</v>
      </c>
      <c r="R757">
        <v>0</v>
      </c>
      <c r="S757">
        <f t="shared" si="107"/>
        <v>30</v>
      </c>
      <c r="T757" s="1" t="s">
        <v>2935</v>
      </c>
      <c r="U757" s="1" t="s">
        <v>2932</v>
      </c>
      <c r="V757" s="3">
        <f t="shared" si="108"/>
        <v>40000</v>
      </c>
      <c r="W757" s="3">
        <f t="shared" si="109"/>
        <v>16000</v>
      </c>
      <c r="X757" s="3">
        <f t="shared" si="101"/>
        <v>1250</v>
      </c>
      <c r="Y757" s="3">
        <f t="shared" si="102"/>
        <v>1600</v>
      </c>
      <c r="Z757" s="3">
        <f t="shared" si="103"/>
        <v>1800</v>
      </c>
      <c r="AA757" s="3">
        <v>0</v>
      </c>
      <c r="AB757" s="3">
        <f>ROUND(U757 - (V757+W757+X757+Y757) - (U757/Q757 * 2),0)</f>
        <v>34483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f>SUM(V757+W757+X757+Y757+AB757)</f>
        <v>93333</v>
      </c>
      <c r="AK757" s="3">
        <f>SUM(AJ757-AA757)</f>
        <v>93333</v>
      </c>
      <c r="AL757" s="3">
        <f>IF(V757&lt;=15000,V757*12%,1800)</f>
        <v>1800</v>
      </c>
      <c r="AM757" s="3">
        <v>0</v>
      </c>
      <c r="AN757" s="3">
        <f t="shared" si="104"/>
        <v>1800</v>
      </c>
      <c r="AO757" s="12">
        <v>200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3">
        <f t="shared" si="106"/>
        <v>200</v>
      </c>
      <c r="AV757" s="3">
        <f>SUM(AJ757 - AN757 - AU757)</f>
        <v>91333</v>
      </c>
      <c r="AW757" s="11">
        <v>0</v>
      </c>
      <c r="AX757" s="11">
        <v>0</v>
      </c>
      <c r="AY757" s="11">
        <v>0</v>
      </c>
      <c r="AZ757" s="11">
        <v>0</v>
      </c>
      <c r="BA757" s="3">
        <f t="shared" si="105"/>
        <v>91333</v>
      </c>
    </row>
    <row r="758" spans="1:53" x14ac:dyDescent="0.25">
      <c r="A758" s="1" t="s">
        <v>756</v>
      </c>
      <c r="B758" s="9" t="s">
        <v>2481</v>
      </c>
      <c r="C758" s="9" t="s">
        <v>1128</v>
      </c>
      <c r="D758" s="9" t="s">
        <v>2482</v>
      </c>
      <c r="E758" s="9" t="s">
        <v>1008</v>
      </c>
      <c r="F758" s="10">
        <v>45819</v>
      </c>
      <c r="G758" s="9" t="s">
        <v>1013</v>
      </c>
      <c r="I758" s="9" t="s">
        <v>1042</v>
      </c>
      <c r="J758" s="9" t="s">
        <v>1048</v>
      </c>
      <c r="K758" s="8" t="s">
        <v>1006</v>
      </c>
      <c r="L758" s="8" t="s">
        <v>1007</v>
      </c>
      <c r="M758" s="8" t="s">
        <v>2933</v>
      </c>
      <c r="N758" s="8" t="s">
        <v>2937</v>
      </c>
      <c r="O758" s="1" t="s">
        <v>2934</v>
      </c>
      <c r="P758">
        <v>30</v>
      </c>
      <c r="Q758">
        <v>30</v>
      </c>
      <c r="R758">
        <v>0</v>
      </c>
      <c r="S758">
        <f t="shared" si="107"/>
        <v>30</v>
      </c>
      <c r="T758" s="1" t="s">
        <v>2935</v>
      </c>
      <c r="U758" s="1" t="s">
        <v>2932</v>
      </c>
      <c r="V758" s="3">
        <f t="shared" si="108"/>
        <v>40000</v>
      </c>
      <c r="W758" s="3">
        <f t="shared" si="109"/>
        <v>16000</v>
      </c>
      <c r="X758" s="3">
        <f t="shared" si="101"/>
        <v>1250</v>
      </c>
      <c r="Y758" s="3">
        <f t="shared" si="102"/>
        <v>1600</v>
      </c>
      <c r="Z758" s="3">
        <f t="shared" si="103"/>
        <v>1800</v>
      </c>
      <c r="AA758" s="3">
        <v>0</v>
      </c>
      <c r="AB758" s="3">
        <f>ROUND(U758 - (V758+W758+X758+Y758) - (U758/Q758 * 2),0)</f>
        <v>34483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f>SUM(V758+W758+X758+Y758+AB758)</f>
        <v>93333</v>
      </c>
      <c r="AK758" s="3">
        <f>SUM(AJ758-AA758)</f>
        <v>93333</v>
      </c>
      <c r="AL758" s="3">
        <f>IF(V758&lt;=15000,V758*12%,1800)</f>
        <v>1800</v>
      </c>
      <c r="AM758" s="3">
        <v>0</v>
      </c>
      <c r="AN758" s="3">
        <f t="shared" si="104"/>
        <v>1800</v>
      </c>
      <c r="AO758" s="12">
        <v>200</v>
      </c>
      <c r="AP758" s="12">
        <v>0</v>
      </c>
      <c r="AQ758" s="12">
        <v>0</v>
      </c>
      <c r="AR758" s="12">
        <v>0</v>
      </c>
      <c r="AS758" s="12">
        <v>0</v>
      </c>
      <c r="AT758" s="12">
        <v>0</v>
      </c>
      <c r="AU758" s="3">
        <f t="shared" si="106"/>
        <v>200</v>
      </c>
      <c r="AV758" s="3">
        <f>SUM(AJ758 - AN758 - AU758)</f>
        <v>91333</v>
      </c>
      <c r="AW758" s="11">
        <v>0</v>
      </c>
      <c r="AX758" s="11">
        <v>0</v>
      </c>
      <c r="AY758" s="11">
        <v>0</v>
      </c>
      <c r="AZ758" s="11">
        <v>0</v>
      </c>
      <c r="BA758" s="3">
        <f t="shared" si="105"/>
        <v>91333</v>
      </c>
    </row>
    <row r="759" spans="1:53" x14ac:dyDescent="0.25">
      <c r="A759" s="1" t="s">
        <v>757</v>
      </c>
      <c r="B759" s="9" t="s">
        <v>2479</v>
      </c>
      <c r="C759" s="9" t="s">
        <v>1128</v>
      </c>
      <c r="D759" s="9" t="s">
        <v>2480</v>
      </c>
      <c r="E759" s="9" t="s">
        <v>1008</v>
      </c>
      <c r="F759" s="10">
        <v>45831</v>
      </c>
      <c r="G759" s="9" t="s">
        <v>1019</v>
      </c>
      <c r="I759" s="9" t="s">
        <v>1042</v>
      </c>
      <c r="J759" s="9" t="s">
        <v>1048</v>
      </c>
      <c r="K759" s="8" t="s">
        <v>1006</v>
      </c>
      <c r="L759" s="8" t="s">
        <v>1007</v>
      </c>
      <c r="M759" s="8" t="s">
        <v>2933</v>
      </c>
      <c r="N759" s="8" t="s">
        <v>2937</v>
      </c>
      <c r="O759" s="1" t="s">
        <v>2934</v>
      </c>
      <c r="P759">
        <v>30</v>
      </c>
      <c r="Q759">
        <v>30</v>
      </c>
      <c r="R759">
        <v>0</v>
      </c>
      <c r="S759">
        <f t="shared" si="107"/>
        <v>30</v>
      </c>
      <c r="T759" s="1" t="s">
        <v>2935</v>
      </c>
      <c r="U759" s="1" t="s">
        <v>2932</v>
      </c>
      <c r="V759" s="3">
        <f t="shared" si="108"/>
        <v>40000</v>
      </c>
      <c r="W759" s="3">
        <f t="shared" si="109"/>
        <v>16000</v>
      </c>
      <c r="X759" s="3">
        <f t="shared" si="101"/>
        <v>1250</v>
      </c>
      <c r="Y759" s="3">
        <f t="shared" si="102"/>
        <v>1600</v>
      </c>
      <c r="Z759" s="3">
        <f t="shared" si="103"/>
        <v>1800</v>
      </c>
      <c r="AA759" s="3">
        <v>0</v>
      </c>
      <c r="AB759" s="3">
        <f>ROUND(U759 - (V759+W759+X759+Y759) - (U759/Q759 * 2),0)</f>
        <v>34483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f>SUM(V759+W759+X759+Y759+AB759)</f>
        <v>93333</v>
      </c>
      <c r="AK759" s="3">
        <f>SUM(AJ759-AA759)</f>
        <v>93333</v>
      </c>
      <c r="AL759" s="3">
        <f>IF(V759&lt;=15000,V759*12%,1800)</f>
        <v>1800</v>
      </c>
      <c r="AM759" s="3">
        <v>0</v>
      </c>
      <c r="AN759" s="3">
        <f t="shared" si="104"/>
        <v>1800</v>
      </c>
      <c r="AO759" s="12">
        <v>200</v>
      </c>
      <c r="AP759" s="12">
        <v>0</v>
      </c>
      <c r="AQ759" s="12">
        <v>0</v>
      </c>
      <c r="AR759" s="12">
        <v>0</v>
      </c>
      <c r="AS759" s="12">
        <v>0</v>
      </c>
      <c r="AT759" s="12">
        <v>0</v>
      </c>
      <c r="AU759" s="3">
        <f t="shared" si="106"/>
        <v>200</v>
      </c>
      <c r="AV759" s="3">
        <f>SUM(AJ759 - AN759 - AU759)</f>
        <v>91333</v>
      </c>
      <c r="AW759" s="11">
        <v>0</v>
      </c>
      <c r="AX759" s="11">
        <v>0</v>
      </c>
      <c r="AY759" s="11">
        <v>0</v>
      </c>
      <c r="AZ759" s="11">
        <v>0</v>
      </c>
      <c r="BA759" s="3">
        <f t="shared" si="105"/>
        <v>91333</v>
      </c>
    </row>
    <row r="760" spans="1:53" x14ac:dyDescent="0.25">
      <c r="A760" s="1" t="s">
        <v>758</v>
      </c>
      <c r="B760" s="9" t="s">
        <v>2477</v>
      </c>
      <c r="C760" s="9" t="s">
        <v>1063</v>
      </c>
      <c r="D760" s="9" t="s">
        <v>2478</v>
      </c>
      <c r="E760" s="9" t="s">
        <v>1012</v>
      </c>
      <c r="F760" s="10">
        <v>45824</v>
      </c>
      <c r="G760" s="9" t="s">
        <v>1019</v>
      </c>
      <c r="I760" s="9" t="s">
        <v>1014</v>
      </c>
      <c r="J760" s="9" t="s">
        <v>1015</v>
      </c>
      <c r="K760" s="8" t="s">
        <v>1006</v>
      </c>
      <c r="L760" s="8" t="s">
        <v>1007</v>
      </c>
      <c r="M760" s="8" t="s">
        <v>2933</v>
      </c>
      <c r="N760" s="8" t="s">
        <v>2937</v>
      </c>
      <c r="O760" s="1" t="s">
        <v>2934</v>
      </c>
      <c r="P760">
        <v>30</v>
      </c>
      <c r="Q760">
        <v>30</v>
      </c>
      <c r="R760">
        <v>0</v>
      </c>
      <c r="S760">
        <f t="shared" si="107"/>
        <v>30</v>
      </c>
      <c r="T760" s="1" t="s">
        <v>2935</v>
      </c>
      <c r="U760" s="1" t="s">
        <v>2932</v>
      </c>
      <c r="V760" s="3">
        <f t="shared" si="108"/>
        <v>40000</v>
      </c>
      <c r="W760" s="3">
        <f t="shared" si="109"/>
        <v>16000</v>
      </c>
      <c r="X760" s="3">
        <f t="shared" si="101"/>
        <v>1250</v>
      </c>
      <c r="Y760" s="3">
        <f t="shared" si="102"/>
        <v>1600</v>
      </c>
      <c r="Z760" s="3">
        <f t="shared" si="103"/>
        <v>1800</v>
      </c>
      <c r="AA760" s="3">
        <v>0</v>
      </c>
      <c r="AB760" s="3">
        <f>ROUND(U760 - (V760+W760+X760+Y760) - (U760/Q760 * 2),0)</f>
        <v>34483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f>SUM(V760+W760+X760+Y760+AB760)</f>
        <v>93333</v>
      </c>
      <c r="AK760" s="3">
        <f>SUM(AJ760-AA760)</f>
        <v>93333</v>
      </c>
      <c r="AL760" s="3">
        <f>IF(V760&lt;=15000,V760*12%,1800)</f>
        <v>1800</v>
      </c>
      <c r="AM760" s="3">
        <v>0</v>
      </c>
      <c r="AN760" s="3">
        <f t="shared" si="104"/>
        <v>1800</v>
      </c>
      <c r="AO760" s="12">
        <v>200</v>
      </c>
      <c r="AP760" s="12">
        <v>0</v>
      </c>
      <c r="AQ760" s="12">
        <v>0</v>
      </c>
      <c r="AR760" s="12">
        <v>0</v>
      </c>
      <c r="AS760" s="12">
        <v>0</v>
      </c>
      <c r="AT760" s="12">
        <v>0</v>
      </c>
      <c r="AU760" s="3">
        <f t="shared" si="106"/>
        <v>200</v>
      </c>
      <c r="AV760" s="3">
        <f>SUM(AJ760 - AN760 - AU760)</f>
        <v>91333</v>
      </c>
      <c r="AW760" s="11">
        <v>0</v>
      </c>
      <c r="AX760" s="11">
        <v>0</v>
      </c>
      <c r="AY760" s="11">
        <v>0</v>
      </c>
      <c r="AZ760" s="11">
        <v>0</v>
      </c>
      <c r="BA760" s="3">
        <f t="shared" si="105"/>
        <v>91333</v>
      </c>
    </row>
    <row r="761" spans="1:53" x14ac:dyDescent="0.25">
      <c r="A761" s="1" t="s">
        <v>759</v>
      </c>
      <c r="B761" s="9" t="s">
        <v>2475</v>
      </c>
      <c r="C761" s="9" t="s">
        <v>1169</v>
      </c>
      <c r="D761" s="9" t="s">
        <v>2476</v>
      </c>
      <c r="E761" s="9" t="s">
        <v>1008</v>
      </c>
      <c r="F761" s="10">
        <v>45824</v>
      </c>
      <c r="G761" s="9" t="s">
        <v>1019</v>
      </c>
      <c r="I761" s="9" t="s">
        <v>1020</v>
      </c>
      <c r="J761" s="9" t="s">
        <v>1171</v>
      </c>
      <c r="K761" s="8" t="s">
        <v>1006</v>
      </c>
      <c r="L761" s="8" t="s">
        <v>1007</v>
      </c>
      <c r="M761" s="8" t="s">
        <v>2933</v>
      </c>
      <c r="N761" s="8" t="s">
        <v>2937</v>
      </c>
      <c r="O761" s="1" t="s">
        <v>2934</v>
      </c>
      <c r="P761">
        <v>30</v>
      </c>
      <c r="Q761">
        <v>30</v>
      </c>
      <c r="R761">
        <v>0</v>
      </c>
      <c r="S761">
        <f t="shared" si="107"/>
        <v>30</v>
      </c>
      <c r="T761" s="1" t="s">
        <v>2935</v>
      </c>
      <c r="U761" s="1" t="s">
        <v>2932</v>
      </c>
      <c r="V761" s="3">
        <f t="shared" si="108"/>
        <v>40000</v>
      </c>
      <c r="W761" s="3">
        <f t="shared" si="109"/>
        <v>16000</v>
      </c>
      <c r="X761" s="3">
        <f t="shared" si="101"/>
        <v>1250</v>
      </c>
      <c r="Y761" s="3">
        <f t="shared" si="102"/>
        <v>1600</v>
      </c>
      <c r="Z761" s="3">
        <f t="shared" si="103"/>
        <v>1800</v>
      </c>
      <c r="AA761" s="3">
        <v>0</v>
      </c>
      <c r="AB761" s="3">
        <f>ROUND(U761 - (V761+W761+X761+Y761) - (U761/Q761 * 2),0)</f>
        <v>34483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f>SUM(V761+W761+X761+Y761+AB761)</f>
        <v>93333</v>
      </c>
      <c r="AK761" s="3">
        <f>SUM(AJ761-AA761)</f>
        <v>93333</v>
      </c>
      <c r="AL761" s="3">
        <f>IF(V761&lt;=15000,V761*12%,1800)</f>
        <v>1800</v>
      </c>
      <c r="AM761" s="3">
        <v>0</v>
      </c>
      <c r="AN761" s="3">
        <f t="shared" si="104"/>
        <v>1800</v>
      </c>
      <c r="AO761" s="12">
        <v>200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3">
        <f t="shared" si="106"/>
        <v>200</v>
      </c>
      <c r="AV761" s="3">
        <f>SUM(AJ761 - AN761 - AU761)</f>
        <v>91333</v>
      </c>
      <c r="AW761" s="11">
        <v>0</v>
      </c>
      <c r="AX761" s="11">
        <v>0</v>
      </c>
      <c r="AY761" s="11">
        <v>0</v>
      </c>
      <c r="AZ761" s="11">
        <v>0</v>
      </c>
      <c r="BA761" s="3">
        <f t="shared" si="105"/>
        <v>91333</v>
      </c>
    </row>
    <row r="762" spans="1:53" x14ac:dyDescent="0.25">
      <c r="A762" s="1" t="s">
        <v>760</v>
      </c>
      <c r="B762" s="9" t="s">
        <v>2472</v>
      </c>
      <c r="C762" s="9" t="s">
        <v>1010</v>
      </c>
      <c r="D762" s="9" t="s">
        <v>2474</v>
      </c>
      <c r="E762" s="9" t="s">
        <v>1008</v>
      </c>
      <c r="F762" s="10">
        <v>45824</v>
      </c>
      <c r="G762" s="9" t="s">
        <v>1013</v>
      </c>
      <c r="I762" s="9" t="s">
        <v>1014</v>
      </c>
      <c r="J762" s="9" t="s">
        <v>1015</v>
      </c>
      <c r="K762" s="8" t="s">
        <v>1006</v>
      </c>
      <c r="L762" s="8" t="s">
        <v>1007</v>
      </c>
      <c r="M762" s="8" t="s">
        <v>2933</v>
      </c>
      <c r="N762" s="8" t="s">
        <v>2937</v>
      </c>
      <c r="O762" s="1" t="s">
        <v>2934</v>
      </c>
      <c r="P762">
        <v>30</v>
      </c>
      <c r="Q762">
        <v>30</v>
      </c>
      <c r="R762">
        <v>0</v>
      </c>
      <c r="S762">
        <f t="shared" si="107"/>
        <v>30</v>
      </c>
      <c r="T762" s="1" t="s">
        <v>2935</v>
      </c>
      <c r="U762" s="1" t="s">
        <v>2932</v>
      </c>
      <c r="V762" s="3">
        <f t="shared" si="108"/>
        <v>40000</v>
      </c>
      <c r="W762" s="3">
        <f t="shared" si="109"/>
        <v>16000</v>
      </c>
      <c r="X762" s="3">
        <f t="shared" si="101"/>
        <v>1250</v>
      </c>
      <c r="Y762" s="3">
        <f t="shared" si="102"/>
        <v>1600</v>
      </c>
      <c r="Z762" s="3">
        <f t="shared" si="103"/>
        <v>1800</v>
      </c>
      <c r="AA762" s="3">
        <v>0</v>
      </c>
      <c r="AB762" s="3">
        <f>ROUND(U762 - (V762+W762+X762+Y762) - (U762/Q762 * 2),0)</f>
        <v>34483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f>SUM(V762+W762+X762+Y762+AB762)</f>
        <v>93333</v>
      </c>
      <c r="AK762" s="3">
        <f>SUM(AJ762-AA762)</f>
        <v>93333</v>
      </c>
      <c r="AL762" s="3">
        <f>IF(V762&lt;=15000,V762*12%,1800)</f>
        <v>1800</v>
      </c>
      <c r="AM762" s="3">
        <v>0</v>
      </c>
      <c r="AN762" s="3">
        <f t="shared" si="104"/>
        <v>1800</v>
      </c>
      <c r="AO762" s="12">
        <v>200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3">
        <f t="shared" si="106"/>
        <v>200</v>
      </c>
      <c r="AV762" s="3">
        <f>SUM(AJ762 - AN762 - AU762)</f>
        <v>91333</v>
      </c>
      <c r="AW762" s="11">
        <v>0</v>
      </c>
      <c r="AX762" s="11">
        <v>0</v>
      </c>
      <c r="AY762" s="11">
        <v>0</v>
      </c>
      <c r="AZ762" s="11">
        <v>0</v>
      </c>
      <c r="BA762" s="3">
        <f t="shared" si="105"/>
        <v>91333</v>
      </c>
    </row>
    <row r="763" spans="1:53" x14ac:dyDescent="0.25">
      <c r="A763" s="1" t="s">
        <v>761</v>
      </c>
      <c r="B763" s="9" t="s">
        <v>2472</v>
      </c>
      <c r="C763" s="9" t="s">
        <v>1010</v>
      </c>
      <c r="D763" s="9" t="s">
        <v>2473</v>
      </c>
      <c r="E763" s="9" t="s">
        <v>1008</v>
      </c>
      <c r="F763" s="10">
        <v>45826</v>
      </c>
      <c r="G763" s="9" t="s">
        <v>1013</v>
      </c>
      <c r="I763" s="9" t="s">
        <v>1014</v>
      </c>
      <c r="J763" s="9" t="s">
        <v>1015</v>
      </c>
      <c r="K763" s="8" t="s">
        <v>1006</v>
      </c>
      <c r="L763" s="8" t="s">
        <v>1007</v>
      </c>
      <c r="M763" s="8" t="s">
        <v>2933</v>
      </c>
      <c r="N763" s="8" t="s">
        <v>2937</v>
      </c>
      <c r="O763" s="1" t="s">
        <v>2934</v>
      </c>
      <c r="P763">
        <v>30</v>
      </c>
      <c r="Q763">
        <v>30</v>
      </c>
      <c r="R763">
        <v>0</v>
      </c>
      <c r="S763">
        <f t="shared" si="107"/>
        <v>30</v>
      </c>
      <c r="T763" s="1" t="s">
        <v>2935</v>
      </c>
      <c r="U763" s="1" t="s">
        <v>2932</v>
      </c>
      <c r="V763" s="3">
        <f t="shared" si="108"/>
        <v>40000</v>
      </c>
      <c r="W763" s="3">
        <f t="shared" si="109"/>
        <v>16000</v>
      </c>
      <c r="X763" s="3">
        <f t="shared" si="101"/>
        <v>1250</v>
      </c>
      <c r="Y763" s="3">
        <f t="shared" si="102"/>
        <v>1600</v>
      </c>
      <c r="Z763" s="3">
        <f t="shared" si="103"/>
        <v>1800</v>
      </c>
      <c r="AA763" s="3">
        <v>0</v>
      </c>
      <c r="AB763" s="3">
        <f>ROUND(U763 - (V763+W763+X763+Y763) - (U763/Q763 * 2),0)</f>
        <v>34483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f>SUM(V763+W763+X763+Y763+AB763)</f>
        <v>93333</v>
      </c>
      <c r="AK763" s="3">
        <f>SUM(AJ763-AA763)</f>
        <v>93333</v>
      </c>
      <c r="AL763" s="3">
        <f>IF(V763&lt;=15000,V763*12%,1800)</f>
        <v>1800</v>
      </c>
      <c r="AM763" s="3">
        <v>0</v>
      </c>
      <c r="AN763" s="3">
        <f t="shared" si="104"/>
        <v>1800</v>
      </c>
      <c r="AO763" s="12">
        <v>200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3">
        <f t="shared" si="106"/>
        <v>200</v>
      </c>
      <c r="AV763" s="3">
        <f>SUM(AJ763 - AN763 - AU763)</f>
        <v>91333</v>
      </c>
      <c r="AW763" s="11">
        <v>0</v>
      </c>
      <c r="AX763" s="11">
        <v>0</v>
      </c>
      <c r="AY763" s="11">
        <v>0</v>
      </c>
      <c r="AZ763" s="11">
        <v>0</v>
      </c>
      <c r="BA763" s="3">
        <f t="shared" si="105"/>
        <v>91333</v>
      </c>
    </row>
    <row r="764" spans="1:53" x14ac:dyDescent="0.25">
      <c r="A764" s="1" t="s">
        <v>762</v>
      </c>
      <c r="B764" s="9" t="s">
        <v>2470</v>
      </c>
      <c r="C764" s="9" t="s">
        <v>1063</v>
      </c>
      <c r="D764" s="9" t="s">
        <v>2471</v>
      </c>
      <c r="E764" s="9" t="s">
        <v>1008</v>
      </c>
      <c r="F764" s="10">
        <v>45831</v>
      </c>
      <c r="G764" s="9" t="s">
        <v>1019</v>
      </c>
      <c r="I764" s="9" t="s">
        <v>1014</v>
      </c>
      <c r="J764" s="9" t="s">
        <v>1015</v>
      </c>
      <c r="K764" s="8" t="s">
        <v>1006</v>
      </c>
      <c r="L764" s="8" t="s">
        <v>1007</v>
      </c>
      <c r="M764" s="8" t="s">
        <v>2933</v>
      </c>
      <c r="N764" s="8" t="s">
        <v>2937</v>
      </c>
      <c r="O764" s="1" t="s">
        <v>2934</v>
      </c>
      <c r="P764">
        <v>30</v>
      </c>
      <c r="Q764">
        <v>30</v>
      </c>
      <c r="R764">
        <v>0</v>
      </c>
      <c r="S764">
        <f t="shared" si="107"/>
        <v>30</v>
      </c>
      <c r="T764" s="1" t="s">
        <v>2935</v>
      </c>
      <c r="U764" s="1" t="s">
        <v>2932</v>
      </c>
      <c r="V764" s="3">
        <f t="shared" si="108"/>
        <v>40000</v>
      </c>
      <c r="W764" s="3">
        <f t="shared" si="109"/>
        <v>16000</v>
      </c>
      <c r="X764" s="3">
        <f t="shared" si="101"/>
        <v>1250</v>
      </c>
      <c r="Y764" s="3">
        <f t="shared" si="102"/>
        <v>1600</v>
      </c>
      <c r="Z764" s="3">
        <f t="shared" si="103"/>
        <v>1800</v>
      </c>
      <c r="AA764" s="3">
        <v>0</v>
      </c>
      <c r="AB764" s="3">
        <f>ROUND(U764 - (V764+W764+X764+Y764) - (U764/Q764 * 2),0)</f>
        <v>34483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f>SUM(V764+W764+X764+Y764+AB764)</f>
        <v>93333</v>
      </c>
      <c r="AK764" s="3">
        <f>SUM(AJ764-AA764)</f>
        <v>93333</v>
      </c>
      <c r="AL764" s="3">
        <f>IF(V764&lt;=15000,V764*12%,1800)</f>
        <v>1800</v>
      </c>
      <c r="AM764" s="3">
        <v>0</v>
      </c>
      <c r="AN764" s="3">
        <f t="shared" si="104"/>
        <v>1800</v>
      </c>
      <c r="AO764" s="12">
        <v>200</v>
      </c>
      <c r="AP764" s="12">
        <v>0</v>
      </c>
      <c r="AQ764" s="12">
        <v>0</v>
      </c>
      <c r="AR764" s="12">
        <v>0</v>
      </c>
      <c r="AS764" s="12">
        <v>0</v>
      </c>
      <c r="AT764" s="12">
        <v>0</v>
      </c>
      <c r="AU764" s="3">
        <f t="shared" si="106"/>
        <v>200</v>
      </c>
      <c r="AV764" s="3">
        <f>SUM(AJ764 - AN764 - AU764)</f>
        <v>91333</v>
      </c>
      <c r="AW764" s="11">
        <v>0</v>
      </c>
      <c r="AX764" s="11">
        <v>0</v>
      </c>
      <c r="AY764" s="11">
        <v>0</v>
      </c>
      <c r="AZ764" s="11">
        <v>0</v>
      </c>
      <c r="BA764" s="3">
        <f t="shared" si="105"/>
        <v>91333</v>
      </c>
    </row>
    <row r="765" spans="1:53" x14ac:dyDescent="0.25">
      <c r="A765" s="1" t="s">
        <v>763</v>
      </c>
      <c r="B765" s="9" t="s">
        <v>2468</v>
      </c>
      <c r="C765" s="9" t="s">
        <v>1115</v>
      </c>
      <c r="D765" s="9" t="s">
        <v>2469</v>
      </c>
      <c r="E765" s="9" t="s">
        <v>1008</v>
      </c>
      <c r="F765" s="10">
        <v>45838</v>
      </c>
      <c r="G765" s="9" t="s">
        <v>1019</v>
      </c>
      <c r="I765" s="9" t="s">
        <v>1035</v>
      </c>
      <c r="J765" s="9" t="s">
        <v>1048</v>
      </c>
      <c r="K765" s="8" t="s">
        <v>1006</v>
      </c>
      <c r="L765" s="8" t="s">
        <v>1007</v>
      </c>
      <c r="M765" s="8" t="s">
        <v>2933</v>
      </c>
      <c r="N765" s="8" t="s">
        <v>2937</v>
      </c>
      <c r="O765" s="1" t="s">
        <v>2934</v>
      </c>
      <c r="P765">
        <v>30</v>
      </c>
      <c r="Q765">
        <v>30</v>
      </c>
      <c r="R765">
        <v>0</v>
      </c>
      <c r="S765">
        <f t="shared" si="107"/>
        <v>30</v>
      </c>
      <c r="T765" s="1" t="s">
        <v>2935</v>
      </c>
      <c r="U765" s="1" t="s">
        <v>2932</v>
      </c>
      <c r="V765" s="3">
        <f t="shared" si="108"/>
        <v>40000</v>
      </c>
      <c r="W765" s="3">
        <f t="shared" si="109"/>
        <v>16000</v>
      </c>
      <c r="X765" s="3">
        <f t="shared" si="101"/>
        <v>1250</v>
      </c>
      <c r="Y765" s="3">
        <f t="shared" si="102"/>
        <v>1600</v>
      </c>
      <c r="Z765" s="3">
        <f t="shared" si="103"/>
        <v>1800</v>
      </c>
      <c r="AA765" s="3">
        <v>0</v>
      </c>
      <c r="AB765" s="3">
        <f>ROUND(U765 - (V765+W765+X765+Y765) - (U765/Q765 * 2),0)</f>
        <v>34483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f>SUM(V765+W765+X765+Y765+AB765)</f>
        <v>93333</v>
      </c>
      <c r="AK765" s="3">
        <f>SUM(AJ765-AA765)</f>
        <v>93333</v>
      </c>
      <c r="AL765" s="3">
        <f>IF(V765&lt;=15000,V765*12%,1800)</f>
        <v>1800</v>
      </c>
      <c r="AM765" s="3">
        <v>0</v>
      </c>
      <c r="AN765" s="3">
        <f t="shared" si="104"/>
        <v>1800</v>
      </c>
      <c r="AO765" s="12">
        <v>200</v>
      </c>
      <c r="AP765" s="12">
        <v>0</v>
      </c>
      <c r="AQ765" s="12">
        <v>0</v>
      </c>
      <c r="AR765" s="12">
        <v>0</v>
      </c>
      <c r="AS765" s="12">
        <v>0</v>
      </c>
      <c r="AT765" s="12">
        <v>0</v>
      </c>
      <c r="AU765" s="3">
        <f t="shared" si="106"/>
        <v>200</v>
      </c>
      <c r="AV765" s="3">
        <f>SUM(AJ765 - AN765 - AU765)</f>
        <v>91333</v>
      </c>
      <c r="AW765" s="11">
        <v>0</v>
      </c>
      <c r="AX765" s="11">
        <v>0</v>
      </c>
      <c r="AY765" s="11">
        <v>0</v>
      </c>
      <c r="AZ765" s="11">
        <v>0</v>
      </c>
      <c r="BA765" s="3">
        <f t="shared" si="105"/>
        <v>91333</v>
      </c>
    </row>
    <row r="766" spans="1:53" x14ac:dyDescent="0.25">
      <c r="A766" s="1" t="s">
        <v>764</v>
      </c>
      <c r="B766" s="9" t="s">
        <v>2466</v>
      </c>
      <c r="C766" s="9" t="s">
        <v>1029</v>
      </c>
      <c r="D766" s="9" t="s">
        <v>2467</v>
      </c>
      <c r="E766" s="9" t="s">
        <v>1008</v>
      </c>
      <c r="F766" s="10">
        <v>45838</v>
      </c>
      <c r="G766" s="9" t="s">
        <v>1019</v>
      </c>
      <c r="I766" s="9" t="s">
        <v>1014</v>
      </c>
      <c r="J766" s="9" t="s">
        <v>1031</v>
      </c>
      <c r="K766" s="8" t="s">
        <v>1006</v>
      </c>
      <c r="L766" s="8" t="s">
        <v>1007</v>
      </c>
      <c r="M766" s="8" t="s">
        <v>2933</v>
      </c>
      <c r="N766" s="8" t="s">
        <v>2937</v>
      </c>
      <c r="O766" s="1" t="s">
        <v>2934</v>
      </c>
      <c r="P766">
        <v>30</v>
      </c>
      <c r="Q766">
        <v>30</v>
      </c>
      <c r="R766">
        <v>0</v>
      </c>
      <c r="S766">
        <f t="shared" si="107"/>
        <v>30</v>
      </c>
      <c r="T766" s="1" t="s">
        <v>2935</v>
      </c>
      <c r="U766" s="1" t="s">
        <v>2932</v>
      </c>
      <c r="V766" s="3">
        <f t="shared" si="108"/>
        <v>40000</v>
      </c>
      <c r="W766" s="3">
        <f t="shared" si="109"/>
        <v>16000</v>
      </c>
      <c r="X766" s="3">
        <f t="shared" si="101"/>
        <v>1250</v>
      </c>
      <c r="Y766" s="3">
        <f t="shared" si="102"/>
        <v>1600</v>
      </c>
      <c r="Z766" s="3">
        <f t="shared" si="103"/>
        <v>1800</v>
      </c>
      <c r="AA766" s="3">
        <v>0</v>
      </c>
      <c r="AB766" s="3">
        <f>ROUND(U766 - (V766+W766+X766+Y766) - (U766/Q766 * 2),0)</f>
        <v>34483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f>SUM(V766+W766+X766+Y766+AB766)</f>
        <v>93333</v>
      </c>
      <c r="AK766" s="3">
        <f>SUM(AJ766-AA766)</f>
        <v>93333</v>
      </c>
      <c r="AL766" s="3">
        <f>IF(V766&lt;=15000,V766*12%,1800)</f>
        <v>1800</v>
      </c>
      <c r="AM766" s="3">
        <v>0</v>
      </c>
      <c r="AN766" s="3">
        <f t="shared" si="104"/>
        <v>1800</v>
      </c>
      <c r="AO766" s="12">
        <v>200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3">
        <f t="shared" si="106"/>
        <v>200</v>
      </c>
      <c r="AV766" s="3">
        <f>SUM(AJ766 - AN766 - AU766)</f>
        <v>91333</v>
      </c>
      <c r="AW766" s="11">
        <v>0</v>
      </c>
      <c r="AX766" s="11">
        <v>0</v>
      </c>
      <c r="AY766" s="11">
        <v>0</v>
      </c>
      <c r="AZ766" s="11">
        <v>0</v>
      </c>
      <c r="BA766" s="3">
        <f t="shared" si="105"/>
        <v>91333</v>
      </c>
    </row>
    <row r="767" spans="1:53" x14ac:dyDescent="0.25">
      <c r="A767" s="1" t="s">
        <v>765</v>
      </c>
      <c r="B767" s="9" t="s">
        <v>2521</v>
      </c>
      <c r="C767" s="9" t="s">
        <v>1128</v>
      </c>
      <c r="D767" s="9" t="s">
        <v>2522</v>
      </c>
      <c r="E767" s="9" t="s">
        <v>1008</v>
      </c>
      <c r="F767" s="10">
        <v>45845</v>
      </c>
      <c r="G767" s="9" t="s">
        <v>1013</v>
      </c>
      <c r="I767" s="9" t="s">
        <v>1035</v>
      </c>
      <c r="J767" s="9" t="s">
        <v>1048</v>
      </c>
      <c r="K767" s="8" t="s">
        <v>1006</v>
      </c>
      <c r="L767" s="8" t="s">
        <v>1007</v>
      </c>
      <c r="M767" s="8" t="s">
        <v>2933</v>
      </c>
      <c r="N767" s="8" t="s">
        <v>2937</v>
      </c>
      <c r="O767" s="1" t="s">
        <v>2934</v>
      </c>
      <c r="P767">
        <v>30</v>
      </c>
      <c r="Q767">
        <v>30</v>
      </c>
      <c r="R767">
        <v>0</v>
      </c>
      <c r="S767">
        <f t="shared" si="107"/>
        <v>30</v>
      </c>
      <c r="T767" s="1" t="s">
        <v>2935</v>
      </c>
      <c r="U767" s="1" t="s">
        <v>2932</v>
      </c>
      <c r="V767" s="3">
        <f t="shared" si="108"/>
        <v>40000</v>
      </c>
      <c r="W767" s="3">
        <f t="shared" si="109"/>
        <v>16000</v>
      </c>
      <c r="X767" s="3">
        <f t="shared" si="101"/>
        <v>1250</v>
      </c>
      <c r="Y767" s="3">
        <f t="shared" si="102"/>
        <v>1600</v>
      </c>
      <c r="Z767" s="3">
        <f t="shared" si="103"/>
        <v>1800</v>
      </c>
      <c r="AA767" s="3">
        <v>0</v>
      </c>
      <c r="AB767" s="3">
        <f>ROUND(U767 - (V767+W767+X767+Y767) - (U767/Q767 * 2),0)</f>
        <v>34483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f>SUM(V767+W767+X767+Y767+AB767)</f>
        <v>93333</v>
      </c>
      <c r="AK767" s="3">
        <f>SUM(AJ767-AA767)</f>
        <v>93333</v>
      </c>
      <c r="AL767" s="3">
        <f>IF(V767&lt;=15000,V767*12%,1800)</f>
        <v>1800</v>
      </c>
      <c r="AM767" s="3">
        <v>0</v>
      </c>
      <c r="AN767" s="3">
        <f t="shared" si="104"/>
        <v>1800</v>
      </c>
      <c r="AO767" s="12">
        <v>200</v>
      </c>
      <c r="AP767" s="12">
        <v>0</v>
      </c>
      <c r="AQ767" s="12">
        <v>0</v>
      </c>
      <c r="AR767" s="12">
        <v>0</v>
      </c>
      <c r="AS767" s="12">
        <v>0</v>
      </c>
      <c r="AT767" s="12">
        <v>0</v>
      </c>
      <c r="AU767" s="3">
        <f t="shared" si="106"/>
        <v>200</v>
      </c>
      <c r="AV767" s="3">
        <f>SUM(AJ767 - AN767 - AU767)</f>
        <v>91333</v>
      </c>
      <c r="AW767" s="11">
        <v>0</v>
      </c>
      <c r="AX767" s="11">
        <v>0</v>
      </c>
      <c r="AY767" s="11">
        <v>0</v>
      </c>
      <c r="AZ767" s="11">
        <v>0</v>
      </c>
      <c r="BA767" s="3">
        <f t="shared" si="105"/>
        <v>91333</v>
      </c>
    </row>
    <row r="768" spans="1:53" x14ac:dyDescent="0.25">
      <c r="A768" s="1" t="s">
        <v>766</v>
      </c>
      <c r="B768" s="9" t="s">
        <v>2519</v>
      </c>
      <c r="C768" s="9" t="s">
        <v>1029</v>
      </c>
      <c r="D768" s="9" t="s">
        <v>2520</v>
      </c>
      <c r="E768" s="9" t="s">
        <v>1012</v>
      </c>
      <c r="F768" s="10">
        <v>45840</v>
      </c>
      <c r="G768" s="9" t="s">
        <v>1019</v>
      </c>
      <c r="I768" s="9" t="s">
        <v>1020</v>
      </c>
      <c r="J768" s="9" t="s">
        <v>1031</v>
      </c>
      <c r="K768" s="8" t="s">
        <v>1006</v>
      </c>
      <c r="L768" s="8" t="s">
        <v>1007</v>
      </c>
      <c r="M768" s="8" t="s">
        <v>2933</v>
      </c>
      <c r="N768" s="8" t="s">
        <v>2937</v>
      </c>
      <c r="O768" s="1" t="s">
        <v>2934</v>
      </c>
      <c r="P768">
        <v>30</v>
      </c>
      <c r="Q768">
        <v>30</v>
      </c>
      <c r="R768">
        <v>0</v>
      </c>
      <c r="S768">
        <f t="shared" si="107"/>
        <v>30</v>
      </c>
      <c r="T768" s="1" t="s">
        <v>2935</v>
      </c>
      <c r="U768" s="1" t="s">
        <v>2932</v>
      </c>
      <c r="V768" s="3">
        <f t="shared" si="108"/>
        <v>40000</v>
      </c>
      <c r="W768" s="3">
        <f t="shared" si="109"/>
        <v>16000</v>
      </c>
      <c r="X768" s="3">
        <f t="shared" si="101"/>
        <v>1250</v>
      </c>
      <c r="Y768" s="3">
        <f t="shared" si="102"/>
        <v>1600</v>
      </c>
      <c r="Z768" s="3">
        <f t="shared" si="103"/>
        <v>1800</v>
      </c>
      <c r="AA768" s="3">
        <v>0</v>
      </c>
      <c r="AB768" s="3">
        <f>ROUND(U768 - (V768+W768+X768+Y768) - (U768/Q768 * 2),0)</f>
        <v>34483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f>SUM(V768+W768+X768+Y768+AB768)</f>
        <v>93333</v>
      </c>
      <c r="AK768" s="3">
        <f>SUM(AJ768-AA768)</f>
        <v>93333</v>
      </c>
      <c r="AL768" s="3">
        <f>IF(V768&lt;=15000,V768*12%,1800)</f>
        <v>1800</v>
      </c>
      <c r="AM768" s="3">
        <v>0</v>
      </c>
      <c r="AN768" s="3">
        <f t="shared" si="104"/>
        <v>1800</v>
      </c>
      <c r="AO768" s="12">
        <v>200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3">
        <f t="shared" si="106"/>
        <v>200</v>
      </c>
      <c r="AV768" s="3">
        <f>SUM(AJ768 - AN768 - AU768)</f>
        <v>91333</v>
      </c>
      <c r="AW768" s="11">
        <v>0</v>
      </c>
      <c r="AX768" s="11">
        <v>0</v>
      </c>
      <c r="AY768" s="11">
        <v>0</v>
      </c>
      <c r="AZ768" s="11">
        <v>0</v>
      </c>
      <c r="BA768" s="3">
        <f t="shared" si="105"/>
        <v>91333</v>
      </c>
    </row>
    <row r="769" spans="1:53" x14ac:dyDescent="0.25">
      <c r="A769" s="1" t="s">
        <v>767</v>
      </c>
      <c r="B769" s="9" t="s">
        <v>2517</v>
      </c>
      <c r="C769" s="9" t="s">
        <v>1063</v>
      </c>
      <c r="D769" s="9" t="s">
        <v>2518</v>
      </c>
      <c r="E769" s="9" t="s">
        <v>1008</v>
      </c>
      <c r="F769" s="10">
        <v>45840</v>
      </c>
      <c r="G769" s="9" t="s">
        <v>1019</v>
      </c>
      <c r="I769" s="9" t="s">
        <v>1020</v>
      </c>
      <c r="J769" s="9" t="s">
        <v>1015</v>
      </c>
      <c r="K769" s="8" t="s">
        <v>1006</v>
      </c>
      <c r="L769" s="8" t="s">
        <v>1007</v>
      </c>
      <c r="M769" s="8" t="s">
        <v>2933</v>
      </c>
      <c r="N769" s="8" t="s">
        <v>2937</v>
      </c>
      <c r="O769" s="1" t="s">
        <v>2934</v>
      </c>
      <c r="P769">
        <v>30</v>
      </c>
      <c r="Q769">
        <v>30</v>
      </c>
      <c r="R769">
        <v>0</v>
      </c>
      <c r="S769">
        <f t="shared" si="107"/>
        <v>30</v>
      </c>
      <c r="T769" s="1" t="s">
        <v>2935</v>
      </c>
      <c r="U769" s="1" t="s">
        <v>2932</v>
      </c>
      <c r="V769" s="3">
        <f t="shared" si="108"/>
        <v>40000</v>
      </c>
      <c r="W769" s="3">
        <f t="shared" si="109"/>
        <v>16000</v>
      </c>
      <c r="X769" s="3">
        <f t="shared" si="101"/>
        <v>1250</v>
      </c>
      <c r="Y769" s="3">
        <f t="shared" si="102"/>
        <v>1600</v>
      </c>
      <c r="Z769" s="3">
        <f t="shared" si="103"/>
        <v>1800</v>
      </c>
      <c r="AA769" s="3">
        <v>0</v>
      </c>
      <c r="AB769" s="3">
        <f>ROUND(U769 - (V769+W769+X769+Y769) - (U769/Q769 * 2),0)</f>
        <v>34483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f>SUM(V769+W769+X769+Y769+AB769)</f>
        <v>93333</v>
      </c>
      <c r="AK769" s="3">
        <f>SUM(AJ769-AA769)</f>
        <v>93333</v>
      </c>
      <c r="AL769" s="3">
        <f>IF(V769&lt;=15000,V769*12%,1800)</f>
        <v>1800</v>
      </c>
      <c r="AM769" s="3">
        <v>0</v>
      </c>
      <c r="AN769" s="3">
        <f t="shared" si="104"/>
        <v>1800</v>
      </c>
      <c r="AO769" s="12">
        <v>200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3">
        <f t="shared" si="106"/>
        <v>200</v>
      </c>
      <c r="AV769" s="3">
        <f>SUM(AJ769 - AN769 - AU769)</f>
        <v>91333</v>
      </c>
      <c r="AW769" s="11">
        <v>0</v>
      </c>
      <c r="AX769" s="11">
        <v>0</v>
      </c>
      <c r="AY769" s="11">
        <v>0</v>
      </c>
      <c r="AZ769" s="11">
        <v>0</v>
      </c>
      <c r="BA769" s="3">
        <f t="shared" si="105"/>
        <v>91333</v>
      </c>
    </row>
    <row r="770" spans="1:53" x14ac:dyDescent="0.25">
      <c r="A770" s="1" t="s">
        <v>768</v>
      </c>
      <c r="B770" s="9" t="s">
        <v>2057</v>
      </c>
      <c r="C770" s="9" t="s">
        <v>1063</v>
      </c>
      <c r="D770" s="9" t="s">
        <v>2516</v>
      </c>
      <c r="E770" s="9" t="s">
        <v>1008</v>
      </c>
      <c r="F770" s="10">
        <v>45840</v>
      </c>
      <c r="G770" s="9" t="s">
        <v>1013</v>
      </c>
      <c r="I770" s="9" t="s">
        <v>1014</v>
      </c>
      <c r="J770" s="9" t="s">
        <v>1015</v>
      </c>
      <c r="K770" s="8" t="s">
        <v>1006</v>
      </c>
      <c r="L770" s="8" t="s">
        <v>1007</v>
      </c>
      <c r="M770" s="8" t="s">
        <v>2933</v>
      </c>
      <c r="N770" s="8" t="s">
        <v>2937</v>
      </c>
      <c r="O770" s="1" t="s">
        <v>2934</v>
      </c>
      <c r="P770">
        <v>30</v>
      </c>
      <c r="Q770">
        <v>30</v>
      </c>
      <c r="R770">
        <v>0</v>
      </c>
      <c r="S770">
        <f t="shared" si="107"/>
        <v>30</v>
      </c>
      <c r="T770" s="1" t="s">
        <v>2935</v>
      </c>
      <c r="U770" s="1" t="s">
        <v>2932</v>
      </c>
      <c r="V770" s="3">
        <f t="shared" si="108"/>
        <v>40000</v>
      </c>
      <c r="W770" s="3">
        <f t="shared" si="109"/>
        <v>16000</v>
      </c>
      <c r="X770" s="3">
        <f t="shared" si="101"/>
        <v>1250</v>
      </c>
      <c r="Y770" s="3">
        <f t="shared" si="102"/>
        <v>1600</v>
      </c>
      <c r="Z770" s="3">
        <f t="shared" si="103"/>
        <v>1800</v>
      </c>
      <c r="AA770" s="3">
        <v>0</v>
      </c>
      <c r="AB770" s="3">
        <f>ROUND(U770 - (V770+W770+X770+Y770) - (U770/Q770 * 2),0)</f>
        <v>34483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f>SUM(V770+W770+X770+Y770+AB770)</f>
        <v>93333</v>
      </c>
      <c r="AK770" s="3">
        <f>SUM(AJ770-AA770)</f>
        <v>93333</v>
      </c>
      <c r="AL770" s="3">
        <f>IF(V770&lt;=15000,V770*12%,1800)</f>
        <v>1800</v>
      </c>
      <c r="AM770" s="3">
        <v>0</v>
      </c>
      <c r="AN770" s="3">
        <f t="shared" si="104"/>
        <v>1800</v>
      </c>
      <c r="AO770" s="12">
        <v>200</v>
      </c>
      <c r="AP770" s="12">
        <v>0</v>
      </c>
      <c r="AQ770" s="12">
        <v>0</v>
      </c>
      <c r="AR770" s="12">
        <v>0</v>
      </c>
      <c r="AS770" s="12">
        <v>0</v>
      </c>
      <c r="AT770" s="12">
        <v>0</v>
      </c>
      <c r="AU770" s="3">
        <f t="shared" si="106"/>
        <v>200</v>
      </c>
      <c r="AV770" s="3">
        <f>SUM(AJ770 - AN770 - AU770)</f>
        <v>91333</v>
      </c>
      <c r="AW770" s="11">
        <v>0</v>
      </c>
      <c r="AX770" s="11">
        <v>0</v>
      </c>
      <c r="AY770" s="11">
        <v>0</v>
      </c>
      <c r="AZ770" s="11">
        <v>0</v>
      </c>
      <c r="BA770" s="3">
        <f t="shared" si="105"/>
        <v>91333</v>
      </c>
    </row>
    <row r="771" spans="1:53" x14ac:dyDescent="0.25">
      <c r="A771" s="1" t="s">
        <v>769</v>
      </c>
      <c r="B771" s="9" t="s">
        <v>1223</v>
      </c>
      <c r="C771" s="9" t="s">
        <v>1010</v>
      </c>
      <c r="D771" s="9" t="s">
        <v>2515</v>
      </c>
      <c r="E771" s="9" t="s">
        <v>1008</v>
      </c>
      <c r="F771" s="10">
        <v>45845</v>
      </c>
      <c r="G771" s="9" t="s">
        <v>1019</v>
      </c>
      <c r="I771" s="9" t="s">
        <v>1014</v>
      </c>
      <c r="J771" s="9" t="s">
        <v>1015</v>
      </c>
      <c r="K771" s="8" t="s">
        <v>1006</v>
      </c>
      <c r="L771" s="8" t="s">
        <v>1007</v>
      </c>
      <c r="M771" s="8" t="s">
        <v>2933</v>
      </c>
      <c r="N771" s="8" t="s">
        <v>2937</v>
      </c>
      <c r="O771" s="1" t="s">
        <v>2934</v>
      </c>
      <c r="P771">
        <v>30</v>
      </c>
      <c r="Q771">
        <v>30</v>
      </c>
      <c r="R771">
        <v>0</v>
      </c>
      <c r="S771">
        <f t="shared" si="107"/>
        <v>30</v>
      </c>
      <c r="T771" s="1" t="s">
        <v>2935</v>
      </c>
      <c r="U771" s="1" t="s">
        <v>2932</v>
      </c>
      <c r="V771" s="3">
        <f t="shared" si="108"/>
        <v>40000</v>
      </c>
      <c r="W771" s="3">
        <f t="shared" si="109"/>
        <v>16000</v>
      </c>
      <c r="X771" s="3">
        <f t="shared" ref="X771:X834" si="110">ROUND(1250 - ((1250/Q771)*R771),0)</f>
        <v>1250</v>
      </c>
      <c r="Y771" s="3">
        <f t="shared" ref="Y771:Y834" si="111">ROUND(1600 - (1600/Q771) *R771,0)</f>
        <v>1600</v>
      </c>
      <c r="Z771" s="3">
        <f t="shared" ref="Z771:Z834" si="112">IF(V771&lt;=15000,V771*12%,1800)</f>
        <v>1800</v>
      </c>
      <c r="AA771" s="3">
        <v>0</v>
      </c>
      <c r="AB771" s="3">
        <f>ROUND(U771 - (V771+W771+X771+Y771) - (U771/Q771 * 2),0)</f>
        <v>34483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f>SUM(V771+W771+X771+Y771+AB771)</f>
        <v>93333</v>
      </c>
      <c r="AK771" s="3">
        <f>SUM(AJ771-AA771)</f>
        <v>93333</v>
      </c>
      <c r="AL771" s="3">
        <f>IF(V771&lt;=15000,V771*12%,1800)</f>
        <v>1800</v>
      </c>
      <c r="AM771" s="3">
        <v>0</v>
      </c>
      <c r="AN771" s="3">
        <f t="shared" ref="AN771:AN834" si="113">SUM(AL771+AM771)</f>
        <v>1800</v>
      </c>
      <c r="AO771" s="12">
        <v>200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3">
        <f t="shared" si="106"/>
        <v>200</v>
      </c>
      <c r="AV771" s="3">
        <f>SUM(AJ771 - AN771 - AU771)</f>
        <v>91333</v>
      </c>
      <c r="AW771" s="11">
        <v>0</v>
      </c>
      <c r="AX771" s="11">
        <v>0</v>
      </c>
      <c r="AY771" s="11">
        <v>0</v>
      </c>
      <c r="AZ771" s="11">
        <v>0</v>
      </c>
      <c r="BA771" s="3">
        <f t="shared" ref="BA771:BA834" si="114">AV771+AW771+AX771+AZ771</f>
        <v>91333</v>
      </c>
    </row>
    <row r="772" spans="1:53" x14ac:dyDescent="0.25">
      <c r="A772" s="1" t="s">
        <v>770</v>
      </c>
      <c r="B772" s="9" t="s">
        <v>2513</v>
      </c>
      <c r="C772" s="9" t="s">
        <v>1063</v>
      </c>
      <c r="D772" s="9" t="s">
        <v>2514</v>
      </c>
      <c r="E772" s="9" t="s">
        <v>1008</v>
      </c>
      <c r="F772" s="10">
        <v>45845</v>
      </c>
      <c r="G772" s="9" t="s">
        <v>1019</v>
      </c>
      <c r="I772" s="9" t="s">
        <v>1020</v>
      </c>
      <c r="J772" s="9" t="s">
        <v>1015</v>
      </c>
      <c r="K772" s="8" t="s">
        <v>1006</v>
      </c>
      <c r="L772" s="8" t="s">
        <v>1007</v>
      </c>
      <c r="M772" s="8" t="s">
        <v>2933</v>
      </c>
      <c r="N772" s="8" t="s">
        <v>2937</v>
      </c>
      <c r="O772" s="1" t="s">
        <v>2934</v>
      </c>
      <c r="P772">
        <v>30</v>
      </c>
      <c r="Q772">
        <v>30</v>
      </c>
      <c r="R772">
        <v>0</v>
      </c>
      <c r="S772">
        <f t="shared" si="107"/>
        <v>30</v>
      </c>
      <c r="T772" s="1" t="s">
        <v>2935</v>
      </c>
      <c r="U772" s="1" t="s">
        <v>2932</v>
      </c>
      <c r="V772" s="3">
        <f t="shared" si="108"/>
        <v>40000</v>
      </c>
      <c r="W772" s="3">
        <f t="shared" si="109"/>
        <v>16000</v>
      </c>
      <c r="X772" s="3">
        <f t="shared" si="110"/>
        <v>1250</v>
      </c>
      <c r="Y772" s="3">
        <f t="shared" si="111"/>
        <v>1600</v>
      </c>
      <c r="Z772" s="3">
        <f t="shared" si="112"/>
        <v>1800</v>
      </c>
      <c r="AA772" s="3">
        <v>0</v>
      </c>
      <c r="AB772" s="3">
        <f>ROUND(U772 - (V772+W772+X772+Y772) - (U772/Q772 * 2),0)</f>
        <v>34483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f>SUM(V772+W772+X772+Y772+AB772)</f>
        <v>93333</v>
      </c>
      <c r="AK772" s="3">
        <f>SUM(AJ772-AA772)</f>
        <v>93333</v>
      </c>
      <c r="AL772" s="3">
        <f>IF(V772&lt;=15000,V772*12%,1800)</f>
        <v>1800</v>
      </c>
      <c r="AM772" s="3">
        <v>0</v>
      </c>
      <c r="AN772" s="3">
        <f t="shared" si="113"/>
        <v>1800</v>
      </c>
      <c r="AO772" s="12">
        <v>200</v>
      </c>
      <c r="AP772" s="12">
        <v>0</v>
      </c>
      <c r="AQ772" s="12">
        <v>0</v>
      </c>
      <c r="AR772" s="12">
        <v>0</v>
      </c>
      <c r="AS772" s="12">
        <v>0</v>
      </c>
      <c r="AT772" s="12">
        <v>0</v>
      </c>
      <c r="AU772" s="3">
        <f t="shared" ref="AU772:AU835" si="115">SUM(AO772:AT772)</f>
        <v>200</v>
      </c>
      <c r="AV772" s="3">
        <f>SUM(AJ772 - AN772 - AU772)</f>
        <v>91333</v>
      </c>
      <c r="AW772" s="11">
        <v>0</v>
      </c>
      <c r="AX772" s="11">
        <v>0</v>
      </c>
      <c r="AY772" s="11">
        <v>0</v>
      </c>
      <c r="AZ772" s="11">
        <v>0</v>
      </c>
      <c r="BA772" s="3">
        <f t="shared" si="114"/>
        <v>91333</v>
      </c>
    </row>
    <row r="773" spans="1:53" x14ac:dyDescent="0.25">
      <c r="A773" s="1" t="s">
        <v>771</v>
      </c>
      <c r="B773" s="9" t="s">
        <v>2511</v>
      </c>
      <c r="C773" s="9" t="s">
        <v>1010</v>
      </c>
      <c r="D773" s="9" t="s">
        <v>2512</v>
      </c>
      <c r="E773" s="9" t="s">
        <v>1008</v>
      </c>
      <c r="F773" s="10">
        <v>45847</v>
      </c>
      <c r="G773" s="9" t="s">
        <v>1019</v>
      </c>
      <c r="I773" s="9" t="s">
        <v>1014</v>
      </c>
      <c r="J773" s="9" t="s">
        <v>1015</v>
      </c>
      <c r="K773" s="8" t="s">
        <v>1006</v>
      </c>
      <c r="L773" s="8" t="s">
        <v>1007</v>
      </c>
      <c r="M773" s="8" t="s">
        <v>2933</v>
      </c>
      <c r="N773" s="8" t="s">
        <v>2937</v>
      </c>
      <c r="O773" s="1" t="s">
        <v>2934</v>
      </c>
      <c r="P773">
        <v>30</v>
      </c>
      <c r="Q773">
        <v>30</v>
      </c>
      <c r="R773">
        <v>0</v>
      </c>
      <c r="S773">
        <f t="shared" ref="S773:S836" si="116">SUM(Q773-R773)</f>
        <v>30</v>
      </c>
      <c r="T773" s="1" t="s">
        <v>2935</v>
      </c>
      <c r="U773" s="1" t="s">
        <v>2932</v>
      </c>
      <c r="V773" s="3">
        <f t="shared" ref="V773:V836" si="117">ROUND((U773*40%) / Q773  * S773,0)</f>
        <v>40000</v>
      </c>
      <c r="W773" s="3">
        <f t="shared" ref="W773:W836" si="118">ROUND((U773*16%) / Q773  * S773,0)</f>
        <v>16000</v>
      </c>
      <c r="X773" s="3">
        <f t="shared" si="110"/>
        <v>1250</v>
      </c>
      <c r="Y773" s="3">
        <f t="shared" si="111"/>
        <v>1600</v>
      </c>
      <c r="Z773" s="3">
        <f t="shared" si="112"/>
        <v>1800</v>
      </c>
      <c r="AA773" s="3">
        <v>0</v>
      </c>
      <c r="AB773" s="3">
        <f>ROUND(U773 - (V773+W773+X773+Y773) - (U773/Q773 * 2),0)</f>
        <v>34483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f>SUM(V773+W773+X773+Y773+AB773)</f>
        <v>93333</v>
      </c>
      <c r="AK773" s="3">
        <f>SUM(AJ773-AA773)</f>
        <v>93333</v>
      </c>
      <c r="AL773" s="3">
        <f>IF(V773&lt;=15000,V773*12%,1800)</f>
        <v>1800</v>
      </c>
      <c r="AM773" s="3">
        <v>0</v>
      </c>
      <c r="AN773" s="3">
        <f t="shared" si="113"/>
        <v>1800</v>
      </c>
      <c r="AO773" s="12">
        <v>200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3">
        <f t="shared" si="115"/>
        <v>200</v>
      </c>
      <c r="AV773" s="3">
        <f>SUM(AJ773 - AN773 - AU773)</f>
        <v>91333</v>
      </c>
      <c r="AW773" s="11">
        <v>0</v>
      </c>
      <c r="AX773" s="11">
        <v>0</v>
      </c>
      <c r="AY773" s="11">
        <v>0</v>
      </c>
      <c r="AZ773" s="11">
        <v>0</v>
      </c>
      <c r="BA773" s="3">
        <f t="shared" si="114"/>
        <v>91333</v>
      </c>
    </row>
    <row r="774" spans="1:53" x14ac:dyDescent="0.25">
      <c r="A774" s="1" t="s">
        <v>772</v>
      </c>
      <c r="B774" s="9" t="s">
        <v>2007</v>
      </c>
      <c r="C774" s="9" t="s">
        <v>1023</v>
      </c>
      <c r="D774" s="9" t="s">
        <v>2510</v>
      </c>
      <c r="E774" s="9" t="s">
        <v>1008</v>
      </c>
      <c r="F774" s="10">
        <v>45847</v>
      </c>
      <c r="G774" s="9" t="s">
        <v>1013</v>
      </c>
      <c r="I774" s="9" t="s">
        <v>1014</v>
      </c>
      <c r="J774" s="9" t="s">
        <v>1021</v>
      </c>
      <c r="K774" s="8" t="s">
        <v>1006</v>
      </c>
      <c r="L774" s="8" t="s">
        <v>1007</v>
      </c>
      <c r="M774" s="8" t="s">
        <v>2933</v>
      </c>
      <c r="N774" s="8" t="s">
        <v>2937</v>
      </c>
      <c r="O774" s="1" t="s">
        <v>2934</v>
      </c>
      <c r="P774">
        <v>30</v>
      </c>
      <c r="Q774">
        <v>30</v>
      </c>
      <c r="R774">
        <v>0</v>
      </c>
      <c r="S774">
        <f t="shared" si="116"/>
        <v>30</v>
      </c>
      <c r="T774" s="1" t="s">
        <v>2935</v>
      </c>
      <c r="U774" s="1" t="s">
        <v>2932</v>
      </c>
      <c r="V774" s="3">
        <f t="shared" si="117"/>
        <v>40000</v>
      </c>
      <c r="W774" s="3">
        <f t="shared" si="118"/>
        <v>16000</v>
      </c>
      <c r="X774" s="3">
        <f t="shared" si="110"/>
        <v>1250</v>
      </c>
      <c r="Y774" s="3">
        <f t="shared" si="111"/>
        <v>1600</v>
      </c>
      <c r="Z774" s="3">
        <f t="shared" si="112"/>
        <v>1800</v>
      </c>
      <c r="AA774" s="3">
        <v>0</v>
      </c>
      <c r="AB774" s="3">
        <f>ROUND(U774 - (V774+W774+X774+Y774) - (U774/Q774 * 2),0)</f>
        <v>34483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f>SUM(V774+W774+X774+Y774+AB774)</f>
        <v>93333</v>
      </c>
      <c r="AK774" s="3">
        <f>SUM(AJ774-AA774)</f>
        <v>93333</v>
      </c>
      <c r="AL774" s="3">
        <f>IF(V774&lt;=15000,V774*12%,1800)</f>
        <v>1800</v>
      </c>
      <c r="AM774" s="3">
        <v>0</v>
      </c>
      <c r="AN774" s="3">
        <f t="shared" si="113"/>
        <v>1800</v>
      </c>
      <c r="AO774" s="12">
        <v>200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3">
        <f t="shared" si="115"/>
        <v>200</v>
      </c>
      <c r="AV774" s="3">
        <f>SUM(AJ774 - AN774 - AU774)</f>
        <v>91333</v>
      </c>
      <c r="AW774" s="11">
        <v>0</v>
      </c>
      <c r="AX774" s="11">
        <v>0</v>
      </c>
      <c r="AY774" s="11">
        <v>0</v>
      </c>
      <c r="AZ774" s="11">
        <v>0</v>
      </c>
      <c r="BA774" s="3">
        <f t="shared" si="114"/>
        <v>91333</v>
      </c>
    </row>
    <row r="775" spans="1:53" x14ac:dyDescent="0.25">
      <c r="A775" s="1" t="s">
        <v>773</v>
      </c>
      <c r="B775" s="9" t="s">
        <v>2508</v>
      </c>
      <c r="C775" s="9" t="s">
        <v>1063</v>
      </c>
      <c r="D775" s="9" t="s">
        <v>2509</v>
      </c>
      <c r="E775" s="9" t="s">
        <v>1008</v>
      </c>
      <c r="F775" s="10">
        <v>45847</v>
      </c>
      <c r="G775" s="9" t="s">
        <v>1019</v>
      </c>
      <c r="I775" s="9" t="s">
        <v>1014</v>
      </c>
      <c r="J775" s="9" t="s">
        <v>1015</v>
      </c>
      <c r="K775" s="8" t="s">
        <v>1006</v>
      </c>
      <c r="L775" s="8" t="s">
        <v>1007</v>
      </c>
      <c r="M775" s="8" t="s">
        <v>2933</v>
      </c>
      <c r="N775" s="8" t="s">
        <v>2937</v>
      </c>
      <c r="O775" s="1" t="s">
        <v>2934</v>
      </c>
      <c r="P775">
        <v>30</v>
      </c>
      <c r="Q775">
        <v>30</v>
      </c>
      <c r="R775">
        <v>0</v>
      </c>
      <c r="S775">
        <f t="shared" si="116"/>
        <v>30</v>
      </c>
      <c r="T775" s="1" t="s">
        <v>2935</v>
      </c>
      <c r="U775" s="1" t="s">
        <v>2932</v>
      </c>
      <c r="V775" s="3">
        <f t="shared" si="117"/>
        <v>40000</v>
      </c>
      <c r="W775" s="3">
        <f t="shared" si="118"/>
        <v>16000</v>
      </c>
      <c r="X775" s="3">
        <f t="shared" si="110"/>
        <v>1250</v>
      </c>
      <c r="Y775" s="3">
        <f t="shared" si="111"/>
        <v>1600</v>
      </c>
      <c r="Z775" s="3">
        <f t="shared" si="112"/>
        <v>1800</v>
      </c>
      <c r="AA775" s="3">
        <v>0</v>
      </c>
      <c r="AB775" s="3">
        <f>ROUND(U775 - (V775+W775+X775+Y775) - (U775/Q775 * 2),0)</f>
        <v>34483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f>SUM(V775+W775+X775+Y775+AB775)</f>
        <v>93333</v>
      </c>
      <c r="AK775" s="3">
        <f>SUM(AJ775-AA775)</f>
        <v>93333</v>
      </c>
      <c r="AL775" s="3">
        <f>IF(V775&lt;=15000,V775*12%,1800)</f>
        <v>1800</v>
      </c>
      <c r="AM775" s="3">
        <v>0</v>
      </c>
      <c r="AN775" s="3">
        <f t="shared" si="113"/>
        <v>1800</v>
      </c>
      <c r="AO775" s="12">
        <v>200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3">
        <f t="shared" si="115"/>
        <v>200</v>
      </c>
      <c r="AV775" s="3">
        <f>SUM(AJ775 - AN775 - AU775)</f>
        <v>91333</v>
      </c>
      <c r="AW775" s="11">
        <v>0</v>
      </c>
      <c r="AX775" s="11">
        <v>0</v>
      </c>
      <c r="AY775" s="11">
        <v>0</v>
      </c>
      <c r="AZ775" s="11">
        <v>0</v>
      </c>
      <c r="BA775" s="3">
        <f t="shared" si="114"/>
        <v>91333</v>
      </c>
    </row>
    <row r="776" spans="1:53" x14ac:dyDescent="0.25">
      <c r="A776" s="1" t="s">
        <v>774</v>
      </c>
      <c r="B776" s="9" t="s">
        <v>2506</v>
      </c>
      <c r="C776" s="9" t="s">
        <v>1169</v>
      </c>
      <c r="D776" s="9" t="s">
        <v>2507</v>
      </c>
      <c r="E776" s="9" t="s">
        <v>1008</v>
      </c>
      <c r="F776" s="10">
        <v>45847</v>
      </c>
      <c r="G776" s="9" t="s">
        <v>1013</v>
      </c>
      <c r="I776" s="9" t="s">
        <v>1020</v>
      </c>
      <c r="J776" s="9" t="s">
        <v>1171</v>
      </c>
      <c r="K776" s="8" t="s">
        <v>1006</v>
      </c>
      <c r="L776" s="8" t="s">
        <v>1007</v>
      </c>
      <c r="M776" s="8" t="s">
        <v>2933</v>
      </c>
      <c r="N776" s="8" t="s">
        <v>2937</v>
      </c>
      <c r="O776" s="1" t="s">
        <v>2934</v>
      </c>
      <c r="P776">
        <v>30</v>
      </c>
      <c r="Q776">
        <v>30</v>
      </c>
      <c r="R776">
        <v>0</v>
      </c>
      <c r="S776">
        <f t="shared" si="116"/>
        <v>30</v>
      </c>
      <c r="T776" s="1" t="s">
        <v>2935</v>
      </c>
      <c r="U776" s="1" t="s">
        <v>2932</v>
      </c>
      <c r="V776" s="3">
        <f t="shared" si="117"/>
        <v>40000</v>
      </c>
      <c r="W776" s="3">
        <f t="shared" si="118"/>
        <v>16000</v>
      </c>
      <c r="X776" s="3">
        <f t="shared" si="110"/>
        <v>1250</v>
      </c>
      <c r="Y776" s="3">
        <f t="shared" si="111"/>
        <v>1600</v>
      </c>
      <c r="Z776" s="3">
        <f t="shared" si="112"/>
        <v>1800</v>
      </c>
      <c r="AA776" s="3">
        <v>0</v>
      </c>
      <c r="AB776" s="3">
        <f>ROUND(U776 - (V776+W776+X776+Y776) - (U776/Q776 * 2),0)</f>
        <v>34483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f>SUM(V776+W776+X776+Y776+AB776)</f>
        <v>93333</v>
      </c>
      <c r="AK776" s="3">
        <f>SUM(AJ776-AA776)</f>
        <v>93333</v>
      </c>
      <c r="AL776" s="3">
        <f>IF(V776&lt;=15000,V776*12%,1800)</f>
        <v>1800</v>
      </c>
      <c r="AM776" s="3">
        <v>0</v>
      </c>
      <c r="AN776" s="3">
        <f t="shared" si="113"/>
        <v>1800</v>
      </c>
      <c r="AO776" s="12">
        <v>200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3">
        <f t="shared" si="115"/>
        <v>200</v>
      </c>
      <c r="AV776" s="3">
        <f>SUM(AJ776 - AN776 - AU776)</f>
        <v>91333</v>
      </c>
      <c r="AW776" s="11">
        <v>0</v>
      </c>
      <c r="AX776" s="11">
        <v>0</v>
      </c>
      <c r="AY776" s="11">
        <v>0</v>
      </c>
      <c r="AZ776" s="11">
        <v>0</v>
      </c>
      <c r="BA776" s="3">
        <f t="shared" si="114"/>
        <v>91333</v>
      </c>
    </row>
    <row r="777" spans="1:53" x14ac:dyDescent="0.25">
      <c r="A777" s="1" t="s">
        <v>775</v>
      </c>
      <c r="B777" s="9" t="s">
        <v>2505</v>
      </c>
      <c r="C777" s="9" t="s">
        <v>1063</v>
      </c>
      <c r="D777" s="9">
        <v>0</v>
      </c>
      <c r="E777" s="9" t="s">
        <v>1012</v>
      </c>
      <c r="F777" s="10">
        <v>45852</v>
      </c>
      <c r="G777" s="9" t="s">
        <v>1013</v>
      </c>
      <c r="I777" s="9" t="s">
        <v>1014</v>
      </c>
      <c r="J777" s="9" t="s">
        <v>1015</v>
      </c>
      <c r="K777" s="8" t="s">
        <v>1006</v>
      </c>
      <c r="L777" s="8" t="s">
        <v>1007</v>
      </c>
      <c r="M777" s="8" t="s">
        <v>2933</v>
      </c>
      <c r="N777" s="8" t="s">
        <v>2937</v>
      </c>
      <c r="O777" s="1" t="s">
        <v>2934</v>
      </c>
      <c r="P777">
        <v>30</v>
      </c>
      <c r="Q777">
        <v>30</v>
      </c>
      <c r="R777">
        <v>0</v>
      </c>
      <c r="S777">
        <f t="shared" si="116"/>
        <v>30</v>
      </c>
      <c r="T777" s="1" t="s">
        <v>2935</v>
      </c>
      <c r="U777" s="1" t="s">
        <v>2932</v>
      </c>
      <c r="V777" s="3">
        <f t="shared" si="117"/>
        <v>40000</v>
      </c>
      <c r="W777" s="3">
        <f t="shared" si="118"/>
        <v>16000</v>
      </c>
      <c r="X777" s="3">
        <f t="shared" si="110"/>
        <v>1250</v>
      </c>
      <c r="Y777" s="3">
        <f t="shared" si="111"/>
        <v>1600</v>
      </c>
      <c r="Z777" s="3">
        <f t="shared" si="112"/>
        <v>1800</v>
      </c>
      <c r="AA777" s="3">
        <v>0</v>
      </c>
      <c r="AB777" s="3">
        <f>ROUND(U777 - (V777+W777+X777+Y777) - (U777/Q777 * 2),0)</f>
        <v>34483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f>SUM(V777+W777+X777+Y777+AB777)</f>
        <v>93333</v>
      </c>
      <c r="AK777" s="3">
        <f>SUM(AJ777-AA777)</f>
        <v>93333</v>
      </c>
      <c r="AL777" s="3">
        <f>IF(V777&lt;=15000,V777*12%,1800)</f>
        <v>1800</v>
      </c>
      <c r="AM777" s="3">
        <v>0</v>
      </c>
      <c r="AN777" s="3">
        <f t="shared" si="113"/>
        <v>1800</v>
      </c>
      <c r="AO777" s="12">
        <v>200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3">
        <f t="shared" si="115"/>
        <v>200</v>
      </c>
      <c r="AV777" s="3">
        <f>SUM(AJ777 - AN777 - AU777)</f>
        <v>91333</v>
      </c>
      <c r="AW777" s="11">
        <v>0</v>
      </c>
      <c r="AX777" s="11">
        <v>0</v>
      </c>
      <c r="AY777" s="11">
        <v>0</v>
      </c>
      <c r="AZ777" s="11">
        <v>0</v>
      </c>
      <c r="BA777" s="3">
        <f t="shared" si="114"/>
        <v>91333</v>
      </c>
    </row>
    <row r="778" spans="1:53" x14ac:dyDescent="0.25">
      <c r="A778" s="1" t="s">
        <v>776</v>
      </c>
      <c r="B778" s="9" t="s">
        <v>1099</v>
      </c>
      <c r="C778" s="9" t="s">
        <v>1063</v>
      </c>
      <c r="D778" s="9" t="s">
        <v>2504</v>
      </c>
      <c r="E778" s="9" t="s">
        <v>1008</v>
      </c>
      <c r="F778" s="10">
        <v>45852</v>
      </c>
      <c r="G778" s="9" t="s">
        <v>1013</v>
      </c>
      <c r="I778" s="9" t="s">
        <v>1014</v>
      </c>
      <c r="J778" s="9" t="s">
        <v>1015</v>
      </c>
      <c r="K778" s="8" t="s">
        <v>1006</v>
      </c>
      <c r="L778" s="8" t="s">
        <v>1007</v>
      </c>
      <c r="M778" s="8" t="s">
        <v>2933</v>
      </c>
      <c r="N778" s="8" t="s">
        <v>2937</v>
      </c>
      <c r="O778" s="1" t="s">
        <v>2934</v>
      </c>
      <c r="P778">
        <v>30</v>
      </c>
      <c r="Q778">
        <v>30</v>
      </c>
      <c r="R778">
        <v>0</v>
      </c>
      <c r="S778">
        <f t="shared" si="116"/>
        <v>30</v>
      </c>
      <c r="T778" s="1" t="s">
        <v>2935</v>
      </c>
      <c r="U778" s="1" t="s">
        <v>2932</v>
      </c>
      <c r="V778" s="3">
        <f t="shared" si="117"/>
        <v>40000</v>
      </c>
      <c r="W778" s="3">
        <f t="shared" si="118"/>
        <v>16000</v>
      </c>
      <c r="X778" s="3">
        <f t="shared" si="110"/>
        <v>1250</v>
      </c>
      <c r="Y778" s="3">
        <f t="shared" si="111"/>
        <v>1600</v>
      </c>
      <c r="Z778" s="3">
        <f t="shared" si="112"/>
        <v>1800</v>
      </c>
      <c r="AA778" s="3">
        <v>0</v>
      </c>
      <c r="AB778" s="3">
        <f>ROUND(U778 - (V778+W778+X778+Y778) - (U778/Q778 * 2),0)</f>
        <v>34483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f>SUM(V778+W778+X778+Y778+AB778)</f>
        <v>93333</v>
      </c>
      <c r="AK778" s="3">
        <f>SUM(AJ778-AA778)</f>
        <v>93333</v>
      </c>
      <c r="AL778" s="3">
        <f>IF(V778&lt;=15000,V778*12%,1800)</f>
        <v>1800</v>
      </c>
      <c r="AM778" s="3">
        <v>0</v>
      </c>
      <c r="AN778" s="3">
        <f t="shared" si="113"/>
        <v>1800</v>
      </c>
      <c r="AO778" s="12">
        <v>200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3">
        <f t="shared" si="115"/>
        <v>200</v>
      </c>
      <c r="AV778" s="3">
        <f>SUM(AJ778 - AN778 - AU778)</f>
        <v>91333</v>
      </c>
      <c r="AW778" s="11">
        <v>0</v>
      </c>
      <c r="AX778" s="11">
        <v>0</v>
      </c>
      <c r="AY778" s="11">
        <v>0</v>
      </c>
      <c r="AZ778" s="11">
        <v>0</v>
      </c>
      <c r="BA778" s="3">
        <f t="shared" si="114"/>
        <v>91333</v>
      </c>
    </row>
    <row r="779" spans="1:53" x14ac:dyDescent="0.25">
      <c r="A779" s="1" t="s">
        <v>777</v>
      </c>
      <c r="B779" s="9" t="s">
        <v>2502</v>
      </c>
      <c r="C779" s="9" t="s">
        <v>1063</v>
      </c>
      <c r="D779" s="9" t="s">
        <v>2503</v>
      </c>
      <c r="E779" s="9" t="s">
        <v>1008</v>
      </c>
      <c r="F779" s="10">
        <v>45852</v>
      </c>
      <c r="G779" s="9" t="s">
        <v>1013</v>
      </c>
      <c r="I779" s="9" t="s">
        <v>1014</v>
      </c>
      <c r="J779" s="9" t="s">
        <v>1015</v>
      </c>
      <c r="K779" s="8" t="s">
        <v>1006</v>
      </c>
      <c r="L779" s="8" t="s">
        <v>1007</v>
      </c>
      <c r="M779" s="8" t="s">
        <v>2933</v>
      </c>
      <c r="N779" s="8" t="s">
        <v>2937</v>
      </c>
      <c r="O779" s="1" t="s">
        <v>2934</v>
      </c>
      <c r="P779">
        <v>30</v>
      </c>
      <c r="Q779">
        <v>30</v>
      </c>
      <c r="R779">
        <v>0</v>
      </c>
      <c r="S779">
        <f t="shared" si="116"/>
        <v>30</v>
      </c>
      <c r="T779" s="1" t="s">
        <v>2935</v>
      </c>
      <c r="U779" s="1" t="s">
        <v>2932</v>
      </c>
      <c r="V779" s="3">
        <f t="shared" si="117"/>
        <v>40000</v>
      </c>
      <c r="W779" s="3">
        <f t="shared" si="118"/>
        <v>16000</v>
      </c>
      <c r="X779" s="3">
        <f t="shared" si="110"/>
        <v>1250</v>
      </c>
      <c r="Y779" s="3">
        <f t="shared" si="111"/>
        <v>1600</v>
      </c>
      <c r="Z779" s="3">
        <f t="shared" si="112"/>
        <v>1800</v>
      </c>
      <c r="AA779" s="3">
        <v>0</v>
      </c>
      <c r="AB779" s="3">
        <f>ROUND(U779 - (V779+W779+X779+Y779) - (U779/Q779 * 2),0)</f>
        <v>34483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f>SUM(V779+W779+X779+Y779+AB779)</f>
        <v>93333</v>
      </c>
      <c r="AK779" s="3">
        <f>SUM(AJ779-AA779)</f>
        <v>93333</v>
      </c>
      <c r="AL779" s="3">
        <f>IF(V779&lt;=15000,V779*12%,1800)</f>
        <v>1800</v>
      </c>
      <c r="AM779" s="3">
        <v>0</v>
      </c>
      <c r="AN779" s="3">
        <f t="shared" si="113"/>
        <v>1800</v>
      </c>
      <c r="AO779" s="12">
        <v>200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3">
        <f t="shared" si="115"/>
        <v>200</v>
      </c>
      <c r="AV779" s="3">
        <f>SUM(AJ779 - AN779 - AU779)</f>
        <v>91333</v>
      </c>
      <c r="AW779" s="11">
        <v>0</v>
      </c>
      <c r="AX779" s="11">
        <v>0</v>
      </c>
      <c r="AY779" s="11">
        <v>0</v>
      </c>
      <c r="AZ779" s="11">
        <v>0</v>
      </c>
      <c r="BA779" s="3">
        <f t="shared" si="114"/>
        <v>91333</v>
      </c>
    </row>
    <row r="780" spans="1:53" x14ac:dyDescent="0.25">
      <c r="A780" s="1" t="s">
        <v>778</v>
      </c>
      <c r="B780" s="9" t="s">
        <v>2500</v>
      </c>
      <c r="C780" s="9" t="s">
        <v>1063</v>
      </c>
      <c r="D780" s="9" t="s">
        <v>2501</v>
      </c>
      <c r="E780" s="9" t="s">
        <v>1008</v>
      </c>
      <c r="F780" s="10">
        <v>45852</v>
      </c>
      <c r="G780" s="9" t="s">
        <v>1013</v>
      </c>
      <c r="I780" s="9" t="s">
        <v>1014</v>
      </c>
      <c r="J780" s="9" t="s">
        <v>1015</v>
      </c>
      <c r="K780" s="8" t="s">
        <v>1006</v>
      </c>
      <c r="L780" s="8" t="s">
        <v>1007</v>
      </c>
      <c r="M780" s="8" t="s">
        <v>2933</v>
      </c>
      <c r="N780" s="8" t="s">
        <v>2937</v>
      </c>
      <c r="O780" s="1" t="s">
        <v>2934</v>
      </c>
      <c r="P780">
        <v>30</v>
      </c>
      <c r="Q780">
        <v>30</v>
      </c>
      <c r="R780">
        <v>0</v>
      </c>
      <c r="S780">
        <f t="shared" si="116"/>
        <v>30</v>
      </c>
      <c r="T780" s="1" t="s">
        <v>2935</v>
      </c>
      <c r="U780" s="1" t="s">
        <v>2932</v>
      </c>
      <c r="V780" s="3">
        <f t="shared" si="117"/>
        <v>40000</v>
      </c>
      <c r="W780" s="3">
        <f t="shared" si="118"/>
        <v>16000</v>
      </c>
      <c r="X780" s="3">
        <f t="shared" si="110"/>
        <v>1250</v>
      </c>
      <c r="Y780" s="3">
        <f t="shared" si="111"/>
        <v>1600</v>
      </c>
      <c r="Z780" s="3">
        <f t="shared" si="112"/>
        <v>1800</v>
      </c>
      <c r="AA780" s="3">
        <v>0</v>
      </c>
      <c r="AB780" s="3">
        <f>ROUND(U780 - (V780+W780+X780+Y780) - (U780/Q780 * 2),0)</f>
        <v>34483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f>SUM(V780+W780+X780+Y780+AB780)</f>
        <v>93333</v>
      </c>
      <c r="AK780" s="3">
        <f>SUM(AJ780-AA780)</f>
        <v>93333</v>
      </c>
      <c r="AL780" s="3">
        <f>IF(V780&lt;=15000,V780*12%,1800)</f>
        <v>1800</v>
      </c>
      <c r="AM780" s="3">
        <v>0</v>
      </c>
      <c r="AN780" s="3">
        <f t="shared" si="113"/>
        <v>1800</v>
      </c>
      <c r="AO780" s="12">
        <v>200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3">
        <f t="shared" si="115"/>
        <v>200</v>
      </c>
      <c r="AV780" s="3">
        <f>SUM(AJ780 - AN780 - AU780)</f>
        <v>91333</v>
      </c>
      <c r="AW780" s="11">
        <v>0</v>
      </c>
      <c r="AX780" s="11">
        <v>0</v>
      </c>
      <c r="AY780" s="11">
        <v>0</v>
      </c>
      <c r="AZ780" s="11">
        <v>0</v>
      </c>
      <c r="BA780" s="3">
        <f t="shared" si="114"/>
        <v>91333</v>
      </c>
    </row>
    <row r="781" spans="1:53" x14ac:dyDescent="0.25">
      <c r="A781" s="1" t="s">
        <v>779</v>
      </c>
      <c r="B781" s="9" t="s">
        <v>2498</v>
      </c>
      <c r="C781" s="9" t="s">
        <v>1169</v>
      </c>
      <c r="D781" s="9" t="s">
        <v>2499</v>
      </c>
      <c r="E781" s="9" t="s">
        <v>1008</v>
      </c>
      <c r="F781" s="10">
        <v>45854</v>
      </c>
      <c r="G781" s="9" t="s">
        <v>1019</v>
      </c>
      <c r="I781" s="9" t="s">
        <v>1020</v>
      </c>
      <c r="J781" s="9" t="s">
        <v>1171</v>
      </c>
      <c r="K781" s="8" t="s">
        <v>1006</v>
      </c>
      <c r="L781" s="8" t="s">
        <v>1007</v>
      </c>
      <c r="M781" s="8" t="s">
        <v>2933</v>
      </c>
      <c r="N781" s="8" t="s">
        <v>2937</v>
      </c>
      <c r="O781" s="1" t="s">
        <v>2934</v>
      </c>
      <c r="P781">
        <v>30</v>
      </c>
      <c r="Q781">
        <v>30</v>
      </c>
      <c r="R781">
        <v>0</v>
      </c>
      <c r="S781">
        <f t="shared" si="116"/>
        <v>30</v>
      </c>
      <c r="T781" s="1" t="s">
        <v>2935</v>
      </c>
      <c r="U781" s="1" t="s">
        <v>2932</v>
      </c>
      <c r="V781" s="3">
        <f t="shared" si="117"/>
        <v>40000</v>
      </c>
      <c r="W781" s="3">
        <f t="shared" si="118"/>
        <v>16000</v>
      </c>
      <c r="X781" s="3">
        <f t="shared" si="110"/>
        <v>1250</v>
      </c>
      <c r="Y781" s="3">
        <f t="shared" si="111"/>
        <v>1600</v>
      </c>
      <c r="Z781" s="3">
        <f t="shared" si="112"/>
        <v>1800</v>
      </c>
      <c r="AA781" s="3">
        <v>0</v>
      </c>
      <c r="AB781" s="3">
        <f>ROUND(U781 - (V781+W781+X781+Y781) - (U781/Q781 * 2),0)</f>
        <v>34483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f>SUM(V781+W781+X781+Y781+AB781)</f>
        <v>93333</v>
      </c>
      <c r="AK781" s="3">
        <f>SUM(AJ781-AA781)</f>
        <v>93333</v>
      </c>
      <c r="AL781" s="3">
        <f>IF(V781&lt;=15000,V781*12%,1800)</f>
        <v>1800</v>
      </c>
      <c r="AM781" s="3">
        <v>0</v>
      </c>
      <c r="AN781" s="3">
        <f t="shared" si="113"/>
        <v>1800</v>
      </c>
      <c r="AO781" s="12">
        <v>200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3">
        <f t="shared" si="115"/>
        <v>200</v>
      </c>
      <c r="AV781" s="3">
        <f>SUM(AJ781 - AN781 - AU781)</f>
        <v>91333</v>
      </c>
      <c r="AW781" s="11">
        <v>0</v>
      </c>
      <c r="AX781" s="11">
        <v>0</v>
      </c>
      <c r="AY781" s="11">
        <v>0</v>
      </c>
      <c r="AZ781" s="11">
        <v>0</v>
      </c>
      <c r="BA781" s="3">
        <f t="shared" si="114"/>
        <v>91333</v>
      </c>
    </row>
    <row r="782" spans="1:53" x14ac:dyDescent="0.25">
      <c r="A782" s="1" t="s">
        <v>780</v>
      </c>
      <c r="B782" s="9" t="s">
        <v>2497</v>
      </c>
      <c r="C782" s="9" t="s">
        <v>1010</v>
      </c>
      <c r="D782" s="9">
        <v>0</v>
      </c>
      <c r="E782" s="9" t="s">
        <v>1012</v>
      </c>
      <c r="F782" s="10">
        <v>45854</v>
      </c>
      <c r="G782" s="9" t="s">
        <v>1019</v>
      </c>
      <c r="I782" s="9" t="s">
        <v>1014</v>
      </c>
      <c r="J782" s="9" t="s">
        <v>1015</v>
      </c>
      <c r="K782" s="8" t="s">
        <v>1006</v>
      </c>
      <c r="L782" s="8" t="s">
        <v>1007</v>
      </c>
      <c r="M782" s="8" t="s">
        <v>2933</v>
      </c>
      <c r="N782" s="8" t="s">
        <v>2937</v>
      </c>
      <c r="O782" s="1" t="s">
        <v>2934</v>
      </c>
      <c r="P782">
        <v>30</v>
      </c>
      <c r="Q782">
        <v>30</v>
      </c>
      <c r="R782">
        <v>0</v>
      </c>
      <c r="S782">
        <f t="shared" si="116"/>
        <v>30</v>
      </c>
      <c r="T782" s="1" t="s">
        <v>2935</v>
      </c>
      <c r="U782" s="1" t="s">
        <v>2932</v>
      </c>
      <c r="V782" s="3">
        <f t="shared" si="117"/>
        <v>40000</v>
      </c>
      <c r="W782" s="3">
        <f t="shared" si="118"/>
        <v>16000</v>
      </c>
      <c r="X782" s="3">
        <f t="shared" si="110"/>
        <v>1250</v>
      </c>
      <c r="Y782" s="3">
        <f t="shared" si="111"/>
        <v>1600</v>
      </c>
      <c r="Z782" s="3">
        <f t="shared" si="112"/>
        <v>1800</v>
      </c>
      <c r="AA782" s="3">
        <v>0</v>
      </c>
      <c r="AB782" s="3">
        <f>ROUND(U782 - (V782+W782+X782+Y782) - (U782/Q782 * 2),0)</f>
        <v>34483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f>SUM(V782+W782+X782+Y782+AB782)</f>
        <v>93333</v>
      </c>
      <c r="AK782" s="3">
        <f>SUM(AJ782-AA782)</f>
        <v>93333</v>
      </c>
      <c r="AL782" s="3">
        <f>IF(V782&lt;=15000,V782*12%,1800)</f>
        <v>1800</v>
      </c>
      <c r="AM782" s="3">
        <v>0</v>
      </c>
      <c r="AN782" s="3">
        <f t="shared" si="113"/>
        <v>1800</v>
      </c>
      <c r="AO782" s="12">
        <v>200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3">
        <f t="shared" si="115"/>
        <v>200</v>
      </c>
      <c r="AV782" s="3">
        <f>SUM(AJ782 - AN782 - AU782)</f>
        <v>91333</v>
      </c>
      <c r="AW782" s="11">
        <v>0</v>
      </c>
      <c r="AX782" s="11">
        <v>0</v>
      </c>
      <c r="AY782" s="11">
        <v>0</v>
      </c>
      <c r="AZ782" s="11">
        <v>0</v>
      </c>
      <c r="BA782" s="3">
        <f t="shared" si="114"/>
        <v>91333</v>
      </c>
    </row>
    <row r="783" spans="1:53" x14ac:dyDescent="0.25">
      <c r="A783" s="1" t="s">
        <v>781</v>
      </c>
      <c r="B783" s="9" t="s">
        <v>2551</v>
      </c>
      <c r="C783" s="9" t="s">
        <v>1010</v>
      </c>
      <c r="D783" s="9" t="s">
        <v>2552</v>
      </c>
      <c r="E783" s="9" t="s">
        <v>1008</v>
      </c>
      <c r="F783" s="10">
        <v>45854</v>
      </c>
      <c r="G783" s="9" t="s">
        <v>1013</v>
      </c>
      <c r="I783" s="9" t="s">
        <v>1014</v>
      </c>
      <c r="J783" s="9" t="s">
        <v>1015</v>
      </c>
      <c r="K783" s="8" t="s">
        <v>1006</v>
      </c>
      <c r="L783" s="8" t="s">
        <v>1007</v>
      </c>
      <c r="M783" s="8" t="s">
        <v>2933</v>
      </c>
      <c r="N783" s="8" t="s">
        <v>2937</v>
      </c>
      <c r="O783" s="1" t="s">
        <v>2934</v>
      </c>
      <c r="P783">
        <v>30</v>
      </c>
      <c r="Q783">
        <v>30</v>
      </c>
      <c r="R783">
        <v>0</v>
      </c>
      <c r="S783">
        <f t="shared" si="116"/>
        <v>30</v>
      </c>
      <c r="T783" s="1" t="s">
        <v>2935</v>
      </c>
      <c r="U783" s="1" t="s">
        <v>2932</v>
      </c>
      <c r="V783" s="3">
        <f t="shared" si="117"/>
        <v>40000</v>
      </c>
      <c r="W783" s="3">
        <f t="shared" si="118"/>
        <v>16000</v>
      </c>
      <c r="X783" s="3">
        <f t="shared" si="110"/>
        <v>1250</v>
      </c>
      <c r="Y783" s="3">
        <f t="shared" si="111"/>
        <v>1600</v>
      </c>
      <c r="Z783" s="3">
        <f t="shared" si="112"/>
        <v>1800</v>
      </c>
      <c r="AA783" s="3">
        <v>0</v>
      </c>
      <c r="AB783" s="3">
        <f>ROUND(U783 - (V783+W783+X783+Y783) - (U783/Q783 * 2),0)</f>
        <v>34483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f>SUM(V783+W783+X783+Y783+AB783)</f>
        <v>93333</v>
      </c>
      <c r="AK783" s="3">
        <f>SUM(AJ783-AA783)</f>
        <v>93333</v>
      </c>
      <c r="AL783" s="3">
        <f>IF(V783&lt;=15000,V783*12%,1800)</f>
        <v>1800</v>
      </c>
      <c r="AM783" s="3">
        <v>0</v>
      </c>
      <c r="AN783" s="3">
        <f t="shared" si="113"/>
        <v>1800</v>
      </c>
      <c r="AO783" s="12">
        <v>200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3">
        <f t="shared" si="115"/>
        <v>200</v>
      </c>
      <c r="AV783" s="3">
        <f>SUM(AJ783 - AN783 - AU783)</f>
        <v>91333</v>
      </c>
      <c r="AW783" s="11">
        <v>0</v>
      </c>
      <c r="AX783" s="11">
        <v>0</v>
      </c>
      <c r="AY783" s="11">
        <v>0</v>
      </c>
      <c r="AZ783" s="11">
        <v>0</v>
      </c>
      <c r="BA783" s="3">
        <f t="shared" si="114"/>
        <v>91333</v>
      </c>
    </row>
    <row r="784" spans="1:53" x14ac:dyDescent="0.25">
      <c r="A784" s="1" t="s">
        <v>782</v>
      </c>
      <c r="B784" s="9" t="s">
        <v>2549</v>
      </c>
      <c r="C784" s="9" t="s">
        <v>1023</v>
      </c>
      <c r="D784" s="9" t="s">
        <v>2550</v>
      </c>
      <c r="E784" s="9" t="s">
        <v>1012</v>
      </c>
      <c r="F784" s="10">
        <v>44774</v>
      </c>
      <c r="G784" s="9" t="s">
        <v>1013</v>
      </c>
      <c r="I784" s="9" t="s">
        <v>2009</v>
      </c>
      <c r="J784" s="9" t="s">
        <v>1021</v>
      </c>
      <c r="K784" s="8" t="s">
        <v>1006</v>
      </c>
      <c r="L784" s="8" t="s">
        <v>1007</v>
      </c>
      <c r="M784" s="8" t="s">
        <v>2933</v>
      </c>
      <c r="N784" s="8" t="s">
        <v>2937</v>
      </c>
      <c r="O784" s="1" t="s">
        <v>2934</v>
      </c>
      <c r="P784">
        <v>30</v>
      </c>
      <c r="Q784">
        <v>30</v>
      </c>
      <c r="R784">
        <v>0</v>
      </c>
      <c r="S784">
        <f t="shared" si="116"/>
        <v>30</v>
      </c>
      <c r="T784" s="1" t="s">
        <v>2935</v>
      </c>
      <c r="U784" s="1" t="s">
        <v>2932</v>
      </c>
      <c r="V784" s="3">
        <f t="shared" si="117"/>
        <v>40000</v>
      </c>
      <c r="W784" s="3">
        <f t="shared" si="118"/>
        <v>16000</v>
      </c>
      <c r="X784" s="3">
        <f t="shared" si="110"/>
        <v>1250</v>
      </c>
      <c r="Y784" s="3">
        <f t="shared" si="111"/>
        <v>1600</v>
      </c>
      <c r="Z784" s="3">
        <f t="shared" si="112"/>
        <v>1800</v>
      </c>
      <c r="AA784" s="3">
        <v>0</v>
      </c>
      <c r="AB784" s="3">
        <f>ROUND(U784 - (V784+W784+X784+Y784) - (U784/Q784 * 2),0)</f>
        <v>34483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f>SUM(V784+W784+X784+Y784+AB784)</f>
        <v>93333</v>
      </c>
      <c r="AK784" s="3">
        <f>SUM(AJ784-AA784)</f>
        <v>93333</v>
      </c>
      <c r="AL784" s="3">
        <f>IF(V784&lt;=15000,V784*12%,1800)</f>
        <v>1800</v>
      </c>
      <c r="AM784" s="3">
        <v>0</v>
      </c>
      <c r="AN784" s="3">
        <f t="shared" si="113"/>
        <v>1800</v>
      </c>
      <c r="AO784" s="12">
        <v>200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3">
        <f t="shared" si="115"/>
        <v>200</v>
      </c>
      <c r="AV784" s="3">
        <f>SUM(AJ784 - AN784 - AU784)</f>
        <v>91333</v>
      </c>
      <c r="AW784" s="11">
        <v>0</v>
      </c>
      <c r="AX784" s="11">
        <v>0</v>
      </c>
      <c r="AY784" s="11">
        <v>0</v>
      </c>
      <c r="AZ784" s="11">
        <v>0</v>
      </c>
      <c r="BA784" s="3">
        <f t="shared" si="114"/>
        <v>91333</v>
      </c>
    </row>
    <row r="785" spans="1:53" x14ac:dyDescent="0.25">
      <c r="A785" s="1" t="s">
        <v>783</v>
      </c>
      <c r="B785" s="9" t="s">
        <v>2547</v>
      </c>
      <c r="C785" s="9" t="s">
        <v>1115</v>
      </c>
      <c r="D785" s="9" t="s">
        <v>2548</v>
      </c>
      <c r="E785" s="9" t="s">
        <v>1008</v>
      </c>
      <c r="F785" s="10">
        <v>44781</v>
      </c>
      <c r="G785" s="9" t="s">
        <v>1019</v>
      </c>
      <c r="I785" s="9" t="s">
        <v>1042</v>
      </c>
      <c r="J785" s="9" t="s">
        <v>1048</v>
      </c>
      <c r="K785" s="8" t="s">
        <v>1006</v>
      </c>
      <c r="L785" s="8" t="s">
        <v>1007</v>
      </c>
      <c r="M785" s="8" t="s">
        <v>2933</v>
      </c>
      <c r="N785" s="8" t="s">
        <v>2937</v>
      </c>
      <c r="O785" s="1" t="s">
        <v>2934</v>
      </c>
      <c r="P785">
        <v>30</v>
      </c>
      <c r="Q785">
        <v>30</v>
      </c>
      <c r="R785">
        <v>0</v>
      </c>
      <c r="S785">
        <f t="shared" si="116"/>
        <v>30</v>
      </c>
      <c r="T785" s="1" t="s">
        <v>2935</v>
      </c>
      <c r="U785" s="1" t="s">
        <v>2932</v>
      </c>
      <c r="V785" s="3">
        <f t="shared" si="117"/>
        <v>40000</v>
      </c>
      <c r="W785" s="3">
        <f t="shared" si="118"/>
        <v>16000</v>
      </c>
      <c r="X785" s="3">
        <f t="shared" si="110"/>
        <v>1250</v>
      </c>
      <c r="Y785" s="3">
        <f t="shared" si="111"/>
        <v>1600</v>
      </c>
      <c r="Z785" s="3">
        <f t="shared" si="112"/>
        <v>1800</v>
      </c>
      <c r="AA785" s="3">
        <v>0</v>
      </c>
      <c r="AB785" s="3">
        <f>ROUND(U785 - (V785+W785+X785+Y785) - (U785/Q785 * 2),0)</f>
        <v>34483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f>SUM(V785+W785+X785+Y785+AB785)</f>
        <v>93333</v>
      </c>
      <c r="AK785" s="3">
        <f>SUM(AJ785-AA785)</f>
        <v>93333</v>
      </c>
      <c r="AL785" s="3">
        <f>IF(V785&lt;=15000,V785*12%,1800)</f>
        <v>1800</v>
      </c>
      <c r="AM785" s="3">
        <v>0</v>
      </c>
      <c r="AN785" s="3">
        <f t="shared" si="113"/>
        <v>1800</v>
      </c>
      <c r="AO785" s="12">
        <v>200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3">
        <f t="shared" si="115"/>
        <v>200</v>
      </c>
      <c r="AV785" s="3">
        <f>SUM(AJ785 - AN785 - AU785)</f>
        <v>91333</v>
      </c>
      <c r="AW785" s="11">
        <v>0</v>
      </c>
      <c r="AX785" s="11">
        <v>0</v>
      </c>
      <c r="AY785" s="11">
        <v>0</v>
      </c>
      <c r="AZ785" s="11">
        <v>0</v>
      </c>
      <c r="BA785" s="3">
        <f t="shared" si="114"/>
        <v>91333</v>
      </c>
    </row>
    <row r="786" spans="1:53" x14ac:dyDescent="0.25">
      <c r="A786" s="1" t="s">
        <v>784</v>
      </c>
      <c r="B786" s="9" t="s">
        <v>2545</v>
      </c>
      <c r="C786" s="9" t="s">
        <v>1067</v>
      </c>
      <c r="D786" s="9" t="s">
        <v>2546</v>
      </c>
      <c r="E786" s="9" t="s">
        <v>1012</v>
      </c>
      <c r="F786" s="10">
        <v>44797</v>
      </c>
      <c r="G786" s="9" t="s">
        <v>1019</v>
      </c>
      <c r="I786" s="9" t="s">
        <v>1042</v>
      </c>
      <c r="J786" s="9" t="s">
        <v>1048</v>
      </c>
      <c r="K786" s="8" t="s">
        <v>1006</v>
      </c>
      <c r="L786" s="8" t="s">
        <v>1007</v>
      </c>
      <c r="M786" s="8" t="s">
        <v>2933</v>
      </c>
      <c r="N786" s="8" t="s">
        <v>2937</v>
      </c>
      <c r="O786" s="1" t="s">
        <v>2934</v>
      </c>
      <c r="P786">
        <v>30</v>
      </c>
      <c r="Q786">
        <v>30</v>
      </c>
      <c r="R786">
        <v>0</v>
      </c>
      <c r="S786">
        <f t="shared" si="116"/>
        <v>30</v>
      </c>
      <c r="T786" s="1" t="s">
        <v>2935</v>
      </c>
      <c r="U786" s="1" t="s">
        <v>2932</v>
      </c>
      <c r="V786" s="3">
        <f t="shared" si="117"/>
        <v>40000</v>
      </c>
      <c r="W786" s="3">
        <f t="shared" si="118"/>
        <v>16000</v>
      </c>
      <c r="X786" s="3">
        <f t="shared" si="110"/>
        <v>1250</v>
      </c>
      <c r="Y786" s="3">
        <f t="shared" si="111"/>
        <v>1600</v>
      </c>
      <c r="Z786" s="3">
        <f t="shared" si="112"/>
        <v>1800</v>
      </c>
      <c r="AA786" s="3">
        <v>0</v>
      </c>
      <c r="AB786" s="3">
        <f>ROUND(U786 - (V786+W786+X786+Y786) - (U786/Q786 * 2),0)</f>
        <v>34483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f>SUM(V786+W786+X786+Y786+AB786)</f>
        <v>93333</v>
      </c>
      <c r="AK786" s="3">
        <f>SUM(AJ786-AA786)</f>
        <v>93333</v>
      </c>
      <c r="AL786" s="3">
        <f>IF(V786&lt;=15000,V786*12%,1800)</f>
        <v>1800</v>
      </c>
      <c r="AM786" s="3">
        <v>0</v>
      </c>
      <c r="AN786" s="3">
        <f t="shared" si="113"/>
        <v>1800</v>
      </c>
      <c r="AO786" s="12">
        <v>200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3">
        <f t="shared" si="115"/>
        <v>200</v>
      </c>
      <c r="AV786" s="3">
        <f>SUM(AJ786 - AN786 - AU786)</f>
        <v>91333</v>
      </c>
      <c r="AW786" s="11">
        <v>0</v>
      </c>
      <c r="AX786" s="11">
        <v>0</v>
      </c>
      <c r="AY786" s="11">
        <v>0</v>
      </c>
      <c r="AZ786" s="11">
        <v>0</v>
      </c>
      <c r="BA786" s="3">
        <f t="shared" si="114"/>
        <v>91333</v>
      </c>
    </row>
    <row r="787" spans="1:53" x14ac:dyDescent="0.25">
      <c r="A787" s="1" t="s">
        <v>785</v>
      </c>
      <c r="B787" s="9" t="s">
        <v>2543</v>
      </c>
      <c r="C787" s="9" t="s">
        <v>1026</v>
      </c>
      <c r="D787" s="9" t="s">
        <v>2544</v>
      </c>
      <c r="E787" s="9" t="s">
        <v>1012</v>
      </c>
      <c r="F787" s="10">
        <v>44781</v>
      </c>
      <c r="G787" s="9" t="s">
        <v>1019</v>
      </c>
      <c r="I787" s="9" t="s">
        <v>1014</v>
      </c>
      <c r="J787" s="9" t="s">
        <v>1015</v>
      </c>
      <c r="K787" s="8" t="s">
        <v>1006</v>
      </c>
      <c r="L787" s="8" t="s">
        <v>1007</v>
      </c>
      <c r="M787" s="8" t="s">
        <v>2933</v>
      </c>
      <c r="N787" s="8" t="s">
        <v>2937</v>
      </c>
      <c r="O787" s="1" t="s">
        <v>2934</v>
      </c>
      <c r="P787">
        <v>30</v>
      </c>
      <c r="Q787">
        <v>30</v>
      </c>
      <c r="R787">
        <v>0</v>
      </c>
      <c r="S787">
        <f t="shared" si="116"/>
        <v>30</v>
      </c>
      <c r="T787" s="1" t="s">
        <v>2935</v>
      </c>
      <c r="U787" s="1" t="s">
        <v>2932</v>
      </c>
      <c r="V787" s="3">
        <f t="shared" si="117"/>
        <v>40000</v>
      </c>
      <c r="W787" s="3">
        <f t="shared" si="118"/>
        <v>16000</v>
      </c>
      <c r="X787" s="3">
        <f t="shared" si="110"/>
        <v>1250</v>
      </c>
      <c r="Y787" s="3">
        <f t="shared" si="111"/>
        <v>1600</v>
      </c>
      <c r="Z787" s="3">
        <f t="shared" si="112"/>
        <v>1800</v>
      </c>
      <c r="AA787" s="3">
        <v>0</v>
      </c>
      <c r="AB787" s="3">
        <f>ROUND(U787 - (V787+W787+X787+Y787) - (U787/Q787 * 2),0)</f>
        <v>34483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f>SUM(V787+W787+X787+Y787+AB787)</f>
        <v>93333</v>
      </c>
      <c r="AK787" s="3">
        <f>SUM(AJ787-AA787)</f>
        <v>93333</v>
      </c>
      <c r="AL787" s="3">
        <f>IF(V787&lt;=15000,V787*12%,1800)</f>
        <v>1800</v>
      </c>
      <c r="AM787" s="3">
        <v>0</v>
      </c>
      <c r="AN787" s="3">
        <f t="shared" si="113"/>
        <v>1800</v>
      </c>
      <c r="AO787" s="12">
        <v>200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3">
        <f t="shared" si="115"/>
        <v>200</v>
      </c>
      <c r="AV787" s="3">
        <f>SUM(AJ787 - AN787 - AU787)</f>
        <v>91333</v>
      </c>
      <c r="AW787" s="11">
        <v>0</v>
      </c>
      <c r="AX787" s="11">
        <v>0</v>
      </c>
      <c r="AY787" s="11">
        <v>0</v>
      </c>
      <c r="AZ787" s="11">
        <v>0</v>
      </c>
      <c r="BA787" s="3">
        <f t="shared" si="114"/>
        <v>91333</v>
      </c>
    </row>
    <row r="788" spans="1:53" x14ac:dyDescent="0.25">
      <c r="A788" s="1" t="s">
        <v>786</v>
      </c>
      <c r="B788" s="9" t="s">
        <v>2541</v>
      </c>
      <c r="C788" s="9" t="s">
        <v>1063</v>
      </c>
      <c r="D788" s="9" t="s">
        <v>2542</v>
      </c>
      <c r="E788" s="9" t="s">
        <v>1012</v>
      </c>
      <c r="F788" s="10">
        <v>44795</v>
      </c>
      <c r="G788" s="9" t="s">
        <v>1019</v>
      </c>
      <c r="I788" s="9" t="s">
        <v>1065</v>
      </c>
      <c r="J788" s="9" t="s">
        <v>1015</v>
      </c>
      <c r="K788" s="8" t="s">
        <v>1006</v>
      </c>
      <c r="L788" s="8" t="s">
        <v>1007</v>
      </c>
      <c r="M788" s="8" t="s">
        <v>2933</v>
      </c>
      <c r="N788" s="8" t="s">
        <v>2937</v>
      </c>
      <c r="O788" s="1" t="s">
        <v>2934</v>
      </c>
      <c r="P788">
        <v>30</v>
      </c>
      <c r="Q788">
        <v>30</v>
      </c>
      <c r="R788">
        <v>0</v>
      </c>
      <c r="S788">
        <f t="shared" si="116"/>
        <v>30</v>
      </c>
      <c r="T788" s="1" t="s">
        <v>2935</v>
      </c>
      <c r="U788" s="1" t="s">
        <v>2932</v>
      </c>
      <c r="V788" s="3">
        <f t="shared" si="117"/>
        <v>40000</v>
      </c>
      <c r="W788" s="3">
        <f t="shared" si="118"/>
        <v>16000</v>
      </c>
      <c r="X788" s="3">
        <f t="shared" si="110"/>
        <v>1250</v>
      </c>
      <c r="Y788" s="3">
        <f t="shared" si="111"/>
        <v>1600</v>
      </c>
      <c r="Z788" s="3">
        <f t="shared" si="112"/>
        <v>1800</v>
      </c>
      <c r="AA788" s="3">
        <v>0</v>
      </c>
      <c r="AB788" s="3">
        <f>ROUND(U788 - (V788+W788+X788+Y788) - (U788/Q788 * 2),0)</f>
        <v>34483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f>SUM(V788+W788+X788+Y788+AB788)</f>
        <v>93333</v>
      </c>
      <c r="AK788" s="3">
        <f>SUM(AJ788-AA788)</f>
        <v>93333</v>
      </c>
      <c r="AL788" s="3">
        <f>IF(V788&lt;=15000,V788*12%,1800)</f>
        <v>1800</v>
      </c>
      <c r="AM788" s="3">
        <v>0</v>
      </c>
      <c r="AN788" s="3">
        <f t="shared" si="113"/>
        <v>1800</v>
      </c>
      <c r="AO788" s="12">
        <v>200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3">
        <f t="shared" si="115"/>
        <v>200</v>
      </c>
      <c r="AV788" s="3">
        <f>SUM(AJ788 - AN788 - AU788)</f>
        <v>91333</v>
      </c>
      <c r="AW788" s="11">
        <v>0</v>
      </c>
      <c r="AX788" s="11">
        <v>0</v>
      </c>
      <c r="AY788" s="11">
        <v>0</v>
      </c>
      <c r="AZ788" s="11">
        <v>0</v>
      </c>
      <c r="BA788" s="3">
        <f t="shared" si="114"/>
        <v>91333</v>
      </c>
    </row>
    <row r="789" spans="1:53" x14ac:dyDescent="0.25">
      <c r="A789" s="1" t="s">
        <v>787</v>
      </c>
      <c r="B789" s="9" t="s">
        <v>2539</v>
      </c>
      <c r="C789" s="9" t="s">
        <v>1173</v>
      </c>
      <c r="D789" s="9" t="s">
        <v>2540</v>
      </c>
      <c r="E789" s="9" t="s">
        <v>1012</v>
      </c>
      <c r="F789" s="10">
        <v>44797</v>
      </c>
      <c r="G789" s="9" t="s">
        <v>1019</v>
      </c>
      <c r="I789" s="9" t="s">
        <v>1042</v>
      </c>
      <c r="J789" s="9" t="s">
        <v>1048</v>
      </c>
      <c r="K789" s="8" t="s">
        <v>1006</v>
      </c>
      <c r="L789" s="8" t="s">
        <v>1007</v>
      </c>
      <c r="M789" s="8" t="s">
        <v>2933</v>
      </c>
      <c r="N789" s="8" t="s">
        <v>2937</v>
      </c>
      <c r="O789" s="1" t="s">
        <v>2934</v>
      </c>
      <c r="P789">
        <v>30</v>
      </c>
      <c r="Q789">
        <v>30</v>
      </c>
      <c r="R789">
        <v>0</v>
      </c>
      <c r="S789">
        <f t="shared" si="116"/>
        <v>30</v>
      </c>
      <c r="T789" s="1" t="s">
        <v>2935</v>
      </c>
      <c r="U789" s="1" t="s">
        <v>2932</v>
      </c>
      <c r="V789" s="3">
        <f t="shared" si="117"/>
        <v>40000</v>
      </c>
      <c r="W789" s="3">
        <f t="shared" si="118"/>
        <v>16000</v>
      </c>
      <c r="X789" s="3">
        <f t="shared" si="110"/>
        <v>1250</v>
      </c>
      <c r="Y789" s="3">
        <f t="shared" si="111"/>
        <v>1600</v>
      </c>
      <c r="Z789" s="3">
        <f t="shared" si="112"/>
        <v>1800</v>
      </c>
      <c r="AA789" s="3">
        <v>0</v>
      </c>
      <c r="AB789" s="3">
        <f>ROUND(U789 - (V789+W789+X789+Y789) - (U789/Q789 * 2),0)</f>
        <v>34483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f>SUM(V789+W789+X789+Y789+AB789)</f>
        <v>93333</v>
      </c>
      <c r="AK789" s="3">
        <f>SUM(AJ789-AA789)</f>
        <v>93333</v>
      </c>
      <c r="AL789" s="3">
        <f>IF(V789&lt;=15000,V789*12%,1800)</f>
        <v>1800</v>
      </c>
      <c r="AM789" s="3">
        <v>0</v>
      </c>
      <c r="AN789" s="3">
        <f t="shared" si="113"/>
        <v>1800</v>
      </c>
      <c r="AO789" s="12">
        <v>200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3">
        <f t="shared" si="115"/>
        <v>200</v>
      </c>
      <c r="AV789" s="3">
        <f>SUM(AJ789 - AN789 - AU789)</f>
        <v>91333</v>
      </c>
      <c r="AW789" s="11">
        <v>0</v>
      </c>
      <c r="AX789" s="11">
        <v>0</v>
      </c>
      <c r="AY789" s="11">
        <v>0</v>
      </c>
      <c r="AZ789" s="11">
        <v>0</v>
      </c>
      <c r="BA789" s="3">
        <f t="shared" si="114"/>
        <v>91333</v>
      </c>
    </row>
    <row r="790" spans="1:53" x14ac:dyDescent="0.25">
      <c r="A790" s="1" t="s">
        <v>788</v>
      </c>
      <c r="B790" s="9" t="s">
        <v>1566</v>
      </c>
      <c r="C790" s="9" t="s">
        <v>1601</v>
      </c>
      <c r="D790" s="9" t="s">
        <v>2538</v>
      </c>
      <c r="E790" s="9" t="s">
        <v>1012</v>
      </c>
      <c r="F790" s="10">
        <v>44809</v>
      </c>
      <c r="G790" s="9" t="s">
        <v>1019</v>
      </c>
      <c r="I790" s="9" t="s">
        <v>1042</v>
      </c>
      <c r="J790" s="9" t="s">
        <v>1048</v>
      </c>
      <c r="K790" s="8" t="s">
        <v>1006</v>
      </c>
      <c r="L790" s="8" t="s">
        <v>1007</v>
      </c>
      <c r="M790" s="8" t="s">
        <v>2933</v>
      </c>
      <c r="N790" s="8" t="s">
        <v>2937</v>
      </c>
      <c r="O790" s="1" t="s">
        <v>2934</v>
      </c>
      <c r="P790">
        <v>30</v>
      </c>
      <c r="Q790">
        <v>30</v>
      </c>
      <c r="R790">
        <v>0</v>
      </c>
      <c r="S790">
        <f t="shared" si="116"/>
        <v>30</v>
      </c>
      <c r="T790" s="1" t="s">
        <v>2935</v>
      </c>
      <c r="U790" s="1" t="s">
        <v>2932</v>
      </c>
      <c r="V790" s="3">
        <f t="shared" si="117"/>
        <v>40000</v>
      </c>
      <c r="W790" s="3">
        <f t="shared" si="118"/>
        <v>16000</v>
      </c>
      <c r="X790" s="3">
        <f t="shared" si="110"/>
        <v>1250</v>
      </c>
      <c r="Y790" s="3">
        <f t="shared" si="111"/>
        <v>1600</v>
      </c>
      <c r="Z790" s="3">
        <f t="shared" si="112"/>
        <v>1800</v>
      </c>
      <c r="AA790" s="3">
        <v>0</v>
      </c>
      <c r="AB790" s="3">
        <f>ROUND(U790 - (V790+W790+X790+Y790) - (U790/Q790 * 2),0)</f>
        <v>34483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f>SUM(V790+W790+X790+Y790+AB790)</f>
        <v>93333</v>
      </c>
      <c r="AK790" s="3">
        <f>SUM(AJ790-AA790)</f>
        <v>93333</v>
      </c>
      <c r="AL790" s="3">
        <f>IF(V790&lt;=15000,V790*12%,1800)</f>
        <v>1800</v>
      </c>
      <c r="AM790" s="3">
        <v>0</v>
      </c>
      <c r="AN790" s="3">
        <f t="shared" si="113"/>
        <v>1800</v>
      </c>
      <c r="AO790" s="12">
        <v>200</v>
      </c>
      <c r="AP790" s="12">
        <v>0</v>
      </c>
      <c r="AQ790" s="12">
        <v>0</v>
      </c>
      <c r="AR790" s="12">
        <v>0</v>
      </c>
      <c r="AS790" s="12">
        <v>0</v>
      </c>
      <c r="AT790" s="12">
        <v>0</v>
      </c>
      <c r="AU790" s="3">
        <f t="shared" si="115"/>
        <v>200</v>
      </c>
      <c r="AV790" s="3">
        <f>SUM(AJ790 - AN790 - AU790)</f>
        <v>91333</v>
      </c>
      <c r="AW790" s="11">
        <v>0</v>
      </c>
      <c r="AX790" s="11">
        <v>0</v>
      </c>
      <c r="AY790" s="11">
        <v>0</v>
      </c>
      <c r="AZ790" s="11">
        <v>0</v>
      </c>
      <c r="BA790" s="3">
        <f t="shared" si="114"/>
        <v>91333</v>
      </c>
    </row>
    <row r="791" spans="1:53" x14ac:dyDescent="0.25">
      <c r="A791" s="1" t="s">
        <v>789</v>
      </c>
      <c r="B791" s="9" t="s">
        <v>2536</v>
      </c>
      <c r="C791" s="9" t="s">
        <v>1010</v>
      </c>
      <c r="D791" s="9" t="s">
        <v>2537</v>
      </c>
      <c r="E791" s="9" t="s">
        <v>1012</v>
      </c>
      <c r="F791" s="10">
        <v>44805</v>
      </c>
      <c r="G791" s="9" t="s">
        <v>1019</v>
      </c>
      <c r="I791" s="9" t="s">
        <v>1014</v>
      </c>
      <c r="J791" s="9" t="s">
        <v>1015</v>
      </c>
      <c r="K791" s="8" t="s">
        <v>1006</v>
      </c>
      <c r="L791" s="8" t="s">
        <v>1007</v>
      </c>
      <c r="M791" s="8" t="s">
        <v>2933</v>
      </c>
      <c r="N791" s="8" t="s">
        <v>2937</v>
      </c>
      <c r="O791" s="1" t="s">
        <v>2934</v>
      </c>
      <c r="P791">
        <v>30</v>
      </c>
      <c r="Q791">
        <v>30</v>
      </c>
      <c r="R791">
        <v>0</v>
      </c>
      <c r="S791">
        <f t="shared" si="116"/>
        <v>30</v>
      </c>
      <c r="T791" s="1" t="s">
        <v>2935</v>
      </c>
      <c r="U791" s="1" t="s">
        <v>2932</v>
      </c>
      <c r="V791" s="3">
        <f t="shared" si="117"/>
        <v>40000</v>
      </c>
      <c r="W791" s="3">
        <f t="shared" si="118"/>
        <v>16000</v>
      </c>
      <c r="X791" s="3">
        <f t="shared" si="110"/>
        <v>1250</v>
      </c>
      <c r="Y791" s="3">
        <f t="shared" si="111"/>
        <v>1600</v>
      </c>
      <c r="Z791" s="3">
        <f t="shared" si="112"/>
        <v>1800</v>
      </c>
      <c r="AA791" s="3">
        <v>0</v>
      </c>
      <c r="AB791" s="3">
        <f>ROUND(U791 - (V791+W791+X791+Y791) - (U791/Q791 * 2),0)</f>
        <v>34483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f>SUM(V791+W791+X791+Y791+AB791)</f>
        <v>93333</v>
      </c>
      <c r="AK791" s="3">
        <f>SUM(AJ791-AA791)</f>
        <v>93333</v>
      </c>
      <c r="AL791" s="3">
        <f>IF(V791&lt;=15000,V791*12%,1800)</f>
        <v>1800</v>
      </c>
      <c r="AM791" s="3">
        <v>0</v>
      </c>
      <c r="AN791" s="3">
        <f t="shared" si="113"/>
        <v>1800</v>
      </c>
      <c r="AO791" s="12">
        <v>200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3">
        <f t="shared" si="115"/>
        <v>200</v>
      </c>
      <c r="AV791" s="3">
        <f>SUM(AJ791 - AN791 - AU791)</f>
        <v>91333</v>
      </c>
      <c r="AW791" s="11">
        <v>0</v>
      </c>
      <c r="AX791" s="11">
        <v>0</v>
      </c>
      <c r="AY791" s="11">
        <v>0</v>
      </c>
      <c r="AZ791" s="11">
        <v>0</v>
      </c>
      <c r="BA791" s="3">
        <f t="shared" si="114"/>
        <v>91333</v>
      </c>
    </row>
    <row r="792" spans="1:53" x14ac:dyDescent="0.25">
      <c r="A792" s="1" t="s">
        <v>790</v>
      </c>
      <c r="B792" s="9" t="s">
        <v>2534</v>
      </c>
      <c r="C792" s="9" t="s">
        <v>1063</v>
      </c>
      <c r="D792" s="9" t="s">
        <v>2535</v>
      </c>
      <c r="E792" s="9" t="s">
        <v>1012</v>
      </c>
      <c r="F792" s="10">
        <v>44811</v>
      </c>
      <c r="G792" s="9" t="s">
        <v>1019</v>
      </c>
      <c r="I792" s="9" t="s">
        <v>1014</v>
      </c>
      <c r="J792" s="9" t="s">
        <v>1015</v>
      </c>
      <c r="K792" s="8" t="s">
        <v>1006</v>
      </c>
      <c r="L792" s="8" t="s">
        <v>1007</v>
      </c>
      <c r="M792" s="8" t="s">
        <v>2933</v>
      </c>
      <c r="N792" s="8" t="s">
        <v>2937</v>
      </c>
      <c r="O792" s="1" t="s">
        <v>2934</v>
      </c>
      <c r="P792">
        <v>30</v>
      </c>
      <c r="Q792">
        <v>30</v>
      </c>
      <c r="R792">
        <v>0</v>
      </c>
      <c r="S792">
        <f t="shared" si="116"/>
        <v>30</v>
      </c>
      <c r="T792" s="1" t="s">
        <v>2935</v>
      </c>
      <c r="U792" s="1" t="s">
        <v>2932</v>
      </c>
      <c r="V792" s="3">
        <f t="shared" si="117"/>
        <v>40000</v>
      </c>
      <c r="W792" s="3">
        <f t="shared" si="118"/>
        <v>16000</v>
      </c>
      <c r="X792" s="3">
        <f t="shared" si="110"/>
        <v>1250</v>
      </c>
      <c r="Y792" s="3">
        <f t="shared" si="111"/>
        <v>1600</v>
      </c>
      <c r="Z792" s="3">
        <f t="shared" si="112"/>
        <v>1800</v>
      </c>
      <c r="AA792" s="3">
        <v>0</v>
      </c>
      <c r="AB792" s="3">
        <f>ROUND(U792 - (V792+W792+X792+Y792) - (U792/Q792 * 2),0)</f>
        <v>34483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f>SUM(V792+W792+X792+Y792+AB792)</f>
        <v>93333</v>
      </c>
      <c r="AK792" s="3">
        <f>SUM(AJ792-AA792)</f>
        <v>93333</v>
      </c>
      <c r="AL792" s="3">
        <f>IF(V792&lt;=15000,V792*12%,1800)</f>
        <v>1800</v>
      </c>
      <c r="AM792" s="3">
        <v>0</v>
      </c>
      <c r="AN792" s="3">
        <f t="shared" si="113"/>
        <v>1800</v>
      </c>
      <c r="AO792" s="12">
        <v>200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3">
        <f t="shared" si="115"/>
        <v>200</v>
      </c>
      <c r="AV792" s="3">
        <f>SUM(AJ792 - AN792 - AU792)</f>
        <v>91333</v>
      </c>
      <c r="AW792" s="11">
        <v>0</v>
      </c>
      <c r="AX792" s="11">
        <v>0</v>
      </c>
      <c r="AY792" s="11">
        <v>0</v>
      </c>
      <c r="AZ792" s="11">
        <v>0</v>
      </c>
      <c r="BA792" s="3">
        <f t="shared" si="114"/>
        <v>91333</v>
      </c>
    </row>
    <row r="793" spans="1:53" x14ac:dyDescent="0.25">
      <c r="A793" s="1" t="s">
        <v>791</v>
      </c>
      <c r="B793" s="9" t="s">
        <v>2532</v>
      </c>
      <c r="C793" s="9" t="s">
        <v>1063</v>
      </c>
      <c r="D793" s="9" t="s">
        <v>2533</v>
      </c>
      <c r="E793" s="9" t="s">
        <v>1012</v>
      </c>
      <c r="F793" s="10">
        <v>44811</v>
      </c>
      <c r="G793" s="9" t="s">
        <v>1019</v>
      </c>
      <c r="I793" s="9" t="s">
        <v>1065</v>
      </c>
      <c r="J793" s="9" t="s">
        <v>1015</v>
      </c>
      <c r="K793" s="8" t="s">
        <v>1006</v>
      </c>
      <c r="L793" s="8" t="s">
        <v>1007</v>
      </c>
      <c r="M793" s="8" t="s">
        <v>2933</v>
      </c>
      <c r="N793" s="8" t="s">
        <v>2937</v>
      </c>
      <c r="O793" s="1" t="s">
        <v>2934</v>
      </c>
      <c r="P793">
        <v>30</v>
      </c>
      <c r="Q793">
        <v>30</v>
      </c>
      <c r="R793">
        <v>0</v>
      </c>
      <c r="S793">
        <f t="shared" si="116"/>
        <v>30</v>
      </c>
      <c r="T793" s="1" t="s">
        <v>2935</v>
      </c>
      <c r="U793" s="1" t="s">
        <v>2932</v>
      </c>
      <c r="V793" s="3">
        <f t="shared" si="117"/>
        <v>40000</v>
      </c>
      <c r="W793" s="3">
        <f t="shared" si="118"/>
        <v>16000</v>
      </c>
      <c r="X793" s="3">
        <f t="shared" si="110"/>
        <v>1250</v>
      </c>
      <c r="Y793" s="3">
        <f t="shared" si="111"/>
        <v>1600</v>
      </c>
      <c r="Z793" s="3">
        <f t="shared" si="112"/>
        <v>1800</v>
      </c>
      <c r="AA793" s="3">
        <v>0</v>
      </c>
      <c r="AB793" s="3">
        <f>ROUND(U793 - (V793+W793+X793+Y793) - (U793/Q793 * 2),0)</f>
        <v>34483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f>SUM(V793+W793+X793+Y793+AB793)</f>
        <v>93333</v>
      </c>
      <c r="AK793" s="3">
        <f>SUM(AJ793-AA793)</f>
        <v>93333</v>
      </c>
      <c r="AL793" s="3">
        <f>IF(V793&lt;=15000,V793*12%,1800)</f>
        <v>1800</v>
      </c>
      <c r="AM793" s="3">
        <v>0</v>
      </c>
      <c r="AN793" s="3">
        <f t="shared" si="113"/>
        <v>1800</v>
      </c>
      <c r="AO793" s="12">
        <v>200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3">
        <f t="shared" si="115"/>
        <v>200</v>
      </c>
      <c r="AV793" s="3">
        <f>SUM(AJ793 - AN793 - AU793)</f>
        <v>91333</v>
      </c>
      <c r="AW793" s="11">
        <v>0</v>
      </c>
      <c r="AX793" s="11">
        <v>0</v>
      </c>
      <c r="AY793" s="11">
        <v>0</v>
      </c>
      <c r="AZ793" s="11">
        <v>0</v>
      </c>
      <c r="BA793" s="3">
        <f t="shared" si="114"/>
        <v>91333</v>
      </c>
    </row>
    <row r="794" spans="1:53" x14ac:dyDescent="0.25">
      <c r="A794" s="1" t="s">
        <v>792</v>
      </c>
      <c r="B794" s="9" t="s">
        <v>1319</v>
      </c>
      <c r="C794" s="9" t="s">
        <v>1063</v>
      </c>
      <c r="D794" s="9" t="s">
        <v>2531</v>
      </c>
      <c r="E794" s="9" t="s">
        <v>1012</v>
      </c>
      <c r="F794" s="10">
        <v>44811</v>
      </c>
      <c r="G794" s="9" t="s">
        <v>1019</v>
      </c>
      <c r="I794" s="9" t="s">
        <v>1065</v>
      </c>
      <c r="J794" s="9" t="s">
        <v>1015</v>
      </c>
      <c r="K794" s="8" t="s">
        <v>1006</v>
      </c>
      <c r="L794" s="8" t="s">
        <v>1007</v>
      </c>
      <c r="M794" s="8" t="s">
        <v>2933</v>
      </c>
      <c r="N794" s="8" t="s">
        <v>2937</v>
      </c>
      <c r="O794" s="1" t="s">
        <v>2934</v>
      </c>
      <c r="P794">
        <v>30</v>
      </c>
      <c r="Q794">
        <v>30</v>
      </c>
      <c r="R794">
        <v>0</v>
      </c>
      <c r="S794">
        <f t="shared" si="116"/>
        <v>30</v>
      </c>
      <c r="T794" s="1" t="s">
        <v>2935</v>
      </c>
      <c r="U794" s="1" t="s">
        <v>2932</v>
      </c>
      <c r="V794" s="3">
        <f t="shared" si="117"/>
        <v>40000</v>
      </c>
      <c r="W794" s="3">
        <f t="shared" si="118"/>
        <v>16000</v>
      </c>
      <c r="X794" s="3">
        <f t="shared" si="110"/>
        <v>1250</v>
      </c>
      <c r="Y794" s="3">
        <f t="shared" si="111"/>
        <v>1600</v>
      </c>
      <c r="Z794" s="3">
        <f t="shared" si="112"/>
        <v>1800</v>
      </c>
      <c r="AA794" s="3">
        <v>0</v>
      </c>
      <c r="AB794" s="3">
        <f>ROUND(U794 - (V794+W794+X794+Y794) - (U794/Q794 * 2),0)</f>
        <v>34483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f>SUM(V794+W794+X794+Y794+AB794)</f>
        <v>93333</v>
      </c>
      <c r="AK794" s="3">
        <f>SUM(AJ794-AA794)</f>
        <v>93333</v>
      </c>
      <c r="AL794" s="3">
        <f>IF(V794&lt;=15000,V794*12%,1800)</f>
        <v>1800</v>
      </c>
      <c r="AM794" s="3">
        <v>0</v>
      </c>
      <c r="AN794" s="3">
        <f t="shared" si="113"/>
        <v>1800</v>
      </c>
      <c r="AO794" s="12">
        <v>200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3">
        <f t="shared" si="115"/>
        <v>200</v>
      </c>
      <c r="AV794" s="3">
        <f>SUM(AJ794 - AN794 - AU794)</f>
        <v>91333</v>
      </c>
      <c r="AW794" s="11">
        <v>0</v>
      </c>
      <c r="AX794" s="11">
        <v>0</v>
      </c>
      <c r="AY794" s="11">
        <v>0</v>
      </c>
      <c r="AZ794" s="11">
        <v>0</v>
      </c>
      <c r="BA794" s="3">
        <f t="shared" si="114"/>
        <v>91333</v>
      </c>
    </row>
    <row r="795" spans="1:53" x14ac:dyDescent="0.25">
      <c r="A795" s="1" t="s">
        <v>793</v>
      </c>
      <c r="B795" s="9" t="s">
        <v>2529</v>
      </c>
      <c r="C795" s="9" t="s">
        <v>1026</v>
      </c>
      <c r="D795" s="9" t="s">
        <v>2530</v>
      </c>
      <c r="E795" s="9" t="s">
        <v>1012</v>
      </c>
      <c r="F795" s="10">
        <v>44816</v>
      </c>
      <c r="G795" s="9" t="s">
        <v>1019</v>
      </c>
      <c r="I795" s="9" t="s">
        <v>1014</v>
      </c>
      <c r="J795" s="9" t="s">
        <v>1015</v>
      </c>
      <c r="K795" s="8" t="s">
        <v>1006</v>
      </c>
      <c r="L795" s="8" t="s">
        <v>1007</v>
      </c>
      <c r="M795" s="8" t="s">
        <v>2933</v>
      </c>
      <c r="N795" s="8" t="s">
        <v>2937</v>
      </c>
      <c r="O795" s="1" t="s">
        <v>2934</v>
      </c>
      <c r="P795">
        <v>30</v>
      </c>
      <c r="Q795">
        <v>30</v>
      </c>
      <c r="R795">
        <v>0</v>
      </c>
      <c r="S795">
        <f t="shared" si="116"/>
        <v>30</v>
      </c>
      <c r="T795" s="1" t="s">
        <v>2935</v>
      </c>
      <c r="U795" s="1" t="s">
        <v>2932</v>
      </c>
      <c r="V795" s="3">
        <f t="shared" si="117"/>
        <v>40000</v>
      </c>
      <c r="W795" s="3">
        <f t="shared" si="118"/>
        <v>16000</v>
      </c>
      <c r="X795" s="3">
        <f t="shared" si="110"/>
        <v>1250</v>
      </c>
      <c r="Y795" s="3">
        <f t="shared" si="111"/>
        <v>1600</v>
      </c>
      <c r="Z795" s="3">
        <f t="shared" si="112"/>
        <v>1800</v>
      </c>
      <c r="AA795" s="3">
        <v>0</v>
      </c>
      <c r="AB795" s="3">
        <f>ROUND(U795 - (V795+W795+X795+Y795) - (U795/Q795 * 2),0)</f>
        <v>34483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f>SUM(V795+W795+X795+Y795+AB795)</f>
        <v>93333</v>
      </c>
      <c r="AK795" s="3">
        <f>SUM(AJ795-AA795)</f>
        <v>93333</v>
      </c>
      <c r="AL795" s="3">
        <f>IF(V795&lt;=15000,V795*12%,1800)</f>
        <v>1800</v>
      </c>
      <c r="AM795" s="3">
        <v>0</v>
      </c>
      <c r="AN795" s="3">
        <f t="shared" si="113"/>
        <v>1800</v>
      </c>
      <c r="AO795" s="12">
        <v>200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3">
        <f t="shared" si="115"/>
        <v>200</v>
      </c>
      <c r="AV795" s="3">
        <f>SUM(AJ795 - AN795 - AU795)</f>
        <v>91333</v>
      </c>
      <c r="AW795" s="11">
        <v>0</v>
      </c>
      <c r="AX795" s="11">
        <v>0</v>
      </c>
      <c r="AY795" s="11">
        <v>0</v>
      </c>
      <c r="AZ795" s="11">
        <v>0</v>
      </c>
      <c r="BA795" s="3">
        <f t="shared" si="114"/>
        <v>91333</v>
      </c>
    </row>
    <row r="796" spans="1:53" x14ac:dyDescent="0.25">
      <c r="A796" s="1" t="s">
        <v>794</v>
      </c>
      <c r="B796" s="9" t="s">
        <v>2527</v>
      </c>
      <c r="C796" s="9" t="s">
        <v>1023</v>
      </c>
      <c r="D796" s="9" t="s">
        <v>2528</v>
      </c>
      <c r="E796" s="9" t="s">
        <v>1012</v>
      </c>
      <c r="F796" s="10">
        <v>44816</v>
      </c>
      <c r="G796" s="9" t="s">
        <v>1013</v>
      </c>
      <c r="I796" s="9" t="s">
        <v>1014</v>
      </c>
      <c r="J796" s="9" t="s">
        <v>1021</v>
      </c>
      <c r="K796" s="8" t="s">
        <v>1006</v>
      </c>
      <c r="L796" s="8" t="s">
        <v>1007</v>
      </c>
      <c r="M796" s="8" t="s">
        <v>2933</v>
      </c>
      <c r="N796" s="8" t="s">
        <v>2937</v>
      </c>
      <c r="O796" s="1" t="s">
        <v>2934</v>
      </c>
      <c r="P796">
        <v>30</v>
      </c>
      <c r="Q796">
        <v>30</v>
      </c>
      <c r="R796">
        <v>0</v>
      </c>
      <c r="S796">
        <f t="shared" si="116"/>
        <v>30</v>
      </c>
      <c r="T796" s="1" t="s">
        <v>2935</v>
      </c>
      <c r="U796" s="1" t="s">
        <v>2932</v>
      </c>
      <c r="V796" s="3">
        <f t="shared" si="117"/>
        <v>40000</v>
      </c>
      <c r="W796" s="3">
        <f t="shared" si="118"/>
        <v>16000</v>
      </c>
      <c r="X796" s="3">
        <f t="shared" si="110"/>
        <v>1250</v>
      </c>
      <c r="Y796" s="3">
        <f t="shared" si="111"/>
        <v>1600</v>
      </c>
      <c r="Z796" s="3">
        <f t="shared" si="112"/>
        <v>1800</v>
      </c>
      <c r="AA796" s="3">
        <v>0</v>
      </c>
      <c r="AB796" s="3">
        <f>ROUND(U796 - (V796+W796+X796+Y796) - (U796/Q796 * 2),0)</f>
        <v>34483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f>SUM(V796+W796+X796+Y796+AB796)</f>
        <v>93333</v>
      </c>
      <c r="AK796" s="3">
        <f>SUM(AJ796-AA796)</f>
        <v>93333</v>
      </c>
      <c r="AL796" s="3">
        <f>IF(V796&lt;=15000,V796*12%,1800)</f>
        <v>1800</v>
      </c>
      <c r="AM796" s="3">
        <v>0</v>
      </c>
      <c r="AN796" s="3">
        <f t="shared" si="113"/>
        <v>1800</v>
      </c>
      <c r="AO796" s="12">
        <v>200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3">
        <f t="shared" si="115"/>
        <v>200</v>
      </c>
      <c r="AV796" s="3">
        <f>SUM(AJ796 - AN796 - AU796)</f>
        <v>91333</v>
      </c>
      <c r="AW796" s="11">
        <v>0</v>
      </c>
      <c r="AX796" s="11">
        <v>0</v>
      </c>
      <c r="AY796" s="11">
        <v>0</v>
      </c>
      <c r="AZ796" s="11">
        <v>0</v>
      </c>
      <c r="BA796" s="3">
        <f t="shared" si="114"/>
        <v>91333</v>
      </c>
    </row>
    <row r="797" spans="1:53" x14ac:dyDescent="0.25">
      <c r="A797" s="1" t="s">
        <v>795</v>
      </c>
      <c r="B797" s="9" t="s">
        <v>2525</v>
      </c>
      <c r="C797" s="9" t="s">
        <v>1010</v>
      </c>
      <c r="D797" s="9" t="s">
        <v>2526</v>
      </c>
      <c r="E797" s="9" t="s">
        <v>1012</v>
      </c>
      <c r="F797" s="10">
        <v>44816</v>
      </c>
      <c r="G797" s="9" t="s">
        <v>1013</v>
      </c>
      <c r="I797" s="9" t="s">
        <v>1014</v>
      </c>
      <c r="J797" s="9" t="s">
        <v>1015</v>
      </c>
      <c r="K797" s="8" t="s">
        <v>1006</v>
      </c>
      <c r="L797" s="8" t="s">
        <v>1007</v>
      </c>
      <c r="M797" s="8" t="s">
        <v>2933</v>
      </c>
      <c r="N797" s="8" t="s">
        <v>2937</v>
      </c>
      <c r="O797" s="1" t="s">
        <v>2934</v>
      </c>
      <c r="P797">
        <v>30</v>
      </c>
      <c r="Q797">
        <v>30</v>
      </c>
      <c r="R797">
        <v>0</v>
      </c>
      <c r="S797">
        <f t="shared" si="116"/>
        <v>30</v>
      </c>
      <c r="T797" s="1" t="s">
        <v>2935</v>
      </c>
      <c r="U797" s="1" t="s">
        <v>2932</v>
      </c>
      <c r="V797" s="3">
        <f t="shared" si="117"/>
        <v>40000</v>
      </c>
      <c r="W797" s="3">
        <f t="shared" si="118"/>
        <v>16000</v>
      </c>
      <c r="X797" s="3">
        <f t="shared" si="110"/>
        <v>1250</v>
      </c>
      <c r="Y797" s="3">
        <f t="shared" si="111"/>
        <v>1600</v>
      </c>
      <c r="Z797" s="3">
        <f t="shared" si="112"/>
        <v>1800</v>
      </c>
      <c r="AA797" s="3">
        <v>0</v>
      </c>
      <c r="AB797" s="3">
        <f>ROUND(U797 - (V797+W797+X797+Y797) - (U797/Q797 * 2),0)</f>
        <v>34483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f>SUM(V797+W797+X797+Y797+AB797)</f>
        <v>93333</v>
      </c>
      <c r="AK797" s="3">
        <f>SUM(AJ797-AA797)</f>
        <v>93333</v>
      </c>
      <c r="AL797" s="3">
        <f>IF(V797&lt;=15000,V797*12%,1800)</f>
        <v>1800</v>
      </c>
      <c r="AM797" s="3">
        <v>0</v>
      </c>
      <c r="AN797" s="3">
        <f t="shared" si="113"/>
        <v>1800</v>
      </c>
      <c r="AO797" s="12">
        <v>200</v>
      </c>
      <c r="AP797" s="12">
        <v>0</v>
      </c>
      <c r="AQ797" s="12">
        <v>0</v>
      </c>
      <c r="AR797" s="12">
        <v>0</v>
      </c>
      <c r="AS797" s="12">
        <v>0</v>
      </c>
      <c r="AT797" s="12">
        <v>0</v>
      </c>
      <c r="AU797" s="3">
        <f t="shared" si="115"/>
        <v>200</v>
      </c>
      <c r="AV797" s="3">
        <f>SUM(AJ797 - AN797 - AU797)</f>
        <v>91333</v>
      </c>
      <c r="AW797" s="11">
        <v>0</v>
      </c>
      <c r="AX797" s="11">
        <v>0</v>
      </c>
      <c r="AY797" s="11">
        <v>0</v>
      </c>
      <c r="AZ797" s="11">
        <v>0</v>
      </c>
      <c r="BA797" s="3">
        <f t="shared" si="114"/>
        <v>91333</v>
      </c>
    </row>
    <row r="798" spans="1:53" x14ac:dyDescent="0.25">
      <c r="A798" s="1" t="s">
        <v>796</v>
      </c>
      <c r="B798" s="9" t="s">
        <v>2523</v>
      </c>
      <c r="C798" s="9" t="s">
        <v>1075</v>
      </c>
      <c r="D798" s="9" t="s">
        <v>2524</v>
      </c>
      <c r="E798" s="9" t="s">
        <v>1012</v>
      </c>
      <c r="F798" s="10">
        <v>44816</v>
      </c>
      <c r="G798" s="9" t="s">
        <v>1019</v>
      </c>
      <c r="I798" s="9" t="s">
        <v>1014</v>
      </c>
      <c r="J798" s="9" t="s">
        <v>1015</v>
      </c>
      <c r="K798" s="8" t="s">
        <v>1006</v>
      </c>
      <c r="L798" s="8" t="s">
        <v>1007</v>
      </c>
      <c r="M798" s="8" t="s">
        <v>2933</v>
      </c>
      <c r="N798" s="8" t="s">
        <v>2937</v>
      </c>
      <c r="O798" s="1" t="s">
        <v>2934</v>
      </c>
      <c r="P798">
        <v>30</v>
      </c>
      <c r="Q798">
        <v>30</v>
      </c>
      <c r="R798">
        <v>0</v>
      </c>
      <c r="S798">
        <f t="shared" si="116"/>
        <v>30</v>
      </c>
      <c r="T798" s="1" t="s">
        <v>2935</v>
      </c>
      <c r="U798" s="1" t="s">
        <v>2932</v>
      </c>
      <c r="V798" s="3">
        <f t="shared" si="117"/>
        <v>40000</v>
      </c>
      <c r="W798" s="3">
        <f t="shared" si="118"/>
        <v>16000</v>
      </c>
      <c r="X798" s="3">
        <f t="shared" si="110"/>
        <v>1250</v>
      </c>
      <c r="Y798" s="3">
        <f t="shared" si="111"/>
        <v>1600</v>
      </c>
      <c r="Z798" s="3">
        <f t="shared" si="112"/>
        <v>1800</v>
      </c>
      <c r="AA798" s="3">
        <v>0</v>
      </c>
      <c r="AB798" s="3">
        <f>ROUND(U798 - (V798+W798+X798+Y798) - (U798/Q798 * 2),0)</f>
        <v>34483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f>SUM(V798+W798+X798+Y798+AB798)</f>
        <v>93333</v>
      </c>
      <c r="AK798" s="3">
        <f>SUM(AJ798-AA798)</f>
        <v>93333</v>
      </c>
      <c r="AL798" s="3">
        <f>IF(V798&lt;=15000,V798*12%,1800)</f>
        <v>1800</v>
      </c>
      <c r="AM798" s="3">
        <v>0</v>
      </c>
      <c r="AN798" s="3">
        <f t="shared" si="113"/>
        <v>1800</v>
      </c>
      <c r="AO798" s="12">
        <v>200</v>
      </c>
      <c r="AP798" s="12">
        <v>0</v>
      </c>
      <c r="AQ798" s="12">
        <v>0</v>
      </c>
      <c r="AR798" s="12">
        <v>0</v>
      </c>
      <c r="AS798" s="12">
        <v>0</v>
      </c>
      <c r="AT798" s="12">
        <v>0</v>
      </c>
      <c r="AU798" s="3">
        <f t="shared" si="115"/>
        <v>200</v>
      </c>
      <c r="AV798" s="3">
        <f>SUM(AJ798 - AN798 - AU798)</f>
        <v>91333</v>
      </c>
      <c r="AW798" s="11">
        <v>0</v>
      </c>
      <c r="AX798" s="11">
        <v>0</v>
      </c>
      <c r="AY798" s="11">
        <v>0</v>
      </c>
      <c r="AZ798" s="11">
        <v>0</v>
      </c>
      <c r="BA798" s="3">
        <f t="shared" si="114"/>
        <v>91333</v>
      </c>
    </row>
    <row r="799" spans="1:53" x14ac:dyDescent="0.25">
      <c r="A799" s="1" t="s">
        <v>797</v>
      </c>
      <c r="B799" s="9" t="s">
        <v>2580</v>
      </c>
      <c r="C799" s="9" t="s">
        <v>1063</v>
      </c>
      <c r="D799" s="9" t="s">
        <v>2581</v>
      </c>
      <c r="E799" s="9" t="s">
        <v>1012</v>
      </c>
      <c r="F799" s="10">
        <v>44818</v>
      </c>
      <c r="G799" s="9" t="s">
        <v>1019</v>
      </c>
      <c r="I799" s="9" t="s">
        <v>1065</v>
      </c>
      <c r="J799" s="9" t="s">
        <v>1015</v>
      </c>
      <c r="K799" s="8" t="s">
        <v>1006</v>
      </c>
      <c r="L799" s="8" t="s">
        <v>1007</v>
      </c>
      <c r="M799" s="8" t="s">
        <v>2933</v>
      </c>
      <c r="N799" s="8" t="s">
        <v>2937</v>
      </c>
      <c r="O799" s="1" t="s">
        <v>2934</v>
      </c>
      <c r="P799">
        <v>30</v>
      </c>
      <c r="Q799">
        <v>30</v>
      </c>
      <c r="R799">
        <v>0</v>
      </c>
      <c r="S799">
        <f t="shared" si="116"/>
        <v>30</v>
      </c>
      <c r="T799" s="1" t="s">
        <v>2935</v>
      </c>
      <c r="U799" s="1" t="s">
        <v>2932</v>
      </c>
      <c r="V799" s="3">
        <f t="shared" si="117"/>
        <v>40000</v>
      </c>
      <c r="W799" s="3">
        <f t="shared" si="118"/>
        <v>16000</v>
      </c>
      <c r="X799" s="3">
        <f t="shared" si="110"/>
        <v>1250</v>
      </c>
      <c r="Y799" s="3">
        <f t="shared" si="111"/>
        <v>1600</v>
      </c>
      <c r="Z799" s="3">
        <f t="shared" si="112"/>
        <v>1800</v>
      </c>
      <c r="AA799" s="3">
        <v>0</v>
      </c>
      <c r="AB799" s="3">
        <f>ROUND(U799 - (V799+W799+X799+Y799) - (U799/Q799 * 2),0)</f>
        <v>34483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f>SUM(V799+W799+X799+Y799+AB799)</f>
        <v>93333</v>
      </c>
      <c r="AK799" s="3">
        <f>SUM(AJ799-AA799)</f>
        <v>93333</v>
      </c>
      <c r="AL799" s="3">
        <f>IF(V799&lt;=15000,V799*12%,1800)</f>
        <v>1800</v>
      </c>
      <c r="AM799" s="3">
        <v>0</v>
      </c>
      <c r="AN799" s="3">
        <f t="shared" si="113"/>
        <v>1800</v>
      </c>
      <c r="AO799" s="12">
        <v>200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3">
        <f t="shared" si="115"/>
        <v>200</v>
      </c>
      <c r="AV799" s="3">
        <f>SUM(AJ799 - AN799 - AU799)</f>
        <v>91333</v>
      </c>
      <c r="AW799" s="11">
        <v>0</v>
      </c>
      <c r="AX799" s="11">
        <v>0</v>
      </c>
      <c r="AY799" s="11">
        <v>0</v>
      </c>
      <c r="AZ799" s="11">
        <v>0</v>
      </c>
      <c r="BA799" s="3">
        <f t="shared" si="114"/>
        <v>91333</v>
      </c>
    </row>
    <row r="800" spans="1:53" x14ac:dyDescent="0.25">
      <c r="A800" s="1" t="s">
        <v>798</v>
      </c>
      <c r="B800" s="9" t="s">
        <v>2578</v>
      </c>
      <c r="C800" s="9" t="s">
        <v>1063</v>
      </c>
      <c r="D800" s="9" t="s">
        <v>2579</v>
      </c>
      <c r="E800" s="9" t="s">
        <v>1012</v>
      </c>
      <c r="F800" s="10">
        <v>44818</v>
      </c>
      <c r="G800" s="9" t="s">
        <v>1019</v>
      </c>
      <c r="I800" s="9" t="s">
        <v>1065</v>
      </c>
      <c r="J800" s="9" t="s">
        <v>1015</v>
      </c>
      <c r="K800" s="8" t="s">
        <v>1006</v>
      </c>
      <c r="L800" s="8" t="s">
        <v>1007</v>
      </c>
      <c r="M800" s="8" t="s">
        <v>2933</v>
      </c>
      <c r="N800" s="8" t="s">
        <v>2937</v>
      </c>
      <c r="O800" s="1" t="s">
        <v>2934</v>
      </c>
      <c r="P800">
        <v>30</v>
      </c>
      <c r="Q800">
        <v>30</v>
      </c>
      <c r="R800">
        <v>0</v>
      </c>
      <c r="S800">
        <f t="shared" si="116"/>
        <v>30</v>
      </c>
      <c r="T800" s="1" t="s">
        <v>2935</v>
      </c>
      <c r="U800" s="1" t="s">
        <v>2932</v>
      </c>
      <c r="V800" s="3">
        <f t="shared" si="117"/>
        <v>40000</v>
      </c>
      <c r="W800" s="3">
        <f t="shared" si="118"/>
        <v>16000</v>
      </c>
      <c r="X800" s="3">
        <f t="shared" si="110"/>
        <v>1250</v>
      </c>
      <c r="Y800" s="3">
        <f t="shared" si="111"/>
        <v>1600</v>
      </c>
      <c r="Z800" s="3">
        <f t="shared" si="112"/>
        <v>1800</v>
      </c>
      <c r="AA800" s="3">
        <v>0</v>
      </c>
      <c r="AB800" s="3">
        <f>ROUND(U800 - (V800+W800+X800+Y800) - (U800/Q800 * 2),0)</f>
        <v>34483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f>SUM(V800+W800+X800+Y800+AB800)</f>
        <v>93333</v>
      </c>
      <c r="AK800" s="3">
        <f>SUM(AJ800-AA800)</f>
        <v>93333</v>
      </c>
      <c r="AL800" s="3">
        <f>IF(V800&lt;=15000,V800*12%,1800)</f>
        <v>1800</v>
      </c>
      <c r="AM800" s="3">
        <v>0</v>
      </c>
      <c r="AN800" s="3">
        <f t="shared" si="113"/>
        <v>1800</v>
      </c>
      <c r="AO800" s="12">
        <v>200</v>
      </c>
      <c r="AP800" s="12">
        <v>0</v>
      </c>
      <c r="AQ800" s="12">
        <v>0</v>
      </c>
      <c r="AR800" s="12">
        <v>0</v>
      </c>
      <c r="AS800" s="12">
        <v>0</v>
      </c>
      <c r="AT800" s="12">
        <v>0</v>
      </c>
      <c r="AU800" s="3">
        <f t="shared" si="115"/>
        <v>200</v>
      </c>
      <c r="AV800" s="3">
        <f>SUM(AJ800 - AN800 - AU800)</f>
        <v>91333</v>
      </c>
      <c r="AW800" s="11">
        <v>0</v>
      </c>
      <c r="AX800" s="11">
        <v>0</v>
      </c>
      <c r="AY800" s="11">
        <v>0</v>
      </c>
      <c r="AZ800" s="11">
        <v>0</v>
      </c>
      <c r="BA800" s="3">
        <f t="shared" si="114"/>
        <v>91333</v>
      </c>
    </row>
    <row r="801" spans="1:53" x14ac:dyDescent="0.25">
      <c r="A801" s="1" t="s">
        <v>799</v>
      </c>
      <c r="B801" s="9" t="s">
        <v>2576</v>
      </c>
      <c r="C801" s="9" t="s">
        <v>1010</v>
      </c>
      <c r="D801" s="9" t="s">
        <v>2577</v>
      </c>
      <c r="E801" s="9" t="s">
        <v>1012</v>
      </c>
      <c r="F801" s="10">
        <v>44823</v>
      </c>
      <c r="G801" s="9" t="s">
        <v>1019</v>
      </c>
      <c r="I801" s="9" t="s">
        <v>1014</v>
      </c>
      <c r="J801" s="9" t="s">
        <v>1015</v>
      </c>
      <c r="K801" s="8" t="s">
        <v>1006</v>
      </c>
      <c r="L801" s="8" t="s">
        <v>1007</v>
      </c>
      <c r="M801" s="8" t="s">
        <v>2933</v>
      </c>
      <c r="N801" s="8" t="s">
        <v>2937</v>
      </c>
      <c r="O801" s="1" t="s">
        <v>2934</v>
      </c>
      <c r="P801">
        <v>30</v>
      </c>
      <c r="Q801">
        <v>30</v>
      </c>
      <c r="R801">
        <v>0</v>
      </c>
      <c r="S801">
        <f t="shared" si="116"/>
        <v>30</v>
      </c>
      <c r="T801" s="1" t="s">
        <v>2935</v>
      </c>
      <c r="U801" s="1" t="s">
        <v>2932</v>
      </c>
      <c r="V801" s="3">
        <f t="shared" si="117"/>
        <v>40000</v>
      </c>
      <c r="W801" s="3">
        <f t="shared" si="118"/>
        <v>16000</v>
      </c>
      <c r="X801" s="3">
        <f t="shared" si="110"/>
        <v>1250</v>
      </c>
      <c r="Y801" s="3">
        <f t="shared" si="111"/>
        <v>1600</v>
      </c>
      <c r="Z801" s="3">
        <f t="shared" si="112"/>
        <v>1800</v>
      </c>
      <c r="AA801" s="3">
        <v>0</v>
      </c>
      <c r="AB801" s="3">
        <f>ROUND(U801 - (V801+W801+X801+Y801) - (U801/Q801 * 2),0)</f>
        <v>34483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f>SUM(V801+W801+X801+Y801+AB801)</f>
        <v>93333</v>
      </c>
      <c r="AK801" s="3">
        <f>SUM(AJ801-AA801)</f>
        <v>93333</v>
      </c>
      <c r="AL801" s="3">
        <f>IF(V801&lt;=15000,V801*12%,1800)</f>
        <v>1800</v>
      </c>
      <c r="AM801" s="3">
        <v>0</v>
      </c>
      <c r="AN801" s="3">
        <f t="shared" si="113"/>
        <v>1800</v>
      </c>
      <c r="AO801" s="12">
        <v>200</v>
      </c>
      <c r="AP801" s="12">
        <v>0</v>
      </c>
      <c r="AQ801" s="12">
        <v>0</v>
      </c>
      <c r="AR801" s="12">
        <v>0</v>
      </c>
      <c r="AS801" s="12">
        <v>0</v>
      </c>
      <c r="AT801" s="12">
        <v>0</v>
      </c>
      <c r="AU801" s="3">
        <f t="shared" si="115"/>
        <v>200</v>
      </c>
      <c r="AV801" s="3">
        <f>SUM(AJ801 - AN801 - AU801)</f>
        <v>91333</v>
      </c>
      <c r="AW801" s="11">
        <v>0</v>
      </c>
      <c r="AX801" s="11">
        <v>0</v>
      </c>
      <c r="AY801" s="11">
        <v>0</v>
      </c>
      <c r="AZ801" s="11">
        <v>0</v>
      </c>
      <c r="BA801" s="3">
        <f t="shared" si="114"/>
        <v>91333</v>
      </c>
    </row>
    <row r="802" spans="1:53" x14ac:dyDescent="0.25">
      <c r="A802" s="1" t="s">
        <v>800</v>
      </c>
      <c r="B802" s="9" t="s">
        <v>2574</v>
      </c>
      <c r="C802" s="9" t="s">
        <v>1063</v>
      </c>
      <c r="D802" s="9" t="s">
        <v>2575</v>
      </c>
      <c r="E802" s="9" t="s">
        <v>1012</v>
      </c>
      <c r="F802" s="10">
        <v>44825</v>
      </c>
      <c r="G802" s="9" t="s">
        <v>1019</v>
      </c>
      <c r="I802" s="9" t="s">
        <v>1065</v>
      </c>
      <c r="J802" s="9" t="s">
        <v>1015</v>
      </c>
      <c r="K802" s="8" t="s">
        <v>1006</v>
      </c>
      <c r="L802" s="8" t="s">
        <v>1007</v>
      </c>
      <c r="M802" s="8" t="s">
        <v>2933</v>
      </c>
      <c r="N802" s="8" t="s">
        <v>2937</v>
      </c>
      <c r="O802" s="1" t="s">
        <v>2934</v>
      </c>
      <c r="P802">
        <v>30</v>
      </c>
      <c r="Q802">
        <v>30</v>
      </c>
      <c r="R802">
        <v>0</v>
      </c>
      <c r="S802">
        <f t="shared" si="116"/>
        <v>30</v>
      </c>
      <c r="T802" s="1" t="s">
        <v>2935</v>
      </c>
      <c r="U802" s="1" t="s">
        <v>2932</v>
      </c>
      <c r="V802" s="3">
        <f t="shared" si="117"/>
        <v>40000</v>
      </c>
      <c r="W802" s="3">
        <f t="shared" si="118"/>
        <v>16000</v>
      </c>
      <c r="X802" s="3">
        <f t="shared" si="110"/>
        <v>1250</v>
      </c>
      <c r="Y802" s="3">
        <f t="shared" si="111"/>
        <v>1600</v>
      </c>
      <c r="Z802" s="3">
        <f t="shared" si="112"/>
        <v>1800</v>
      </c>
      <c r="AA802" s="3">
        <v>0</v>
      </c>
      <c r="AB802" s="3">
        <f>ROUND(U802 - (V802+W802+X802+Y802) - (U802/Q802 * 2),0)</f>
        <v>34483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f>SUM(V802+W802+X802+Y802+AB802)</f>
        <v>93333</v>
      </c>
      <c r="AK802" s="3">
        <f>SUM(AJ802-AA802)</f>
        <v>93333</v>
      </c>
      <c r="AL802" s="3">
        <f>IF(V802&lt;=15000,V802*12%,1800)</f>
        <v>1800</v>
      </c>
      <c r="AM802" s="3">
        <v>0</v>
      </c>
      <c r="AN802" s="3">
        <f t="shared" si="113"/>
        <v>1800</v>
      </c>
      <c r="AO802" s="12">
        <v>200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3">
        <f t="shared" si="115"/>
        <v>200</v>
      </c>
      <c r="AV802" s="3">
        <f>SUM(AJ802 - AN802 - AU802)</f>
        <v>91333</v>
      </c>
      <c r="AW802" s="11">
        <v>0</v>
      </c>
      <c r="AX802" s="11">
        <v>0</v>
      </c>
      <c r="AY802" s="11">
        <v>0</v>
      </c>
      <c r="AZ802" s="11">
        <v>0</v>
      </c>
      <c r="BA802" s="3">
        <f t="shared" si="114"/>
        <v>91333</v>
      </c>
    </row>
    <row r="803" spans="1:53" x14ac:dyDescent="0.25">
      <c r="A803" s="1" t="s">
        <v>801</v>
      </c>
      <c r="B803" s="9" t="s">
        <v>2572</v>
      </c>
      <c r="C803" s="9" t="s">
        <v>1063</v>
      </c>
      <c r="D803" s="9" t="s">
        <v>2573</v>
      </c>
      <c r="E803" s="9" t="s">
        <v>1012</v>
      </c>
      <c r="F803" s="10">
        <v>44825</v>
      </c>
      <c r="G803" s="9" t="s">
        <v>1019</v>
      </c>
      <c r="I803" s="9" t="s">
        <v>1065</v>
      </c>
      <c r="J803" s="9" t="s">
        <v>1015</v>
      </c>
      <c r="K803" s="8" t="s">
        <v>1006</v>
      </c>
      <c r="L803" s="8" t="s">
        <v>1007</v>
      </c>
      <c r="M803" s="8" t="s">
        <v>2933</v>
      </c>
      <c r="N803" s="8" t="s">
        <v>2937</v>
      </c>
      <c r="O803" s="1" t="s">
        <v>2934</v>
      </c>
      <c r="P803">
        <v>30</v>
      </c>
      <c r="Q803">
        <v>30</v>
      </c>
      <c r="R803">
        <v>0</v>
      </c>
      <c r="S803">
        <f t="shared" si="116"/>
        <v>30</v>
      </c>
      <c r="T803" s="1" t="s">
        <v>2935</v>
      </c>
      <c r="U803" s="1" t="s">
        <v>2932</v>
      </c>
      <c r="V803" s="3">
        <f t="shared" si="117"/>
        <v>40000</v>
      </c>
      <c r="W803" s="3">
        <f t="shared" si="118"/>
        <v>16000</v>
      </c>
      <c r="X803" s="3">
        <f t="shared" si="110"/>
        <v>1250</v>
      </c>
      <c r="Y803" s="3">
        <f t="shared" si="111"/>
        <v>1600</v>
      </c>
      <c r="Z803" s="3">
        <f t="shared" si="112"/>
        <v>1800</v>
      </c>
      <c r="AA803" s="3">
        <v>0</v>
      </c>
      <c r="AB803" s="3">
        <f>ROUND(U803 - (V803+W803+X803+Y803) - (U803/Q803 * 2),0)</f>
        <v>34483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f>SUM(V803+W803+X803+Y803+AB803)</f>
        <v>93333</v>
      </c>
      <c r="AK803" s="3">
        <f>SUM(AJ803-AA803)</f>
        <v>93333</v>
      </c>
      <c r="AL803" s="3">
        <f>IF(V803&lt;=15000,V803*12%,1800)</f>
        <v>1800</v>
      </c>
      <c r="AM803" s="3">
        <v>0</v>
      </c>
      <c r="AN803" s="3">
        <f t="shared" si="113"/>
        <v>1800</v>
      </c>
      <c r="AO803" s="12">
        <v>200</v>
      </c>
      <c r="AP803" s="12">
        <v>0</v>
      </c>
      <c r="AQ803" s="12">
        <v>0</v>
      </c>
      <c r="AR803" s="12">
        <v>0</v>
      </c>
      <c r="AS803" s="12">
        <v>0</v>
      </c>
      <c r="AT803" s="12">
        <v>0</v>
      </c>
      <c r="AU803" s="3">
        <f t="shared" si="115"/>
        <v>200</v>
      </c>
      <c r="AV803" s="3">
        <f>SUM(AJ803 - AN803 - AU803)</f>
        <v>91333</v>
      </c>
      <c r="AW803" s="11">
        <v>0</v>
      </c>
      <c r="AX803" s="11">
        <v>0</v>
      </c>
      <c r="AY803" s="11">
        <v>0</v>
      </c>
      <c r="AZ803" s="11">
        <v>0</v>
      </c>
      <c r="BA803" s="3">
        <f t="shared" si="114"/>
        <v>91333</v>
      </c>
    </row>
    <row r="804" spans="1:53" x14ac:dyDescent="0.25">
      <c r="A804" s="1" t="s">
        <v>802</v>
      </c>
      <c r="B804" s="9" t="s">
        <v>2570</v>
      </c>
      <c r="C804" s="9" t="s">
        <v>1063</v>
      </c>
      <c r="D804" s="9" t="s">
        <v>2571</v>
      </c>
      <c r="E804" s="9" t="s">
        <v>1012</v>
      </c>
      <c r="F804" s="10">
        <v>44830</v>
      </c>
      <c r="G804" s="9" t="s">
        <v>1013</v>
      </c>
      <c r="I804" s="9" t="s">
        <v>1014</v>
      </c>
      <c r="J804" s="9" t="s">
        <v>1015</v>
      </c>
      <c r="K804" s="8" t="s">
        <v>1006</v>
      </c>
      <c r="L804" s="8" t="s">
        <v>1007</v>
      </c>
      <c r="M804" s="8" t="s">
        <v>2933</v>
      </c>
      <c r="N804" s="8" t="s">
        <v>2937</v>
      </c>
      <c r="O804" s="1" t="s">
        <v>2934</v>
      </c>
      <c r="P804">
        <v>30</v>
      </c>
      <c r="Q804">
        <v>30</v>
      </c>
      <c r="R804">
        <v>0</v>
      </c>
      <c r="S804">
        <f t="shared" si="116"/>
        <v>30</v>
      </c>
      <c r="T804" s="1" t="s">
        <v>2935</v>
      </c>
      <c r="U804" s="1" t="s">
        <v>2932</v>
      </c>
      <c r="V804" s="3">
        <f t="shared" si="117"/>
        <v>40000</v>
      </c>
      <c r="W804" s="3">
        <f t="shared" si="118"/>
        <v>16000</v>
      </c>
      <c r="X804" s="3">
        <f t="shared" si="110"/>
        <v>1250</v>
      </c>
      <c r="Y804" s="3">
        <f t="shared" si="111"/>
        <v>1600</v>
      </c>
      <c r="Z804" s="3">
        <f t="shared" si="112"/>
        <v>1800</v>
      </c>
      <c r="AA804" s="3">
        <v>0</v>
      </c>
      <c r="AB804" s="3">
        <f>ROUND(U804 - (V804+W804+X804+Y804) - (U804/Q804 * 2),0)</f>
        <v>34483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f>SUM(V804+W804+X804+Y804+AB804)</f>
        <v>93333</v>
      </c>
      <c r="AK804" s="3">
        <f>SUM(AJ804-AA804)</f>
        <v>93333</v>
      </c>
      <c r="AL804" s="3">
        <f>IF(V804&lt;=15000,V804*12%,1800)</f>
        <v>1800</v>
      </c>
      <c r="AM804" s="3">
        <v>0</v>
      </c>
      <c r="AN804" s="3">
        <f t="shared" si="113"/>
        <v>1800</v>
      </c>
      <c r="AO804" s="12">
        <v>200</v>
      </c>
      <c r="AP804" s="12">
        <v>0</v>
      </c>
      <c r="AQ804" s="12">
        <v>0</v>
      </c>
      <c r="AR804" s="12">
        <v>0</v>
      </c>
      <c r="AS804" s="12">
        <v>0</v>
      </c>
      <c r="AT804" s="12">
        <v>0</v>
      </c>
      <c r="AU804" s="3">
        <f t="shared" si="115"/>
        <v>200</v>
      </c>
      <c r="AV804" s="3">
        <f>SUM(AJ804 - AN804 - AU804)</f>
        <v>91333</v>
      </c>
      <c r="AW804" s="11">
        <v>0</v>
      </c>
      <c r="AX804" s="11">
        <v>0</v>
      </c>
      <c r="AY804" s="11">
        <v>0</v>
      </c>
      <c r="AZ804" s="11">
        <v>0</v>
      </c>
      <c r="BA804" s="3">
        <f t="shared" si="114"/>
        <v>91333</v>
      </c>
    </row>
    <row r="805" spans="1:53" x14ac:dyDescent="0.25">
      <c r="A805" s="1" t="s">
        <v>803</v>
      </c>
      <c r="B805" s="9" t="s">
        <v>2568</v>
      </c>
      <c r="C805" s="9" t="s">
        <v>1026</v>
      </c>
      <c r="D805" s="9" t="s">
        <v>2569</v>
      </c>
      <c r="E805" s="9" t="s">
        <v>1008</v>
      </c>
      <c r="F805" s="10">
        <v>44844</v>
      </c>
      <c r="G805" s="9" t="s">
        <v>1019</v>
      </c>
      <c r="I805" s="9" t="s">
        <v>1014</v>
      </c>
      <c r="J805" s="9" t="s">
        <v>1015</v>
      </c>
      <c r="K805" s="8" t="s">
        <v>1006</v>
      </c>
      <c r="L805" s="8" t="s">
        <v>1007</v>
      </c>
      <c r="M805" s="8" t="s">
        <v>2933</v>
      </c>
      <c r="N805" s="8" t="s">
        <v>2937</v>
      </c>
      <c r="O805" s="1" t="s">
        <v>2934</v>
      </c>
      <c r="P805">
        <v>30</v>
      </c>
      <c r="Q805">
        <v>30</v>
      </c>
      <c r="R805">
        <v>0</v>
      </c>
      <c r="S805">
        <f t="shared" si="116"/>
        <v>30</v>
      </c>
      <c r="T805" s="1" t="s">
        <v>2935</v>
      </c>
      <c r="U805" s="1" t="s">
        <v>2932</v>
      </c>
      <c r="V805" s="3">
        <f t="shared" si="117"/>
        <v>40000</v>
      </c>
      <c r="W805" s="3">
        <f t="shared" si="118"/>
        <v>16000</v>
      </c>
      <c r="X805" s="3">
        <f t="shared" si="110"/>
        <v>1250</v>
      </c>
      <c r="Y805" s="3">
        <f t="shared" si="111"/>
        <v>1600</v>
      </c>
      <c r="Z805" s="3">
        <f t="shared" si="112"/>
        <v>1800</v>
      </c>
      <c r="AA805" s="3">
        <v>0</v>
      </c>
      <c r="AB805" s="3">
        <f>ROUND(U805 - (V805+W805+X805+Y805) - (U805/Q805 * 2),0)</f>
        <v>34483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f>SUM(V805+W805+X805+Y805+AB805)</f>
        <v>93333</v>
      </c>
      <c r="AK805" s="3">
        <f>SUM(AJ805-AA805)</f>
        <v>93333</v>
      </c>
      <c r="AL805" s="3">
        <f>IF(V805&lt;=15000,V805*12%,1800)</f>
        <v>1800</v>
      </c>
      <c r="AM805" s="3">
        <v>0</v>
      </c>
      <c r="AN805" s="3">
        <f t="shared" si="113"/>
        <v>1800</v>
      </c>
      <c r="AO805" s="12">
        <v>200</v>
      </c>
      <c r="AP805" s="12">
        <v>0</v>
      </c>
      <c r="AQ805" s="12">
        <v>0</v>
      </c>
      <c r="AR805" s="12">
        <v>0</v>
      </c>
      <c r="AS805" s="12">
        <v>0</v>
      </c>
      <c r="AT805" s="12">
        <v>0</v>
      </c>
      <c r="AU805" s="3">
        <f t="shared" si="115"/>
        <v>200</v>
      </c>
      <c r="AV805" s="3">
        <f>SUM(AJ805 - AN805 - AU805)</f>
        <v>91333</v>
      </c>
      <c r="AW805" s="11">
        <v>0</v>
      </c>
      <c r="AX805" s="11">
        <v>0</v>
      </c>
      <c r="AY805" s="11">
        <v>0</v>
      </c>
      <c r="AZ805" s="11">
        <v>0</v>
      </c>
      <c r="BA805" s="3">
        <f t="shared" si="114"/>
        <v>91333</v>
      </c>
    </row>
    <row r="806" spans="1:53" x14ac:dyDescent="0.25">
      <c r="A806" s="1" t="s">
        <v>804</v>
      </c>
      <c r="B806" s="9" t="s">
        <v>2566</v>
      </c>
      <c r="C806" s="9" t="s">
        <v>1026</v>
      </c>
      <c r="D806" s="9" t="s">
        <v>2567</v>
      </c>
      <c r="E806" s="9" t="s">
        <v>1012</v>
      </c>
      <c r="F806" s="10">
        <v>44844</v>
      </c>
      <c r="G806" s="9" t="s">
        <v>1019</v>
      </c>
      <c r="I806" s="9" t="s">
        <v>1014</v>
      </c>
      <c r="J806" s="9" t="s">
        <v>1015</v>
      </c>
      <c r="K806" s="8" t="s">
        <v>1006</v>
      </c>
      <c r="L806" s="8" t="s">
        <v>1007</v>
      </c>
      <c r="M806" s="8" t="s">
        <v>2933</v>
      </c>
      <c r="N806" s="8" t="s">
        <v>2937</v>
      </c>
      <c r="O806" s="1" t="s">
        <v>2934</v>
      </c>
      <c r="P806">
        <v>30</v>
      </c>
      <c r="Q806">
        <v>30</v>
      </c>
      <c r="R806">
        <v>0</v>
      </c>
      <c r="S806">
        <f t="shared" si="116"/>
        <v>30</v>
      </c>
      <c r="T806" s="1" t="s">
        <v>2935</v>
      </c>
      <c r="U806" s="1" t="s">
        <v>2932</v>
      </c>
      <c r="V806" s="3">
        <f t="shared" si="117"/>
        <v>40000</v>
      </c>
      <c r="W806" s="3">
        <f t="shared" si="118"/>
        <v>16000</v>
      </c>
      <c r="X806" s="3">
        <f t="shared" si="110"/>
        <v>1250</v>
      </c>
      <c r="Y806" s="3">
        <f t="shared" si="111"/>
        <v>1600</v>
      </c>
      <c r="Z806" s="3">
        <f t="shared" si="112"/>
        <v>1800</v>
      </c>
      <c r="AA806" s="3">
        <v>0</v>
      </c>
      <c r="AB806" s="3">
        <f>ROUND(U806 - (V806+W806+X806+Y806) - (U806/Q806 * 2),0)</f>
        <v>34483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f>SUM(V806+W806+X806+Y806+AB806)</f>
        <v>93333</v>
      </c>
      <c r="AK806" s="3">
        <f>SUM(AJ806-AA806)</f>
        <v>93333</v>
      </c>
      <c r="AL806" s="3">
        <f>IF(V806&lt;=15000,V806*12%,1800)</f>
        <v>1800</v>
      </c>
      <c r="AM806" s="3">
        <v>0</v>
      </c>
      <c r="AN806" s="3">
        <f t="shared" si="113"/>
        <v>1800</v>
      </c>
      <c r="AO806" s="12">
        <v>200</v>
      </c>
      <c r="AP806" s="12">
        <v>0</v>
      </c>
      <c r="AQ806" s="12">
        <v>0</v>
      </c>
      <c r="AR806" s="12">
        <v>0</v>
      </c>
      <c r="AS806" s="12">
        <v>0</v>
      </c>
      <c r="AT806" s="12">
        <v>0</v>
      </c>
      <c r="AU806" s="3">
        <f t="shared" si="115"/>
        <v>200</v>
      </c>
      <c r="AV806" s="3">
        <f>SUM(AJ806 - AN806 - AU806)</f>
        <v>91333</v>
      </c>
      <c r="AW806" s="11">
        <v>0</v>
      </c>
      <c r="AX806" s="11">
        <v>0</v>
      </c>
      <c r="AY806" s="11">
        <v>0</v>
      </c>
      <c r="AZ806" s="11">
        <v>0</v>
      </c>
      <c r="BA806" s="3">
        <f t="shared" si="114"/>
        <v>91333</v>
      </c>
    </row>
    <row r="807" spans="1:53" x14ac:dyDescent="0.25">
      <c r="A807" s="1" t="s">
        <v>805</v>
      </c>
      <c r="B807" s="9" t="s">
        <v>1049</v>
      </c>
      <c r="C807" s="9" t="s">
        <v>1026</v>
      </c>
      <c r="D807" s="9" t="s">
        <v>2565</v>
      </c>
      <c r="E807" s="9" t="s">
        <v>1012</v>
      </c>
      <c r="F807" s="10">
        <v>44844</v>
      </c>
      <c r="G807" s="9" t="s">
        <v>1019</v>
      </c>
      <c r="I807" s="9" t="s">
        <v>1014</v>
      </c>
      <c r="J807" s="9" t="s">
        <v>1015</v>
      </c>
      <c r="K807" s="8" t="s">
        <v>1006</v>
      </c>
      <c r="L807" s="8" t="s">
        <v>1007</v>
      </c>
      <c r="M807" s="8" t="s">
        <v>2933</v>
      </c>
      <c r="N807" s="8" t="s">
        <v>2937</v>
      </c>
      <c r="O807" s="1" t="s">
        <v>2934</v>
      </c>
      <c r="P807">
        <v>30</v>
      </c>
      <c r="Q807">
        <v>30</v>
      </c>
      <c r="R807">
        <v>0</v>
      </c>
      <c r="S807">
        <f t="shared" si="116"/>
        <v>30</v>
      </c>
      <c r="T807" s="1" t="s">
        <v>2935</v>
      </c>
      <c r="U807" s="1" t="s">
        <v>2932</v>
      </c>
      <c r="V807" s="3">
        <f t="shared" si="117"/>
        <v>40000</v>
      </c>
      <c r="W807" s="3">
        <f t="shared" si="118"/>
        <v>16000</v>
      </c>
      <c r="X807" s="3">
        <f t="shared" si="110"/>
        <v>1250</v>
      </c>
      <c r="Y807" s="3">
        <f t="shared" si="111"/>
        <v>1600</v>
      </c>
      <c r="Z807" s="3">
        <f t="shared" si="112"/>
        <v>1800</v>
      </c>
      <c r="AA807" s="3">
        <v>0</v>
      </c>
      <c r="AB807" s="3">
        <f>ROUND(U807 - (V807+W807+X807+Y807) - (U807/Q807 * 2),0)</f>
        <v>34483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f>SUM(V807+W807+X807+Y807+AB807)</f>
        <v>93333</v>
      </c>
      <c r="AK807" s="3">
        <f>SUM(AJ807-AA807)</f>
        <v>93333</v>
      </c>
      <c r="AL807" s="3">
        <f>IF(V807&lt;=15000,V807*12%,1800)</f>
        <v>1800</v>
      </c>
      <c r="AM807" s="3">
        <v>0</v>
      </c>
      <c r="AN807" s="3">
        <f t="shared" si="113"/>
        <v>1800</v>
      </c>
      <c r="AO807" s="12">
        <v>200</v>
      </c>
      <c r="AP807" s="12">
        <v>0</v>
      </c>
      <c r="AQ807" s="12">
        <v>0</v>
      </c>
      <c r="AR807" s="12">
        <v>0</v>
      </c>
      <c r="AS807" s="12">
        <v>0</v>
      </c>
      <c r="AT807" s="12">
        <v>0</v>
      </c>
      <c r="AU807" s="3">
        <f t="shared" si="115"/>
        <v>200</v>
      </c>
      <c r="AV807" s="3">
        <f>SUM(AJ807 - AN807 - AU807)</f>
        <v>91333</v>
      </c>
      <c r="AW807" s="11">
        <v>0</v>
      </c>
      <c r="AX807" s="11">
        <v>0</v>
      </c>
      <c r="AY807" s="11">
        <v>0</v>
      </c>
      <c r="AZ807" s="11">
        <v>0</v>
      </c>
      <c r="BA807" s="3">
        <f t="shared" si="114"/>
        <v>91333</v>
      </c>
    </row>
    <row r="808" spans="1:53" x14ac:dyDescent="0.25">
      <c r="A808" s="1" t="s">
        <v>806</v>
      </c>
      <c r="B808" s="9" t="s">
        <v>1888</v>
      </c>
      <c r="C808" s="9" t="s">
        <v>1010</v>
      </c>
      <c r="D808" s="9" t="s">
        <v>2564</v>
      </c>
      <c r="E808" s="9" t="s">
        <v>1012</v>
      </c>
      <c r="F808" s="10">
        <v>44851</v>
      </c>
      <c r="G808" s="9" t="s">
        <v>1019</v>
      </c>
      <c r="I808" s="9" t="s">
        <v>1014</v>
      </c>
      <c r="J808" s="9" t="s">
        <v>1015</v>
      </c>
      <c r="K808" s="8" t="s">
        <v>1006</v>
      </c>
      <c r="L808" s="8" t="s">
        <v>1007</v>
      </c>
      <c r="M808" s="8" t="s">
        <v>2933</v>
      </c>
      <c r="N808" s="8" t="s">
        <v>2937</v>
      </c>
      <c r="O808" s="1" t="s">
        <v>2934</v>
      </c>
      <c r="P808">
        <v>30</v>
      </c>
      <c r="Q808">
        <v>30</v>
      </c>
      <c r="R808">
        <v>0</v>
      </c>
      <c r="S808">
        <f t="shared" si="116"/>
        <v>30</v>
      </c>
      <c r="T808" s="1" t="s">
        <v>2935</v>
      </c>
      <c r="U808" s="1" t="s">
        <v>2932</v>
      </c>
      <c r="V808" s="3">
        <f t="shared" si="117"/>
        <v>40000</v>
      </c>
      <c r="W808" s="3">
        <f t="shared" si="118"/>
        <v>16000</v>
      </c>
      <c r="X808" s="3">
        <f t="shared" si="110"/>
        <v>1250</v>
      </c>
      <c r="Y808" s="3">
        <f t="shared" si="111"/>
        <v>1600</v>
      </c>
      <c r="Z808" s="3">
        <f t="shared" si="112"/>
        <v>1800</v>
      </c>
      <c r="AA808" s="3">
        <v>0</v>
      </c>
      <c r="AB808" s="3">
        <f>ROUND(U808 - (V808+W808+X808+Y808) - (U808/Q808 * 2),0)</f>
        <v>34483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f>SUM(V808+W808+X808+Y808+AB808)</f>
        <v>93333</v>
      </c>
      <c r="AK808" s="3">
        <f>SUM(AJ808-AA808)</f>
        <v>93333</v>
      </c>
      <c r="AL808" s="3">
        <f>IF(V808&lt;=15000,V808*12%,1800)</f>
        <v>1800</v>
      </c>
      <c r="AM808" s="3">
        <v>0</v>
      </c>
      <c r="AN808" s="3">
        <f t="shared" si="113"/>
        <v>1800</v>
      </c>
      <c r="AO808" s="12">
        <v>200</v>
      </c>
      <c r="AP808" s="12">
        <v>0</v>
      </c>
      <c r="AQ808" s="12">
        <v>0</v>
      </c>
      <c r="AR808" s="12">
        <v>0</v>
      </c>
      <c r="AS808" s="12">
        <v>0</v>
      </c>
      <c r="AT808" s="12">
        <v>0</v>
      </c>
      <c r="AU808" s="3">
        <f t="shared" si="115"/>
        <v>200</v>
      </c>
      <c r="AV808" s="3">
        <f>SUM(AJ808 - AN808 - AU808)</f>
        <v>91333</v>
      </c>
      <c r="AW808" s="11">
        <v>0</v>
      </c>
      <c r="AX808" s="11">
        <v>0</v>
      </c>
      <c r="AY808" s="11">
        <v>0</v>
      </c>
      <c r="AZ808" s="11">
        <v>0</v>
      </c>
      <c r="BA808" s="3">
        <f t="shared" si="114"/>
        <v>91333</v>
      </c>
    </row>
    <row r="809" spans="1:53" x14ac:dyDescent="0.25">
      <c r="A809" s="1" t="s">
        <v>807</v>
      </c>
      <c r="B809" s="9" t="s">
        <v>2562</v>
      </c>
      <c r="C809" s="9" t="s">
        <v>1173</v>
      </c>
      <c r="D809" s="9" t="s">
        <v>2563</v>
      </c>
      <c r="E809" s="9" t="s">
        <v>1012</v>
      </c>
      <c r="F809" s="10">
        <v>44867</v>
      </c>
      <c r="G809" s="9" t="s">
        <v>1013</v>
      </c>
      <c r="I809" s="9" t="s">
        <v>1035</v>
      </c>
      <c r="J809" s="9" t="s">
        <v>1048</v>
      </c>
      <c r="K809" s="8" t="s">
        <v>1006</v>
      </c>
      <c r="L809" s="8" t="s">
        <v>1007</v>
      </c>
      <c r="M809" s="8" t="s">
        <v>2933</v>
      </c>
      <c r="N809" s="8" t="s">
        <v>2937</v>
      </c>
      <c r="O809" s="1" t="s">
        <v>2934</v>
      </c>
      <c r="P809">
        <v>30</v>
      </c>
      <c r="Q809">
        <v>30</v>
      </c>
      <c r="R809">
        <v>0</v>
      </c>
      <c r="S809">
        <f t="shared" si="116"/>
        <v>30</v>
      </c>
      <c r="T809" s="1" t="s">
        <v>2935</v>
      </c>
      <c r="U809" s="1" t="s">
        <v>2932</v>
      </c>
      <c r="V809" s="3">
        <f t="shared" si="117"/>
        <v>40000</v>
      </c>
      <c r="W809" s="3">
        <f t="shared" si="118"/>
        <v>16000</v>
      </c>
      <c r="X809" s="3">
        <f t="shared" si="110"/>
        <v>1250</v>
      </c>
      <c r="Y809" s="3">
        <f t="shared" si="111"/>
        <v>1600</v>
      </c>
      <c r="Z809" s="3">
        <f t="shared" si="112"/>
        <v>1800</v>
      </c>
      <c r="AA809" s="3">
        <v>0</v>
      </c>
      <c r="AB809" s="3">
        <f>ROUND(U809 - (V809+W809+X809+Y809) - (U809/Q809 * 2),0)</f>
        <v>34483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f>SUM(V809+W809+X809+Y809+AB809)</f>
        <v>93333</v>
      </c>
      <c r="AK809" s="3">
        <f>SUM(AJ809-AA809)</f>
        <v>93333</v>
      </c>
      <c r="AL809" s="3">
        <f>IF(V809&lt;=15000,V809*12%,1800)</f>
        <v>1800</v>
      </c>
      <c r="AM809" s="3">
        <v>0</v>
      </c>
      <c r="AN809" s="3">
        <f t="shared" si="113"/>
        <v>1800</v>
      </c>
      <c r="AO809" s="12">
        <v>200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3">
        <f t="shared" si="115"/>
        <v>200</v>
      </c>
      <c r="AV809" s="3">
        <f>SUM(AJ809 - AN809 - AU809)</f>
        <v>91333</v>
      </c>
      <c r="AW809" s="11">
        <v>0</v>
      </c>
      <c r="AX809" s="11">
        <v>0</v>
      </c>
      <c r="AY809" s="11">
        <v>0</v>
      </c>
      <c r="AZ809" s="11">
        <v>0</v>
      </c>
      <c r="BA809" s="3">
        <f t="shared" si="114"/>
        <v>91333</v>
      </c>
    </row>
    <row r="810" spans="1:53" x14ac:dyDescent="0.25">
      <c r="A810" s="1" t="s">
        <v>808</v>
      </c>
      <c r="B810" s="9" t="s">
        <v>2560</v>
      </c>
      <c r="C810" s="9" t="s">
        <v>1063</v>
      </c>
      <c r="D810" s="9" t="s">
        <v>2561</v>
      </c>
      <c r="E810" s="9" t="s">
        <v>1012</v>
      </c>
      <c r="F810" s="10">
        <v>44868</v>
      </c>
      <c r="G810" s="9" t="s">
        <v>1019</v>
      </c>
      <c r="I810" s="9" t="s">
        <v>1065</v>
      </c>
      <c r="J810" s="9" t="s">
        <v>1015</v>
      </c>
      <c r="K810" s="8" t="s">
        <v>1006</v>
      </c>
      <c r="L810" s="8" t="s">
        <v>1007</v>
      </c>
      <c r="M810" s="8" t="s">
        <v>2933</v>
      </c>
      <c r="N810" s="8" t="s">
        <v>2937</v>
      </c>
      <c r="O810" s="1" t="s">
        <v>2934</v>
      </c>
      <c r="P810">
        <v>30</v>
      </c>
      <c r="Q810">
        <v>30</v>
      </c>
      <c r="R810">
        <v>0</v>
      </c>
      <c r="S810">
        <f t="shared" si="116"/>
        <v>30</v>
      </c>
      <c r="T810" s="1" t="s">
        <v>2935</v>
      </c>
      <c r="U810" s="1" t="s">
        <v>2932</v>
      </c>
      <c r="V810" s="3">
        <f t="shared" si="117"/>
        <v>40000</v>
      </c>
      <c r="W810" s="3">
        <f t="shared" si="118"/>
        <v>16000</v>
      </c>
      <c r="X810" s="3">
        <f t="shared" si="110"/>
        <v>1250</v>
      </c>
      <c r="Y810" s="3">
        <f t="shared" si="111"/>
        <v>1600</v>
      </c>
      <c r="Z810" s="3">
        <f t="shared" si="112"/>
        <v>1800</v>
      </c>
      <c r="AA810" s="3">
        <v>0</v>
      </c>
      <c r="AB810" s="3">
        <f>ROUND(U810 - (V810+W810+X810+Y810) - (U810/Q810 * 2),0)</f>
        <v>34483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f>SUM(V810+W810+X810+Y810+AB810)</f>
        <v>93333</v>
      </c>
      <c r="AK810" s="3">
        <f>SUM(AJ810-AA810)</f>
        <v>93333</v>
      </c>
      <c r="AL810" s="3">
        <f>IF(V810&lt;=15000,V810*12%,1800)</f>
        <v>1800</v>
      </c>
      <c r="AM810" s="3">
        <v>0</v>
      </c>
      <c r="AN810" s="3">
        <f t="shared" si="113"/>
        <v>1800</v>
      </c>
      <c r="AO810" s="12">
        <v>200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3">
        <f t="shared" si="115"/>
        <v>200</v>
      </c>
      <c r="AV810" s="3">
        <f>SUM(AJ810 - AN810 - AU810)</f>
        <v>91333</v>
      </c>
      <c r="AW810" s="11">
        <v>0</v>
      </c>
      <c r="AX810" s="11">
        <v>0</v>
      </c>
      <c r="AY810" s="11">
        <v>0</v>
      </c>
      <c r="AZ810" s="11">
        <v>0</v>
      </c>
      <c r="BA810" s="3">
        <f t="shared" si="114"/>
        <v>91333</v>
      </c>
    </row>
    <row r="811" spans="1:53" x14ac:dyDescent="0.25">
      <c r="A811" s="1" t="s">
        <v>809</v>
      </c>
      <c r="B811" s="9" t="s">
        <v>2558</v>
      </c>
      <c r="C811" s="9" t="s">
        <v>1063</v>
      </c>
      <c r="D811" s="9" t="s">
        <v>2559</v>
      </c>
      <c r="E811" s="9" t="s">
        <v>1012</v>
      </c>
      <c r="F811" s="10">
        <v>44868</v>
      </c>
      <c r="G811" s="9" t="s">
        <v>1019</v>
      </c>
      <c r="I811" s="9" t="s">
        <v>1065</v>
      </c>
      <c r="J811" s="9" t="s">
        <v>1015</v>
      </c>
      <c r="K811" s="8" t="s">
        <v>1006</v>
      </c>
      <c r="L811" s="8" t="s">
        <v>1007</v>
      </c>
      <c r="M811" s="8" t="s">
        <v>2933</v>
      </c>
      <c r="N811" s="8" t="s">
        <v>2937</v>
      </c>
      <c r="O811" s="1" t="s">
        <v>2934</v>
      </c>
      <c r="P811">
        <v>30</v>
      </c>
      <c r="Q811">
        <v>30</v>
      </c>
      <c r="R811">
        <v>0</v>
      </c>
      <c r="S811">
        <f t="shared" si="116"/>
        <v>30</v>
      </c>
      <c r="T811" s="1" t="s">
        <v>2935</v>
      </c>
      <c r="U811" s="1" t="s">
        <v>2932</v>
      </c>
      <c r="V811" s="3">
        <f t="shared" si="117"/>
        <v>40000</v>
      </c>
      <c r="W811" s="3">
        <f t="shared" si="118"/>
        <v>16000</v>
      </c>
      <c r="X811" s="3">
        <f t="shared" si="110"/>
        <v>1250</v>
      </c>
      <c r="Y811" s="3">
        <f t="shared" si="111"/>
        <v>1600</v>
      </c>
      <c r="Z811" s="3">
        <f t="shared" si="112"/>
        <v>1800</v>
      </c>
      <c r="AA811" s="3">
        <v>0</v>
      </c>
      <c r="AB811" s="3">
        <f>ROUND(U811 - (V811+W811+X811+Y811) - (U811/Q811 * 2),0)</f>
        <v>34483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f>SUM(V811+W811+X811+Y811+AB811)</f>
        <v>93333</v>
      </c>
      <c r="AK811" s="3">
        <f>SUM(AJ811-AA811)</f>
        <v>93333</v>
      </c>
      <c r="AL811" s="3">
        <f>IF(V811&lt;=15000,V811*12%,1800)</f>
        <v>1800</v>
      </c>
      <c r="AM811" s="3">
        <v>0</v>
      </c>
      <c r="AN811" s="3">
        <f t="shared" si="113"/>
        <v>1800</v>
      </c>
      <c r="AO811" s="12">
        <v>200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3">
        <f t="shared" si="115"/>
        <v>200</v>
      </c>
      <c r="AV811" s="3">
        <f>SUM(AJ811 - AN811 - AU811)</f>
        <v>91333</v>
      </c>
      <c r="AW811" s="11">
        <v>0</v>
      </c>
      <c r="AX811" s="11">
        <v>0</v>
      </c>
      <c r="AY811" s="11">
        <v>0</v>
      </c>
      <c r="AZ811" s="11">
        <v>0</v>
      </c>
      <c r="BA811" s="3">
        <f t="shared" si="114"/>
        <v>91333</v>
      </c>
    </row>
    <row r="812" spans="1:53" x14ac:dyDescent="0.25">
      <c r="A812" s="1" t="s">
        <v>810</v>
      </c>
      <c r="B812" s="9" t="s">
        <v>2556</v>
      </c>
      <c r="C812" s="9" t="s">
        <v>1063</v>
      </c>
      <c r="D812" s="9" t="s">
        <v>2557</v>
      </c>
      <c r="E812" s="9" t="s">
        <v>1012</v>
      </c>
      <c r="F812" s="10">
        <v>44868</v>
      </c>
      <c r="G812" s="9" t="s">
        <v>1019</v>
      </c>
      <c r="I812" s="9" t="s">
        <v>1020</v>
      </c>
      <c r="J812" s="9" t="s">
        <v>1015</v>
      </c>
      <c r="K812" s="8" t="s">
        <v>1006</v>
      </c>
      <c r="L812" s="8" t="s">
        <v>1007</v>
      </c>
      <c r="M812" s="8" t="s">
        <v>2933</v>
      </c>
      <c r="N812" s="8" t="s">
        <v>2937</v>
      </c>
      <c r="O812" s="1" t="s">
        <v>2934</v>
      </c>
      <c r="P812">
        <v>30</v>
      </c>
      <c r="Q812">
        <v>30</v>
      </c>
      <c r="R812">
        <v>0</v>
      </c>
      <c r="S812">
        <f t="shared" si="116"/>
        <v>30</v>
      </c>
      <c r="T812" s="1" t="s">
        <v>2935</v>
      </c>
      <c r="U812" s="1" t="s">
        <v>2932</v>
      </c>
      <c r="V812" s="3">
        <f t="shared" si="117"/>
        <v>40000</v>
      </c>
      <c r="W812" s="3">
        <f t="shared" si="118"/>
        <v>16000</v>
      </c>
      <c r="X812" s="3">
        <f t="shared" si="110"/>
        <v>1250</v>
      </c>
      <c r="Y812" s="3">
        <f t="shared" si="111"/>
        <v>1600</v>
      </c>
      <c r="Z812" s="3">
        <f t="shared" si="112"/>
        <v>1800</v>
      </c>
      <c r="AA812" s="3">
        <v>0</v>
      </c>
      <c r="AB812" s="3">
        <f>ROUND(U812 - (V812+W812+X812+Y812) - (U812/Q812 * 2),0)</f>
        <v>34483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f>SUM(V812+W812+X812+Y812+AB812)</f>
        <v>93333</v>
      </c>
      <c r="AK812" s="3">
        <f>SUM(AJ812-AA812)</f>
        <v>93333</v>
      </c>
      <c r="AL812" s="3">
        <f>IF(V812&lt;=15000,V812*12%,1800)</f>
        <v>1800</v>
      </c>
      <c r="AM812" s="3">
        <v>0</v>
      </c>
      <c r="AN812" s="3">
        <f t="shared" si="113"/>
        <v>1800</v>
      </c>
      <c r="AO812" s="12">
        <v>200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3">
        <f t="shared" si="115"/>
        <v>200</v>
      </c>
      <c r="AV812" s="3">
        <f>SUM(AJ812 - AN812 - AU812)</f>
        <v>91333</v>
      </c>
      <c r="AW812" s="11">
        <v>0</v>
      </c>
      <c r="AX812" s="11">
        <v>0</v>
      </c>
      <c r="AY812" s="11">
        <v>0</v>
      </c>
      <c r="AZ812" s="11">
        <v>0</v>
      </c>
      <c r="BA812" s="3">
        <f t="shared" si="114"/>
        <v>91333</v>
      </c>
    </row>
    <row r="813" spans="1:53" x14ac:dyDescent="0.25">
      <c r="A813" s="1" t="s">
        <v>811</v>
      </c>
      <c r="B813" s="9" t="s">
        <v>2554</v>
      </c>
      <c r="C813" s="9" t="s">
        <v>1115</v>
      </c>
      <c r="D813" s="9" t="s">
        <v>2555</v>
      </c>
      <c r="E813" s="9" t="s">
        <v>1012</v>
      </c>
      <c r="F813" s="10">
        <v>44881</v>
      </c>
      <c r="G813" s="9" t="s">
        <v>1019</v>
      </c>
      <c r="I813" s="9" t="s">
        <v>1035</v>
      </c>
      <c r="J813" s="9" t="s">
        <v>1048</v>
      </c>
      <c r="K813" s="8" t="s">
        <v>1006</v>
      </c>
      <c r="L813" s="8" t="s">
        <v>1007</v>
      </c>
      <c r="M813" s="8" t="s">
        <v>2933</v>
      </c>
      <c r="N813" s="8" t="s">
        <v>2937</v>
      </c>
      <c r="O813" s="1" t="s">
        <v>2934</v>
      </c>
      <c r="P813">
        <v>30</v>
      </c>
      <c r="Q813">
        <v>30</v>
      </c>
      <c r="R813">
        <v>0</v>
      </c>
      <c r="S813">
        <f t="shared" si="116"/>
        <v>30</v>
      </c>
      <c r="T813" s="1" t="s">
        <v>2935</v>
      </c>
      <c r="U813" s="1" t="s">
        <v>2932</v>
      </c>
      <c r="V813" s="3">
        <f t="shared" si="117"/>
        <v>40000</v>
      </c>
      <c r="W813" s="3">
        <f t="shared" si="118"/>
        <v>16000</v>
      </c>
      <c r="X813" s="3">
        <f t="shared" si="110"/>
        <v>1250</v>
      </c>
      <c r="Y813" s="3">
        <f t="shared" si="111"/>
        <v>1600</v>
      </c>
      <c r="Z813" s="3">
        <f t="shared" si="112"/>
        <v>1800</v>
      </c>
      <c r="AA813" s="3">
        <v>0</v>
      </c>
      <c r="AB813" s="3">
        <f>ROUND(U813 - (V813+W813+X813+Y813) - (U813/Q813 * 2),0)</f>
        <v>34483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f>SUM(V813+W813+X813+Y813+AB813)</f>
        <v>93333</v>
      </c>
      <c r="AK813" s="3">
        <f>SUM(AJ813-AA813)</f>
        <v>93333</v>
      </c>
      <c r="AL813" s="3">
        <f>IF(V813&lt;=15000,V813*12%,1800)</f>
        <v>1800</v>
      </c>
      <c r="AM813" s="3">
        <v>0</v>
      </c>
      <c r="AN813" s="3">
        <f t="shared" si="113"/>
        <v>1800</v>
      </c>
      <c r="AO813" s="12">
        <v>200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3">
        <f t="shared" si="115"/>
        <v>200</v>
      </c>
      <c r="AV813" s="3">
        <f>SUM(AJ813 - AN813 - AU813)</f>
        <v>91333</v>
      </c>
      <c r="AW813" s="11">
        <v>0</v>
      </c>
      <c r="AX813" s="11">
        <v>0</v>
      </c>
      <c r="AY813" s="11">
        <v>0</v>
      </c>
      <c r="AZ813" s="11">
        <v>0</v>
      </c>
      <c r="BA813" s="3">
        <f t="shared" si="114"/>
        <v>91333</v>
      </c>
    </row>
    <row r="814" spans="1:53" x14ac:dyDescent="0.25">
      <c r="A814" s="1" t="s">
        <v>812</v>
      </c>
      <c r="B814" s="9" t="s">
        <v>1311</v>
      </c>
      <c r="C814" s="9" t="s">
        <v>1038</v>
      </c>
      <c r="D814" s="9" t="s">
        <v>2553</v>
      </c>
      <c r="E814" s="9" t="s">
        <v>1012</v>
      </c>
      <c r="F814" s="10">
        <v>44896</v>
      </c>
      <c r="G814" s="9" t="s">
        <v>1019</v>
      </c>
      <c r="I814" s="9" t="s">
        <v>1020</v>
      </c>
      <c r="J814" s="9" t="s">
        <v>1031</v>
      </c>
      <c r="K814" s="8" t="s">
        <v>1006</v>
      </c>
      <c r="L814" s="8" t="s">
        <v>1007</v>
      </c>
      <c r="M814" s="8" t="s">
        <v>2933</v>
      </c>
      <c r="N814" s="8" t="s">
        <v>2937</v>
      </c>
      <c r="O814" s="1" t="s">
        <v>2934</v>
      </c>
      <c r="P814">
        <v>30</v>
      </c>
      <c r="Q814">
        <v>30</v>
      </c>
      <c r="R814">
        <v>0</v>
      </c>
      <c r="S814">
        <f t="shared" si="116"/>
        <v>30</v>
      </c>
      <c r="T814" s="1" t="s">
        <v>2935</v>
      </c>
      <c r="U814" s="1" t="s">
        <v>2932</v>
      </c>
      <c r="V814" s="3">
        <f t="shared" si="117"/>
        <v>40000</v>
      </c>
      <c r="W814" s="3">
        <f t="shared" si="118"/>
        <v>16000</v>
      </c>
      <c r="X814" s="3">
        <f t="shared" si="110"/>
        <v>1250</v>
      </c>
      <c r="Y814" s="3">
        <f t="shared" si="111"/>
        <v>1600</v>
      </c>
      <c r="Z814" s="3">
        <f t="shared" si="112"/>
        <v>1800</v>
      </c>
      <c r="AA814" s="3">
        <v>0</v>
      </c>
      <c r="AB814" s="3">
        <f>ROUND(U814 - (V814+W814+X814+Y814) - (U814/Q814 * 2),0)</f>
        <v>34483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f>SUM(V814+W814+X814+Y814+AB814)</f>
        <v>93333</v>
      </c>
      <c r="AK814" s="3">
        <f>SUM(AJ814-AA814)</f>
        <v>93333</v>
      </c>
      <c r="AL814" s="3">
        <f>IF(V814&lt;=15000,V814*12%,1800)</f>
        <v>1800</v>
      </c>
      <c r="AM814" s="3">
        <v>0</v>
      </c>
      <c r="AN814" s="3">
        <f t="shared" si="113"/>
        <v>1800</v>
      </c>
      <c r="AO814" s="12">
        <v>200</v>
      </c>
      <c r="AP814" s="12">
        <v>0</v>
      </c>
      <c r="AQ814" s="12">
        <v>0</v>
      </c>
      <c r="AR814" s="12">
        <v>0</v>
      </c>
      <c r="AS814" s="12">
        <v>0</v>
      </c>
      <c r="AT814" s="12">
        <v>0</v>
      </c>
      <c r="AU814" s="3">
        <f t="shared" si="115"/>
        <v>200</v>
      </c>
      <c r="AV814" s="3">
        <f>SUM(AJ814 - AN814 - AU814)</f>
        <v>91333</v>
      </c>
      <c r="AW814" s="11">
        <v>0</v>
      </c>
      <c r="AX814" s="11">
        <v>0</v>
      </c>
      <c r="AY814" s="11">
        <v>0</v>
      </c>
      <c r="AZ814" s="11">
        <v>0</v>
      </c>
      <c r="BA814" s="3">
        <f t="shared" si="114"/>
        <v>91333</v>
      </c>
    </row>
    <row r="815" spans="1:53" x14ac:dyDescent="0.25">
      <c r="A815" s="1" t="s">
        <v>813</v>
      </c>
      <c r="B815" s="9" t="s">
        <v>2607</v>
      </c>
      <c r="C815" s="9" t="s">
        <v>1026</v>
      </c>
      <c r="D815" s="9" t="s">
        <v>2608</v>
      </c>
      <c r="E815" s="9" t="s">
        <v>1012</v>
      </c>
      <c r="F815" s="10">
        <v>44896</v>
      </c>
      <c r="G815" s="9" t="s">
        <v>1019</v>
      </c>
      <c r="I815" s="9" t="s">
        <v>1014</v>
      </c>
      <c r="J815" s="9" t="s">
        <v>1015</v>
      </c>
      <c r="K815" s="8" t="s">
        <v>1006</v>
      </c>
      <c r="L815" s="8" t="s">
        <v>1007</v>
      </c>
      <c r="M815" s="8" t="s">
        <v>2933</v>
      </c>
      <c r="N815" s="8" t="s">
        <v>2937</v>
      </c>
      <c r="O815" s="1" t="s">
        <v>2934</v>
      </c>
      <c r="P815">
        <v>30</v>
      </c>
      <c r="Q815">
        <v>30</v>
      </c>
      <c r="R815">
        <v>0</v>
      </c>
      <c r="S815">
        <f t="shared" si="116"/>
        <v>30</v>
      </c>
      <c r="T815" s="1" t="s">
        <v>2935</v>
      </c>
      <c r="U815" s="1" t="s">
        <v>2932</v>
      </c>
      <c r="V815" s="3">
        <f t="shared" si="117"/>
        <v>40000</v>
      </c>
      <c r="W815" s="3">
        <f t="shared" si="118"/>
        <v>16000</v>
      </c>
      <c r="X815" s="3">
        <f t="shared" si="110"/>
        <v>1250</v>
      </c>
      <c r="Y815" s="3">
        <f t="shared" si="111"/>
        <v>1600</v>
      </c>
      <c r="Z815" s="3">
        <f t="shared" si="112"/>
        <v>1800</v>
      </c>
      <c r="AA815" s="3">
        <v>0</v>
      </c>
      <c r="AB815" s="3">
        <f>ROUND(U815 - (V815+W815+X815+Y815) - (U815/Q815 * 2),0)</f>
        <v>34483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f>SUM(V815+W815+X815+Y815+AB815)</f>
        <v>93333</v>
      </c>
      <c r="AK815" s="3">
        <f>SUM(AJ815-AA815)</f>
        <v>93333</v>
      </c>
      <c r="AL815" s="3">
        <f>IF(V815&lt;=15000,V815*12%,1800)</f>
        <v>1800</v>
      </c>
      <c r="AM815" s="3">
        <v>0</v>
      </c>
      <c r="AN815" s="3">
        <f t="shared" si="113"/>
        <v>1800</v>
      </c>
      <c r="AO815" s="12">
        <v>200</v>
      </c>
      <c r="AP815" s="12">
        <v>0</v>
      </c>
      <c r="AQ815" s="12">
        <v>0</v>
      </c>
      <c r="AR815" s="12">
        <v>0</v>
      </c>
      <c r="AS815" s="12">
        <v>0</v>
      </c>
      <c r="AT815" s="12">
        <v>0</v>
      </c>
      <c r="AU815" s="3">
        <f t="shared" si="115"/>
        <v>200</v>
      </c>
      <c r="AV815" s="3">
        <f>SUM(AJ815 - AN815 - AU815)</f>
        <v>91333</v>
      </c>
      <c r="AW815" s="11">
        <v>0</v>
      </c>
      <c r="AX815" s="11">
        <v>0</v>
      </c>
      <c r="AY815" s="11">
        <v>0</v>
      </c>
      <c r="AZ815" s="11">
        <v>0</v>
      </c>
      <c r="BA815" s="3">
        <f t="shared" si="114"/>
        <v>91333</v>
      </c>
    </row>
    <row r="816" spans="1:53" x14ac:dyDescent="0.25">
      <c r="A816" s="1" t="s">
        <v>814</v>
      </c>
      <c r="B816" s="9" t="s">
        <v>2605</v>
      </c>
      <c r="C816" s="9" t="s">
        <v>1026</v>
      </c>
      <c r="D816" s="9" t="s">
        <v>2606</v>
      </c>
      <c r="E816" s="9" t="s">
        <v>1012</v>
      </c>
      <c r="F816" s="10">
        <v>44896</v>
      </c>
      <c r="G816" s="9" t="s">
        <v>1019</v>
      </c>
      <c r="I816" s="9" t="s">
        <v>1020</v>
      </c>
      <c r="J816" s="9" t="s">
        <v>1015</v>
      </c>
      <c r="K816" s="8" t="s">
        <v>1006</v>
      </c>
      <c r="L816" s="8" t="s">
        <v>1007</v>
      </c>
      <c r="M816" s="8" t="s">
        <v>2933</v>
      </c>
      <c r="N816" s="8" t="s">
        <v>2937</v>
      </c>
      <c r="O816" s="1" t="s">
        <v>2934</v>
      </c>
      <c r="P816">
        <v>30</v>
      </c>
      <c r="Q816">
        <v>30</v>
      </c>
      <c r="R816">
        <v>0</v>
      </c>
      <c r="S816">
        <f t="shared" si="116"/>
        <v>30</v>
      </c>
      <c r="T816" s="1" t="s">
        <v>2935</v>
      </c>
      <c r="U816" s="1" t="s">
        <v>2932</v>
      </c>
      <c r="V816" s="3">
        <f t="shared" si="117"/>
        <v>40000</v>
      </c>
      <c r="W816" s="3">
        <f t="shared" si="118"/>
        <v>16000</v>
      </c>
      <c r="X816" s="3">
        <f t="shared" si="110"/>
        <v>1250</v>
      </c>
      <c r="Y816" s="3">
        <f t="shared" si="111"/>
        <v>1600</v>
      </c>
      <c r="Z816" s="3">
        <f t="shared" si="112"/>
        <v>1800</v>
      </c>
      <c r="AA816" s="3">
        <v>0</v>
      </c>
      <c r="AB816" s="3">
        <f>ROUND(U816 - (V816+W816+X816+Y816) - (U816/Q816 * 2),0)</f>
        <v>34483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f>SUM(V816+W816+X816+Y816+AB816)</f>
        <v>93333</v>
      </c>
      <c r="AK816" s="3">
        <f>SUM(AJ816-AA816)</f>
        <v>93333</v>
      </c>
      <c r="AL816" s="3">
        <f>IF(V816&lt;=15000,V816*12%,1800)</f>
        <v>1800</v>
      </c>
      <c r="AM816" s="3">
        <v>0</v>
      </c>
      <c r="AN816" s="3">
        <f t="shared" si="113"/>
        <v>1800</v>
      </c>
      <c r="AO816" s="12">
        <v>200</v>
      </c>
      <c r="AP816" s="12">
        <v>0</v>
      </c>
      <c r="AQ816" s="12">
        <v>0</v>
      </c>
      <c r="AR816" s="12">
        <v>0</v>
      </c>
      <c r="AS816" s="12">
        <v>0</v>
      </c>
      <c r="AT816" s="12">
        <v>0</v>
      </c>
      <c r="AU816" s="3">
        <f t="shared" si="115"/>
        <v>200</v>
      </c>
      <c r="AV816" s="3">
        <f>SUM(AJ816 - AN816 - AU816)</f>
        <v>91333</v>
      </c>
      <c r="AW816" s="11">
        <v>0</v>
      </c>
      <c r="AX816" s="11">
        <v>0</v>
      </c>
      <c r="AY816" s="11">
        <v>0</v>
      </c>
      <c r="AZ816" s="11">
        <v>0</v>
      </c>
      <c r="BA816" s="3">
        <f t="shared" si="114"/>
        <v>91333</v>
      </c>
    </row>
    <row r="817" spans="1:53" x14ac:dyDescent="0.25">
      <c r="A817" s="1" t="s">
        <v>815</v>
      </c>
      <c r="B817" s="9" t="s">
        <v>2603</v>
      </c>
      <c r="C817" s="9" t="s">
        <v>1026</v>
      </c>
      <c r="D817" s="9" t="s">
        <v>2604</v>
      </c>
      <c r="E817" s="9" t="s">
        <v>1008</v>
      </c>
      <c r="F817" s="10">
        <v>44896</v>
      </c>
      <c r="G817" s="9" t="s">
        <v>1019</v>
      </c>
      <c r="I817" s="9" t="s">
        <v>1014</v>
      </c>
      <c r="J817" s="9" t="s">
        <v>1015</v>
      </c>
      <c r="K817" s="8" t="s">
        <v>1006</v>
      </c>
      <c r="L817" s="8" t="s">
        <v>1007</v>
      </c>
      <c r="M817" s="8" t="s">
        <v>2933</v>
      </c>
      <c r="N817" s="8" t="s">
        <v>2937</v>
      </c>
      <c r="O817" s="1" t="s">
        <v>2934</v>
      </c>
      <c r="P817">
        <v>30</v>
      </c>
      <c r="Q817">
        <v>30</v>
      </c>
      <c r="R817">
        <v>0</v>
      </c>
      <c r="S817">
        <f t="shared" si="116"/>
        <v>30</v>
      </c>
      <c r="T817" s="1" t="s">
        <v>2935</v>
      </c>
      <c r="U817" s="1" t="s">
        <v>2932</v>
      </c>
      <c r="V817" s="3">
        <f t="shared" si="117"/>
        <v>40000</v>
      </c>
      <c r="W817" s="3">
        <f t="shared" si="118"/>
        <v>16000</v>
      </c>
      <c r="X817" s="3">
        <f t="shared" si="110"/>
        <v>1250</v>
      </c>
      <c r="Y817" s="3">
        <f t="shared" si="111"/>
        <v>1600</v>
      </c>
      <c r="Z817" s="3">
        <f t="shared" si="112"/>
        <v>1800</v>
      </c>
      <c r="AA817" s="3">
        <v>0</v>
      </c>
      <c r="AB817" s="3">
        <f>ROUND(U817 - (V817+W817+X817+Y817) - (U817/Q817 * 2),0)</f>
        <v>34483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f>SUM(V817+W817+X817+Y817+AB817)</f>
        <v>93333</v>
      </c>
      <c r="AK817" s="3">
        <f>SUM(AJ817-AA817)</f>
        <v>93333</v>
      </c>
      <c r="AL817" s="3">
        <f>IF(V817&lt;=15000,V817*12%,1800)</f>
        <v>1800</v>
      </c>
      <c r="AM817" s="3">
        <v>0</v>
      </c>
      <c r="AN817" s="3">
        <f t="shared" si="113"/>
        <v>1800</v>
      </c>
      <c r="AO817" s="12">
        <v>200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3">
        <f t="shared" si="115"/>
        <v>200</v>
      </c>
      <c r="AV817" s="3">
        <f>SUM(AJ817 - AN817 - AU817)</f>
        <v>91333</v>
      </c>
      <c r="AW817" s="11">
        <v>0</v>
      </c>
      <c r="AX817" s="11">
        <v>0</v>
      </c>
      <c r="AY817" s="11">
        <v>0</v>
      </c>
      <c r="AZ817" s="11">
        <v>0</v>
      </c>
      <c r="BA817" s="3">
        <f t="shared" si="114"/>
        <v>91333</v>
      </c>
    </row>
    <row r="818" spans="1:53" x14ac:dyDescent="0.25">
      <c r="A818" s="1" t="s">
        <v>816</v>
      </c>
      <c r="B818" s="9" t="s">
        <v>2602</v>
      </c>
      <c r="C818" s="9" t="s">
        <v>1017</v>
      </c>
      <c r="D818" s="9">
        <v>0</v>
      </c>
      <c r="E818" s="9" t="s">
        <v>1012</v>
      </c>
      <c r="F818" s="10">
        <v>44902</v>
      </c>
      <c r="G818" s="9" t="s">
        <v>1019</v>
      </c>
      <c r="I818" s="9" t="s">
        <v>1014</v>
      </c>
      <c r="J818" s="9" t="s">
        <v>1021</v>
      </c>
      <c r="K818" s="8" t="s">
        <v>1006</v>
      </c>
      <c r="L818" s="8" t="s">
        <v>1007</v>
      </c>
      <c r="M818" s="8" t="s">
        <v>2933</v>
      </c>
      <c r="N818" s="8" t="s">
        <v>2937</v>
      </c>
      <c r="O818" s="1" t="s">
        <v>2934</v>
      </c>
      <c r="P818">
        <v>30</v>
      </c>
      <c r="Q818">
        <v>30</v>
      </c>
      <c r="R818">
        <v>0</v>
      </c>
      <c r="S818">
        <f t="shared" si="116"/>
        <v>30</v>
      </c>
      <c r="T818" s="1" t="s">
        <v>2935</v>
      </c>
      <c r="U818" s="1" t="s">
        <v>2932</v>
      </c>
      <c r="V818" s="3">
        <f t="shared" si="117"/>
        <v>40000</v>
      </c>
      <c r="W818" s="3">
        <f t="shared" si="118"/>
        <v>16000</v>
      </c>
      <c r="X818" s="3">
        <f t="shared" si="110"/>
        <v>1250</v>
      </c>
      <c r="Y818" s="3">
        <f t="shared" si="111"/>
        <v>1600</v>
      </c>
      <c r="Z818" s="3">
        <f t="shared" si="112"/>
        <v>1800</v>
      </c>
      <c r="AA818" s="3">
        <v>0</v>
      </c>
      <c r="AB818" s="3">
        <f>ROUND(U818 - (V818+W818+X818+Y818) - (U818/Q818 * 2),0)</f>
        <v>34483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f>SUM(V818+W818+X818+Y818+AB818)</f>
        <v>93333</v>
      </c>
      <c r="AK818" s="3">
        <f>SUM(AJ818-AA818)</f>
        <v>93333</v>
      </c>
      <c r="AL818" s="3">
        <f>IF(V818&lt;=15000,V818*12%,1800)</f>
        <v>1800</v>
      </c>
      <c r="AM818" s="3">
        <v>0</v>
      </c>
      <c r="AN818" s="3">
        <f t="shared" si="113"/>
        <v>1800</v>
      </c>
      <c r="AO818" s="12">
        <v>200</v>
      </c>
      <c r="AP818" s="12">
        <v>0</v>
      </c>
      <c r="AQ818" s="12">
        <v>0</v>
      </c>
      <c r="AR818" s="12">
        <v>0</v>
      </c>
      <c r="AS818" s="12">
        <v>0</v>
      </c>
      <c r="AT818" s="12">
        <v>0</v>
      </c>
      <c r="AU818" s="3">
        <f t="shared" si="115"/>
        <v>200</v>
      </c>
      <c r="AV818" s="3">
        <f>SUM(AJ818 - AN818 - AU818)</f>
        <v>91333</v>
      </c>
      <c r="AW818" s="11">
        <v>0</v>
      </c>
      <c r="AX818" s="11">
        <v>0</v>
      </c>
      <c r="AY818" s="11">
        <v>0</v>
      </c>
      <c r="AZ818" s="11">
        <v>0</v>
      </c>
      <c r="BA818" s="3">
        <f t="shared" si="114"/>
        <v>91333</v>
      </c>
    </row>
    <row r="819" spans="1:53" x14ac:dyDescent="0.25">
      <c r="A819" s="1" t="s">
        <v>817</v>
      </c>
      <c r="B819" s="9" t="s">
        <v>1081</v>
      </c>
      <c r="C819" s="9" t="s">
        <v>1173</v>
      </c>
      <c r="D819" s="9" t="s">
        <v>2601</v>
      </c>
      <c r="E819" s="9" t="s">
        <v>1012</v>
      </c>
      <c r="F819" s="10">
        <v>44909</v>
      </c>
      <c r="G819" s="9" t="s">
        <v>1019</v>
      </c>
      <c r="I819" s="9" t="s">
        <v>1042</v>
      </c>
      <c r="J819" s="9" t="s">
        <v>1048</v>
      </c>
      <c r="K819" s="8" t="s">
        <v>1006</v>
      </c>
      <c r="L819" s="8" t="s">
        <v>1007</v>
      </c>
      <c r="M819" s="8" t="s">
        <v>2933</v>
      </c>
      <c r="N819" s="8" t="s">
        <v>2937</v>
      </c>
      <c r="O819" s="1" t="s">
        <v>2934</v>
      </c>
      <c r="P819">
        <v>30</v>
      </c>
      <c r="Q819">
        <v>30</v>
      </c>
      <c r="R819">
        <v>0</v>
      </c>
      <c r="S819">
        <f t="shared" si="116"/>
        <v>30</v>
      </c>
      <c r="T819" s="1" t="s">
        <v>2935</v>
      </c>
      <c r="U819" s="1" t="s">
        <v>2932</v>
      </c>
      <c r="V819" s="3">
        <f t="shared" si="117"/>
        <v>40000</v>
      </c>
      <c r="W819" s="3">
        <f t="shared" si="118"/>
        <v>16000</v>
      </c>
      <c r="X819" s="3">
        <f t="shared" si="110"/>
        <v>1250</v>
      </c>
      <c r="Y819" s="3">
        <f t="shared" si="111"/>
        <v>1600</v>
      </c>
      <c r="Z819" s="3">
        <f t="shared" si="112"/>
        <v>1800</v>
      </c>
      <c r="AA819" s="3">
        <v>0</v>
      </c>
      <c r="AB819" s="3">
        <f>ROUND(U819 - (V819+W819+X819+Y819) - (U819/Q819 * 2),0)</f>
        <v>34483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f>SUM(V819+W819+X819+Y819+AB819)</f>
        <v>93333</v>
      </c>
      <c r="AK819" s="3">
        <f>SUM(AJ819-AA819)</f>
        <v>93333</v>
      </c>
      <c r="AL819" s="3">
        <f>IF(V819&lt;=15000,V819*12%,1800)</f>
        <v>1800</v>
      </c>
      <c r="AM819" s="3">
        <v>0</v>
      </c>
      <c r="AN819" s="3">
        <f t="shared" si="113"/>
        <v>1800</v>
      </c>
      <c r="AO819" s="12">
        <v>200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3">
        <f t="shared" si="115"/>
        <v>200</v>
      </c>
      <c r="AV819" s="3">
        <f>SUM(AJ819 - AN819 - AU819)</f>
        <v>91333</v>
      </c>
      <c r="AW819" s="11">
        <v>0</v>
      </c>
      <c r="AX819" s="11">
        <v>0</v>
      </c>
      <c r="AY819" s="11">
        <v>0</v>
      </c>
      <c r="AZ819" s="11">
        <v>0</v>
      </c>
      <c r="BA819" s="3">
        <f t="shared" si="114"/>
        <v>91333</v>
      </c>
    </row>
    <row r="820" spans="1:53" x14ac:dyDescent="0.25">
      <c r="A820" s="1" t="s">
        <v>818</v>
      </c>
      <c r="B820" s="9" t="s">
        <v>1575</v>
      </c>
      <c r="C820" s="9" t="s">
        <v>1173</v>
      </c>
      <c r="D820" s="9" t="s">
        <v>2600</v>
      </c>
      <c r="E820" s="9" t="s">
        <v>1008</v>
      </c>
      <c r="F820" s="10">
        <v>44909</v>
      </c>
      <c r="G820" s="9" t="s">
        <v>1013</v>
      </c>
      <c r="I820" s="9" t="s">
        <v>1042</v>
      </c>
      <c r="J820" s="9" t="s">
        <v>1048</v>
      </c>
      <c r="K820" s="8" t="s">
        <v>1006</v>
      </c>
      <c r="L820" s="8" t="s">
        <v>1007</v>
      </c>
      <c r="M820" s="8" t="s">
        <v>2933</v>
      </c>
      <c r="N820" s="8" t="s">
        <v>2937</v>
      </c>
      <c r="O820" s="1" t="s">
        <v>2934</v>
      </c>
      <c r="P820">
        <v>30</v>
      </c>
      <c r="Q820">
        <v>30</v>
      </c>
      <c r="R820">
        <v>0</v>
      </c>
      <c r="S820">
        <f t="shared" si="116"/>
        <v>30</v>
      </c>
      <c r="T820" s="1" t="s">
        <v>2935</v>
      </c>
      <c r="U820" s="1" t="s">
        <v>2932</v>
      </c>
      <c r="V820" s="3">
        <f t="shared" si="117"/>
        <v>40000</v>
      </c>
      <c r="W820" s="3">
        <f t="shared" si="118"/>
        <v>16000</v>
      </c>
      <c r="X820" s="3">
        <f t="shared" si="110"/>
        <v>1250</v>
      </c>
      <c r="Y820" s="3">
        <f t="shared" si="111"/>
        <v>1600</v>
      </c>
      <c r="Z820" s="3">
        <f t="shared" si="112"/>
        <v>1800</v>
      </c>
      <c r="AA820" s="3">
        <v>0</v>
      </c>
      <c r="AB820" s="3">
        <f>ROUND(U820 - (V820+W820+X820+Y820) - (U820/Q820 * 2),0)</f>
        <v>34483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f>SUM(V820+W820+X820+Y820+AB820)</f>
        <v>93333</v>
      </c>
      <c r="AK820" s="3">
        <f>SUM(AJ820-AA820)</f>
        <v>93333</v>
      </c>
      <c r="AL820" s="3">
        <f>IF(V820&lt;=15000,V820*12%,1800)</f>
        <v>1800</v>
      </c>
      <c r="AM820" s="3">
        <v>0</v>
      </c>
      <c r="AN820" s="3">
        <f t="shared" si="113"/>
        <v>1800</v>
      </c>
      <c r="AO820" s="12">
        <v>200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3">
        <f t="shared" si="115"/>
        <v>200</v>
      </c>
      <c r="AV820" s="3">
        <f>SUM(AJ820 - AN820 - AU820)</f>
        <v>91333</v>
      </c>
      <c r="AW820" s="11">
        <v>0</v>
      </c>
      <c r="AX820" s="11">
        <v>0</v>
      </c>
      <c r="AY820" s="11">
        <v>0</v>
      </c>
      <c r="AZ820" s="11">
        <v>0</v>
      </c>
      <c r="BA820" s="3">
        <f t="shared" si="114"/>
        <v>91333</v>
      </c>
    </row>
    <row r="821" spans="1:53" x14ac:dyDescent="0.25">
      <c r="A821" s="1" t="s">
        <v>819</v>
      </c>
      <c r="B821" s="9" t="s">
        <v>1985</v>
      </c>
      <c r="C821" s="9" t="s">
        <v>1017</v>
      </c>
      <c r="D821" s="9" t="s">
        <v>2599</v>
      </c>
      <c r="E821" s="9" t="s">
        <v>1012</v>
      </c>
      <c r="F821" s="10">
        <v>44930</v>
      </c>
      <c r="G821" s="9" t="s">
        <v>1019</v>
      </c>
      <c r="I821" s="9" t="s">
        <v>1020</v>
      </c>
      <c r="J821" s="9" t="s">
        <v>1021</v>
      </c>
      <c r="K821" s="8" t="s">
        <v>1006</v>
      </c>
      <c r="L821" s="8" t="s">
        <v>1007</v>
      </c>
      <c r="M821" s="8" t="s">
        <v>2933</v>
      </c>
      <c r="N821" s="8" t="s">
        <v>2937</v>
      </c>
      <c r="O821" s="1" t="s">
        <v>2934</v>
      </c>
      <c r="P821">
        <v>30</v>
      </c>
      <c r="Q821">
        <v>30</v>
      </c>
      <c r="R821">
        <v>0</v>
      </c>
      <c r="S821">
        <f t="shared" si="116"/>
        <v>30</v>
      </c>
      <c r="T821" s="1" t="s">
        <v>2935</v>
      </c>
      <c r="U821" s="1" t="s">
        <v>2932</v>
      </c>
      <c r="V821" s="3">
        <f t="shared" si="117"/>
        <v>40000</v>
      </c>
      <c r="W821" s="3">
        <f t="shared" si="118"/>
        <v>16000</v>
      </c>
      <c r="X821" s="3">
        <f t="shared" si="110"/>
        <v>1250</v>
      </c>
      <c r="Y821" s="3">
        <f t="shared" si="111"/>
        <v>1600</v>
      </c>
      <c r="Z821" s="3">
        <f t="shared" si="112"/>
        <v>1800</v>
      </c>
      <c r="AA821" s="3">
        <v>0</v>
      </c>
      <c r="AB821" s="3">
        <f>ROUND(U821 - (V821+W821+X821+Y821) - (U821/Q821 * 2),0)</f>
        <v>34483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f>SUM(V821+W821+X821+Y821+AB821)</f>
        <v>93333</v>
      </c>
      <c r="AK821" s="3">
        <f>SUM(AJ821-AA821)</f>
        <v>93333</v>
      </c>
      <c r="AL821" s="3">
        <f>IF(V821&lt;=15000,V821*12%,1800)</f>
        <v>1800</v>
      </c>
      <c r="AM821" s="3">
        <v>0</v>
      </c>
      <c r="AN821" s="3">
        <f t="shared" si="113"/>
        <v>1800</v>
      </c>
      <c r="AO821" s="12">
        <v>200</v>
      </c>
      <c r="AP821" s="12">
        <v>0</v>
      </c>
      <c r="AQ821" s="12">
        <v>0</v>
      </c>
      <c r="AR821" s="12">
        <v>0</v>
      </c>
      <c r="AS821" s="12">
        <v>0</v>
      </c>
      <c r="AT821" s="12">
        <v>0</v>
      </c>
      <c r="AU821" s="3">
        <f t="shared" si="115"/>
        <v>200</v>
      </c>
      <c r="AV821" s="3">
        <f>SUM(AJ821 - AN821 - AU821)</f>
        <v>91333</v>
      </c>
      <c r="AW821" s="11">
        <v>0</v>
      </c>
      <c r="AX821" s="11">
        <v>0</v>
      </c>
      <c r="AY821" s="11">
        <v>0</v>
      </c>
      <c r="AZ821" s="11">
        <v>0</v>
      </c>
      <c r="BA821" s="3">
        <f t="shared" si="114"/>
        <v>91333</v>
      </c>
    </row>
    <row r="822" spans="1:53" x14ac:dyDescent="0.25">
      <c r="A822" s="1" t="s">
        <v>820</v>
      </c>
      <c r="B822" s="9" t="s">
        <v>2597</v>
      </c>
      <c r="C822" s="9" t="s">
        <v>1010</v>
      </c>
      <c r="D822" s="9" t="s">
        <v>2598</v>
      </c>
      <c r="E822" s="9" t="s">
        <v>1012</v>
      </c>
      <c r="F822" s="10">
        <v>44929</v>
      </c>
      <c r="G822" s="9" t="s">
        <v>1013</v>
      </c>
      <c r="I822" s="9" t="s">
        <v>1014</v>
      </c>
      <c r="J822" s="9" t="s">
        <v>1015</v>
      </c>
      <c r="K822" s="8" t="s">
        <v>1006</v>
      </c>
      <c r="L822" s="8" t="s">
        <v>1007</v>
      </c>
      <c r="M822" s="8" t="s">
        <v>2933</v>
      </c>
      <c r="N822" s="8" t="s">
        <v>2937</v>
      </c>
      <c r="O822" s="1" t="s">
        <v>2934</v>
      </c>
      <c r="P822">
        <v>30</v>
      </c>
      <c r="Q822">
        <v>30</v>
      </c>
      <c r="R822">
        <v>0</v>
      </c>
      <c r="S822">
        <f t="shared" si="116"/>
        <v>30</v>
      </c>
      <c r="T822" s="1" t="s">
        <v>2935</v>
      </c>
      <c r="U822" s="1" t="s">
        <v>2932</v>
      </c>
      <c r="V822" s="3">
        <f t="shared" si="117"/>
        <v>40000</v>
      </c>
      <c r="W822" s="3">
        <f t="shared" si="118"/>
        <v>16000</v>
      </c>
      <c r="X822" s="3">
        <f t="shared" si="110"/>
        <v>1250</v>
      </c>
      <c r="Y822" s="3">
        <f t="shared" si="111"/>
        <v>1600</v>
      </c>
      <c r="Z822" s="3">
        <f t="shared" si="112"/>
        <v>1800</v>
      </c>
      <c r="AA822" s="3">
        <v>0</v>
      </c>
      <c r="AB822" s="3">
        <f>ROUND(U822 - (V822+W822+X822+Y822) - (U822/Q822 * 2),0)</f>
        <v>34483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f>SUM(V822+W822+X822+Y822+AB822)</f>
        <v>93333</v>
      </c>
      <c r="AK822" s="3">
        <f>SUM(AJ822-AA822)</f>
        <v>93333</v>
      </c>
      <c r="AL822" s="3">
        <f>IF(V822&lt;=15000,V822*12%,1800)</f>
        <v>1800</v>
      </c>
      <c r="AM822" s="3">
        <v>0</v>
      </c>
      <c r="AN822" s="3">
        <f t="shared" si="113"/>
        <v>1800</v>
      </c>
      <c r="AO822" s="12">
        <v>200</v>
      </c>
      <c r="AP822" s="12">
        <v>0</v>
      </c>
      <c r="AQ822" s="12">
        <v>0</v>
      </c>
      <c r="AR822" s="12">
        <v>0</v>
      </c>
      <c r="AS822" s="12">
        <v>0</v>
      </c>
      <c r="AT822" s="12">
        <v>0</v>
      </c>
      <c r="AU822" s="3">
        <f t="shared" si="115"/>
        <v>200</v>
      </c>
      <c r="AV822" s="3">
        <f>SUM(AJ822 - AN822 - AU822)</f>
        <v>91333</v>
      </c>
      <c r="AW822" s="11">
        <v>0</v>
      </c>
      <c r="AX822" s="11">
        <v>0</v>
      </c>
      <c r="AY822" s="11">
        <v>0</v>
      </c>
      <c r="AZ822" s="11">
        <v>0</v>
      </c>
      <c r="BA822" s="3">
        <f t="shared" si="114"/>
        <v>91333</v>
      </c>
    </row>
    <row r="823" spans="1:53" x14ac:dyDescent="0.25">
      <c r="A823" s="1" t="s">
        <v>821</v>
      </c>
      <c r="B823" s="9" t="s">
        <v>2595</v>
      </c>
      <c r="C823" s="9" t="s">
        <v>1038</v>
      </c>
      <c r="D823" s="9" t="s">
        <v>2596</v>
      </c>
      <c r="E823" s="9" t="s">
        <v>1008</v>
      </c>
      <c r="F823" s="10">
        <v>44935</v>
      </c>
      <c r="G823" s="9" t="s">
        <v>1019</v>
      </c>
      <c r="I823" s="9" t="s">
        <v>1020</v>
      </c>
      <c r="J823" s="9" t="s">
        <v>1031</v>
      </c>
      <c r="K823" s="8" t="s">
        <v>1006</v>
      </c>
      <c r="L823" s="8" t="s">
        <v>1007</v>
      </c>
      <c r="M823" s="8" t="s">
        <v>2933</v>
      </c>
      <c r="N823" s="8" t="s">
        <v>2937</v>
      </c>
      <c r="O823" s="1" t="s">
        <v>2934</v>
      </c>
      <c r="P823">
        <v>30</v>
      </c>
      <c r="Q823">
        <v>30</v>
      </c>
      <c r="R823">
        <v>0</v>
      </c>
      <c r="S823">
        <f t="shared" si="116"/>
        <v>30</v>
      </c>
      <c r="T823" s="1" t="s">
        <v>2935</v>
      </c>
      <c r="U823" s="1" t="s">
        <v>2932</v>
      </c>
      <c r="V823" s="3">
        <f t="shared" si="117"/>
        <v>40000</v>
      </c>
      <c r="W823" s="3">
        <f t="shared" si="118"/>
        <v>16000</v>
      </c>
      <c r="X823" s="3">
        <f t="shared" si="110"/>
        <v>1250</v>
      </c>
      <c r="Y823" s="3">
        <f t="shared" si="111"/>
        <v>1600</v>
      </c>
      <c r="Z823" s="3">
        <f t="shared" si="112"/>
        <v>1800</v>
      </c>
      <c r="AA823" s="3">
        <v>0</v>
      </c>
      <c r="AB823" s="3">
        <f>ROUND(U823 - (V823+W823+X823+Y823) - (U823/Q823 * 2),0)</f>
        <v>34483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f>SUM(V823+W823+X823+Y823+AB823)</f>
        <v>93333</v>
      </c>
      <c r="AK823" s="3">
        <f>SUM(AJ823-AA823)</f>
        <v>93333</v>
      </c>
      <c r="AL823" s="3">
        <f>IF(V823&lt;=15000,V823*12%,1800)</f>
        <v>1800</v>
      </c>
      <c r="AM823" s="3">
        <v>0</v>
      </c>
      <c r="AN823" s="3">
        <f t="shared" si="113"/>
        <v>1800</v>
      </c>
      <c r="AO823" s="12">
        <v>200</v>
      </c>
      <c r="AP823" s="12">
        <v>0</v>
      </c>
      <c r="AQ823" s="12">
        <v>0</v>
      </c>
      <c r="AR823" s="12">
        <v>0</v>
      </c>
      <c r="AS823" s="12">
        <v>0</v>
      </c>
      <c r="AT823" s="12">
        <v>0</v>
      </c>
      <c r="AU823" s="3">
        <f t="shared" si="115"/>
        <v>200</v>
      </c>
      <c r="AV823" s="3">
        <f>SUM(AJ823 - AN823 - AU823)</f>
        <v>91333</v>
      </c>
      <c r="AW823" s="11">
        <v>0</v>
      </c>
      <c r="AX823" s="11">
        <v>0</v>
      </c>
      <c r="AY823" s="11">
        <v>0</v>
      </c>
      <c r="AZ823" s="11">
        <v>0</v>
      </c>
      <c r="BA823" s="3">
        <f t="shared" si="114"/>
        <v>91333</v>
      </c>
    </row>
    <row r="824" spans="1:53" x14ac:dyDescent="0.25">
      <c r="A824" s="1" t="s">
        <v>822</v>
      </c>
      <c r="B824" s="9" t="s">
        <v>1795</v>
      </c>
      <c r="C824" s="9" t="s">
        <v>1115</v>
      </c>
      <c r="D824" s="9" t="s">
        <v>2594</v>
      </c>
      <c r="E824" s="9" t="s">
        <v>1012</v>
      </c>
      <c r="F824" s="10">
        <v>44928</v>
      </c>
      <c r="G824" s="9" t="s">
        <v>1019</v>
      </c>
      <c r="I824" s="9" t="s">
        <v>1035</v>
      </c>
      <c r="J824" s="9" t="s">
        <v>1048</v>
      </c>
      <c r="K824" s="8" t="s">
        <v>1006</v>
      </c>
      <c r="L824" s="8" t="s">
        <v>1007</v>
      </c>
      <c r="M824" s="8" t="s">
        <v>2933</v>
      </c>
      <c r="N824" s="8" t="s">
        <v>2937</v>
      </c>
      <c r="O824" s="1" t="s">
        <v>2934</v>
      </c>
      <c r="P824">
        <v>30</v>
      </c>
      <c r="Q824">
        <v>30</v>
      </c>
      <c r="R824">
        <v>0</v>
      </c>
      <c r="S824">
        <f t="shared" si="116"/>
        <v>30</v>
      </c>
      <c r="T824" s="1" t="s">
        <v>2935</v>
      </c>
      <c r="U824" s="1" t="s">
        <v>2932</v>
      </c>
      <c r="V824" s="3">
        <f t="shared" si="117"/>
        <v>40000</v>
      </c>
      <c r="W824" s="3">
        <f t="shared" si="118"/>
        <v>16000</v>
      </c>
      <c r="X824" s="3">
        <f t="shared" si="110"/>
        <v>1250</v>
      </c>
      <c r="Y824" s="3">
        <f t="shared" si="111"/>
        <v>1600</v>
      </c>
      <c r="Z824" s="3">
        <f t="shared" si="112"/>
        <v>1800</v>
      </c>
      <c r="AA824" s="3">
        <v>0</v>
      </c>
      <c r="AB824" s="3">
        <f>ROUND(U824 - (V824+W824+X824+Y824) - (U824/Q824 * 2),0)</f>
        <v>34483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f>SUM(V824+W824+X824+Y824+AB824)</f>
        <v>93333</v>
      </c>
      <c r="AK824" s="3">
        <f>SUM(AJ824-AA824)</f>
        <v>93333</v>
      </c>
      <c r="AL824" s="3">
        <f>IF(V824&lt;=15000,V824*12%,1800)</f>
        <v>1800</v>
      </c>
      <c r="AM824" s="3">
        <v>0</v>
      </c>
      <c r="AN824" s="3">
        <f t="shared" si="113"/>
        <v>1800</v>
      </c>
      <c r="AO824" s="12">
        <v>200</v>
      </c>
      <c r="AP824" s="12">
        <v>0</v>
      </c>
      <c r="AQ824" s="12">
        <v>0</v>
      </c>
      <c r="AR824" s="12">
        <v>0</v>
      </c>
      <c r="AS824" s="12">
        <v>0</v>
      </c>
      <c r="AT824" s="12">
        <v>0</v>
      </c>
      <c r="AU824" s="3">
        <f t="shared" si="115"/>
        <v>200</v>
      </c>
      <c r="AV824" s="3">
        <f>SUM(AJ824 - AN824 - AU824)</f>
        <v>91333</v>
      </c>
      <c r="AW824" s="11">
        <v>0</v>
      </c>
      <c r="AX824" s="11">
        <v>0</v>
      </c>
      <c r="AY824" s="11">
        <v>0</v>
      </c>
      <c r="AZ824" s="11">
        <v>0</v>
      </c>
      <c r="BA824" s="3">
        <f t="shared" si="114"/>
        <v>91333</v>
      </c>
    </row>
    <row r="825" spans="1:53" x14ac:dyDescent="0.25">
      <c r="A825" s="1" t="s">
        <v>823</v>
      </c>
      <c r="B825" s="9" t="s">
        <v>2592</v>
      </c>
      <c r="C825" s="9" t="s">
        <v>1063</v>
      </c>
      <c r="D825" s="9" t="s">
        <v>2593</v>
      </c>
      <c r="E825" s="9" t="s">
        <v>1012</v>
      </c>
      <c r="F825" s="10">
        <v>44935</v>
      </c>
      <c r="G825" s="9" t="s">
        <v>1019</v>
      </c>
      <c r="I825" s="9" t="s">
        <v>1065</v>
      </c>
      <c r="J825" s="9" t="s">
        <v>1015</v>
      </c>
      <c r="K825" s="8" t="s">
        <v>1006</v>
      </c>
      <c r="L825" s="8" t="s">
        <v>1007</v>
      </c>
      <c r="M825" s="8" t="s">
        <v>2933</v>
      </c>
      <c r="N825" s="8" t="s">
        <v>2937</v>
      </c>
      <c r="O825" s="1" t="s">
        <v>2934</v>
      </c>
      <c r="P825">
        <v>30</v>
      </c>
      <c r="Q825">
        <v>30</v>
      </c>
      <c r="R825">
        <v>0</v>
      </c>
      <c r="S825">
        <f t="shared" si="116"/>
        <v>30</v>
      </c>
      <c r="T825" s="1" t="s">
        <v>2935</v>
      </c>
      <c r="U825" s="1" t="s">
        <v>2932</v>
      </c>
      <c r="V825" s="3">
        <f t="shared" si="117"/>
        <v>40000</v>
      </c>
      <c r="W825" s="3">
        <f t="shared" si="118"/>
        <v>16000</v>
      </c>
      <c r="X825" s="3">
        <f t="shared" si="110"/>
        <v>1250</v>
      </c>
      <c r="Y825" s="3">
        <f t="shared" si="111"/>
        <v>1600</v>
      </c>
      <c r="Z825" s="3">
        <f t="shared" si="112"/>
        <v>1800</v>
      </c>
      <c r="AA825" s="3">
        <v>0</v>
      </c>
      <c r="AB825" s="3">
        <f>ROUND(U825 - (V825+W825+X825+Y825) - (U825/Q825 * 2),0)</f>
        <v>34483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f>SUM(V825+W825+X825+Y825+AB825)</f>
        <v>93333</v>
      </c>
      <c r="AK825" s="3">
        <f>SUM(AJ825-AA825)</f>
        <v>93333</v>
      </c>
      <c r="AL825" s="3">
        <f>IF(V825&lt;=15000,V825*12%,1800)</f>
        <v>1800</v>
      </c>
      <c r="AM825" s="3">
        <v>0</v>
      </c>
      <c r="AN825" s="3">
        <f t="shared" si="113"/>
        <v>1800</v>
      </c>
      <c r="AO825" s="12">
        <v>200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3">
        <f t="shared" si="115"/>
        <v>200</v>
      </c>
      <c r="AV825" s="3">
        <f>SUM(AJ825 - AN825 - AU825)</f>
        <v>91333</v>
      </c>
      <c r="AW825" s="11">
        <v>0</v>
      </c>
      <c r="AX825" s="11">
        <v>0</v>
      </c>
      <c r="AY825" s="11">
        <v>0</v>
      </c>
      <c r="AZ825" s="11">
        <v>0</v>
      </c>
      <c r="BA825" s="3">
        <f t="shared" si="114"/>
        <v>91333</v>
      </c>
    </row>
    <row r="826" spans="1:53" x14ac:dyDescent="0.25">
      <c r="A826" s="1" t="s">
        <v>824</v>
      </c>
      <c r="B826" s="9" t="s">
        <v>2590</v>
      </c>
      <c r="C826" s="9" t="s">
        <v>1128</v>
      </c>
      <c r="D826" s="9" t="s">
        <v>2591</v>
      </c>
      <c r="E826" s="9" t="s">
        <v>1012</v>
      </c>
      <c r="F826" s="10">
        <v>44944</v>
      </c>
      <c r="G826" s="9" t="s">
        <v>1019</v>
      </c>
      <c r="I826" s="9" t="s">
        <v>1042</v>
      </c>
      <c r="J826" s="9" t="s">
        <v>1048</v>
      </c>
      <c r="K826" s="8" t="s">
        <v>1006</v>
      </c>
      <c r="L826" s="8" t="s">
        <v>1007</v>
      </c>
      <c r="M826" s="8" t="s">
        <v>2933</v>
      </c>
      <c r="N826" s="8" t="s">
        <v>2937</v>
      </c>
      <c r="O826" s="1" t="s">
        <v>2934</v>
      </c>
      <c r="P826">
        <v>30</v>
      </c>
      <c r="Q826">
        <v>30</v>
      </c>
      <c r="R826">
        <v>0</v>
      </c>
      <c r="S826">
        <f t="shared" si="116"/>
        <v>30</v>
      </c>
      <c r="T826" s="1" t="s">
        <v>2935</v>
      </c>
      <c r="U826" s="1" t="s">
        <v>2932</v>
      </c>
      <c r="V826" s="3">
        <f t="shared" si="117"/>
        <v>40000</v>
      </c>
      <c r="W826" s="3">
        <f t="shared" si="118"/>
        <v>16000</v>
      </c>
      <c r="X826" s="3">
        <f t="shared" si="110"/>
        <v>1250</v>
      </c>
      <c r="Y826" s="3">
        <f t="shared" si="111"/>
        <v>1600</v>
      </c>
      <c r="Z826" s="3">
        <f t="shared" si="112"/>
        <v>1800</v>
      </c>
      <c r="AA826" s="3">
        <v>0</v>
      </c>
      <c r="AB826" s="3">
        <f>ROUND(U826 - (V826+W826+X826+Y826) - (U826/Q826 * 2),0)</f>
        <v>34483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f>SUM(V826+W826+X826+Y826+AB826)</f>
        <v>93333</v>
      </c>
      <c r="AK826" s="3">
        <f>SUM(AJ826-AA826)</f>
        <v>93333</v>
      </c>
      <c r="AL826" s="3">
        <f>IF(V826&lt;=15000,V826*12%,1800)</f>
        <v>1800</v>
      </c>
      <c r="AM826" s="3">
        <v>0</v>
      </c>
      <c r="AN826" s="3">
        <f t="shared" si="113"/>
        <v>1800</v>
      </c>
      <c r="AO826" s="12">
        <v>200</v>
      </c>
      <c r="AP826" s="12">
        <v>0</v>
      </c>
      <c r="AQ826" s="12">
        <v>0</v>
      </c>
      <c r="AR826" s="12">
        <v>0</v>
      </c>
      <c r="AS826" s="12">
        <v>0</v>
      </c>
      <c r="AT826" s="12">
        <v>0</v>
      </c>
      <c r="AU826" s="3">
        <f t="shared" si="115"/>
        <v>200</v>
      </c>
      <c r="AV826" s="3">
        <f>SUM(AJ826 - AN826 - AU826)</f>
        <v>91333</v>
      </c>
      <c r="AW826" s="11">
        <v>0</v>
      </c>
      <c r="AX826" s="11">
        <v>0</v>
      </c>
      <c r="AY826" s="11">
        <v>0</v>
      </c>
      <c r="AZ826" s="11">
        <v>0</v>
      </c>
      <c r="BA826" s="3">
        <f t="shared" si="114"/>
        <v>91333</v>
      </c>
    </row>
    <row r="827" spans="1:53" x14ac:dyDescent="0.25">
      <c r="A827" s="1" t="s">
        <v>825</v>
      </c>
      <c r="B827" s="9" t="s">
        <v>2587</v>
      </c>
      <c r="C827" s="9" t="s">
        <v>2588</v>
      </c>
      <c r="D827" s="9" t="s">
        <v>2589</v>
      </c>
      <c r="E827" s="9" t="s">
        <v>1008</v>
      </c>
      <c r="F827" s="10">
        <v>45866</v>
      </c>
      <c r="G827" s="9" t="s">
        <v>1019</v>
      </c>
      <c r="I827" s="9" t="s">
        <v>1042</v>
      </c>
      <c r="J827" s="9" t="s">
        <v>1036</v>
      </c>
      <c r="K827" s="8" t="s">
        <v>1006</v>
      </c>
      <c r="L827" s="8" t="s">
        <v>1007</v>
      </c>
      <c r="M827" s="8" t="s">
        <v>2933</v>
      </c>
      <c r="N827" s="8" t="s">
        <v>2937</v>
      </c>
      <c r="O827" s="1" t="s">
        <v>2934</v>
      </c>
      <c r="P827">
        <v>30</v>
      </c>
      <c r="Q827">
        <v>30</v>
      </c>
      <c r="R827">
        <v>0</v>
      </c>
      <c r="S827">
        <f t="shared" si="116"/>
        <v>30</v>
      </c>
      <c r="T827" s="1" t="s">
        <v>2935</v>
      </c>
      <c r="U827" s="1" t="s">
        <v>2932</v>
      </c>
      <c r="V827" s="3">
        <f t="shared" si="117"/>
        <v>40000</v>
      </c>
      <c r="W827" s="3">
        <f t="shared" si="118"/>
        <v>16000</v>
      </c>
      <c r="X827" s="3">
        <f t="shared" si="110"/>
        <v>1250</v>
      </c>
      <c r="Y827" s="3">
        <f t="shared" si="111"/>
        <v>1600</v>
      </c>
      <c r="Z827" s="3">
        <f t="shared" si="112"/>
        <v>1800</v>
      </c>
      <c r="AA827" s="3">
        <v>0</v>
      </c>
      <c r="AB827" s="3">
        <f>ROUND(U827 - (V827+W827+X827+Y827) - (U827/Q827 * 2),0)</f>
        <v>34483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f>SUM(V827+W827+X827+Y827+AB827)</f>
        <v>93333</v>
      </c>
      <c r="AK827" s="3">
        <f>SUM(AJ827-AA827)</f>
        <v>93333</v>
      </c>
      <c r="AL827" s="3">
        <f>IF(V827&lt;=15000,V827*12%,1800)</f>
        <v>1800</v>
      </c>
      <c r="AM827" s="3">
        <v>0</v>
      </c>
      <c r="AN827" s="3">
        <f t="shared" si="113"/>
        <v>1800</v>
      </c>
      <c r="AO827" s="12">
        <v>200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3">
        <f t="shared" si="115"/>
        <v>200</v>
      </c>
      <c r="AV827" s="3">
        <f>SUM(AJ827 - AN827 - AU827)</f>
        <v>91333</v>
      </c>
      <c r="AW827" s="11">
        <v>0</v>
      </c>
      <c r="AX827" s="11">
        <v>0</v>
      </c>
      <c r="AY827" s="11">
        <v>0</v>
      </c>
      <c r="AZ827" s="11">
        <v>0</v>
      </c>
      <c r="BA827" s="3">
        <f t="shared" si="114"/>
        <v>91333</v>
      </c>
    </row>
    <row r="828" spans="1:53" x14ac:dyDescent="0.25">
      <c r="A828" s="1" t="s">
        <v>826</v>
      </c>
      <c r="B828" s="9" t="s">
        <v>2585</v>
      </c>
      <c r="C828" s="9" t="s">
        <v>1010</v>
      </c>
      <c r="D828" s="9" t="s">
        <v>2586</v>
      </c>
      <c r="E828" s="9" t="s">
        <v>1012</v>
      </c>
      <c r="F828" s="10">
        <v>45859</v>
      </c>
      <c r="G828" s="9" t="s">
        <v>1013</v>
      </c>
      <c r="I828" s="9" t="s">
        <v>1014</v>
      </c>
      <c r="J828" s="9" t="s">
        <v>1015</v>
      </c>
      <c r="K828" s="8" t="s">
        <v>1006</v>
      </c>
      <c r="L828" s="8" t="s">
        <v>1007</v>
      </c>
      <c r="M828" s="8" t="s">
        <v>2933</v>
      </c>
      <c r="N828" s="8" t="s">
        <v>2937</v>
      </c>
      <c r="O828" s="1" t="s">
        <v>2934</v>
      </c>
      <c r="P828">
        <v>30</v>
      </c>
      <c r="Q828">
        <v>30</v>
      </c>
      <c r="R828">
        <v>0</v>
      </c>
      <c r="S828">
        <f t="shared" si="116"/>
        <v>30</v>
      </c>
      <c r="T828" s="1" t="s">
        <v>2935</v>
      </c>
      <c r="U828" s="1" t="s">
        <v>2932</v>
      </c>
      <c r="V828" s="3">
        <f t="shared" si="117"/>
        <v>40000</v>
      </c>
      <c r="W828" s="3">
        <f t="shared" si="118"/>
        <v>16000</v>
      </c>
      <c r="X828" s="3">
        <f t="shared" si="110"/>
        <v>1250</v>
      </c>
      <c r="Y828" s="3">
        <f t="shared" si="111"/>
        <v>1600</v>
      </c>
      <c r="Z828" s="3">
        <f t="shared" si="112"/>
        <v>1800</v>
      </c>
      <c r="AA828" s="3">
        <v>0</v>
      </c>
      <c r="AB828" s="3">
        <f>ROUND(U828 - (V828+W828+X828+Y828) - (U828/Q828 * 2),0)</f>
        <v>34483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f>SUM(V828+W828+X828+Y828+AB828)</f>
        <v>93333</v>
      </c>
      <c r="AK828" s="3">
        <f>SUM(AJ828-AA828)</f>
        <v>93333</v>
      </c>
      <c r="AL828" s="3">
        <f>IF(V828&lt;=15000,V828*12%,1800)</f>
        <v>1800</v>
      </c>
      <c r="AM828" s="3">
        <v>0</v>
      </c>
      <c r="AN828" s="3">
        <f t="shared" si="113"/>
        <v>1800</v>
      </c>
      <c r="AO828" s="12">
        <v>200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3">
        <f t="shared" si="115"/>
        <v>200</v>
      </c>
      <c r="AV828" s="3">
        <f>SUM(AJ828 - AN828 - AU828)</f>
        <v>91333</v>
      </c>
      <c r="AW828" s="11">
        <v>0</v>
      </c>
      <c r="AX828" s="11">
        <v>0</v>
      </c>
      <c r="AY828" s="11">
        <v>0</v>
      </c>
      <c r="AZ828" s="11">
        <v>0</v>
      </c>
      <c r="BA828" s="3">
        <f t="shared" si="114"/>
        <v>91333</v>
      </c>
    </row>
    <row r="829" spans="1:53" x14ac:dyDescent="0.25">
      <c r="A829" s="1" t="s">
        <v>827</v>
      </c>
      <c r="B829" s="9" t="s">
        <v>2472</v>
      </c>
      <c r="C829" s="9" t="s">
        <v>1063</v>
      </c>
      <c r="D829" s="9" t="s">
        <v>2584</v>
      </c>
      <c r="E829" s="9" t="s">
        <v>1008</v>
      </c>
      <c r="F829" s="10">
        <v>45859</v>
      </c>
      <c r="G829" s="9" t="s">
        <v>1013</v>
      </c>
      <c r="I829" s="9" t="s">
        <v>1014</v>
      </c>
      <c r="J829" s="9" t="s">
        <v>1015</v>
      </c>
      <c r="K829" s="8" t="s">
        <v>1006</v>
      </c>
      <c r="L829" s="8" t="s">
        <v>1007</v>
      </c>
      <c r="M829" s="8" t="s">
        <v>2933</v>
      </c>
      <c r="N829" s="8" t="s">
        <v>2937</v>
      </c>
      <c r="O829" s="1" t="s">
        <v>2934</v>
      </c>
      <c r="P829">
        <v>30</v>
      </c>
      <c r="Q829">
        <v>30</v>
      </c>
      <c r="R829">
        <v>0</v>
      </c>
      <c r="S829">
        <f t="shared" si="116"/>
        <v>30</v>
      </c>
      <c r="T829" s="1" t="s">
        <v>2935</v>
      </c>
      <c r="U829" s="1" t="s">
        <v>2932</v>
      </c>
      <c r="V829" s="3">
        <f t="shared" si="117"/>
        <v>40000</v>
      </c>
      <c r="W829" s="3">
        <f t="shared" si="118"/>
        <v>16000</v>
      </c>
      <c r="X829" s="3">
        <f t="shared" si="110"/>
        <v>1250</v>
      </c>
      <c r="Y829" s="3">
        <f t="shared" si="111"/>
        <v>1600</v>
      </c>
      <c r="Z829" s="3">
        <f t="shared" si="112"/>
        <v>1800</v>
      </c>
      <c r="AA829" s="3">
        <v>0</v>
      </c>
      <c r="AB829" s="3">
        <f>ROUND(U829 - (V829+W829+X829+Y829) - (U829/Q829 * 2),0)</f>
        <v>34483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f>SUM(V829+W829+X829+Y829+AB829)</f>
        <v>93333</v>
      </c>
      <c r="AK829" s="3">
        <f>SUM(AJ829-AA829)</f>
        <v>93333</v>
      </c>
      <c r="AL829" s="3">
        <f>IF(V829&lt;=15000,V829*12%,1800)</f>
        <v>1800</v>
      </c>
      <c r="AM829" s="3">
        <v>0</v>
      </c>
      <c r="AN829" s="3">
        <f t="shared" si="113"/>
        <v>1800</v>
      </c>
      <c r="AO829" s="12">
        <v>200</v>
      </c>
      <c r="AP829" s="12">
        <v>0</v>
      </c>
      <c r="AQ829" s="12">
        <v>0</v>
      </c>
      <c r="AR829" s="12">
        <v>0</v>
      </c>
      <c r="AS829" s="12">
        <v>0</v>
      </c>
      <c r="AT829" s="12">
        <v>0</v>
      </c>
      <c r="AU829" s="3">
        <f t="shared" si="115"/>
        <v>200</v>
      </c>
      <c r="AV829" s="3">
        <f>SUM(AJ829 - AN829 - AU829)</f>
        <v>91333</v>
      </c>
      <c r="AW829" s="11">
        <v>0</v>
      </c>
      <c r="AX829" s="11">
        <v>0</v>
      </c>
      <c r="AY829" s="11">
        <v>0</v>
      </c>
      <c r="AZ829" s="11">
        <v>0</v>
      </c>
      <c r="BA829" s="3">
        <f t="shared" si="114"/>
        <v>91333</v>
      </c>
    </row>
    <row r="830" spans="1:53" x14ac:dyDescent="0.25">
      <c r="A830" s="1" t="s">
        <v>828</v>
      </c>
      <c r="B830" s="9" t="s">
        <v>2582</v>
      </c>
      <c r="C830" s="9" t="s">
        <v>1023</v>
      </c>
      <c r="D830" s="9" t="s">
        <v>2583</v>
      </c>
      <c r="E830" s="9" t="s">
        <v>1012</v>
      </c>
      <c r="F830" s="10">
        <v>45859</v>
      </c>
      <c r="G830" s="9" t="s">
        <v>1013</v>
      </c>
      <c r="I830" s="9" t="s">
        <v>1020</v>
      </c>
      <c r="J830" s="9" t="s">
        <v>1021</v>
      </c>
      <c r="K830" s="8" t="s">
        <v>1006</v>
      </c>
      <c r="L830" s="8" t="s">
        <v>1007</v>
      </c>
      <c r="M830" s="8" t="s">
        <v>2933</v>
      </c>
      <c r="N830" s="8" t="s">
        <v>2937</v>
      </c>
      <c r="O830" s="1" t="s">
        <v>2934</v>
      </c>
      <c r="P830">
        <v>30</v>
      </c>
      <c r="Q830">
        <v>30</v>
      </c>
      <c r="R830">
        <v>0</v>
      </c>
      <c r="S830">
        <f t="shared" si="116"/>
        <v>30</v>
      </c>
      <c r="T830" s="1" t="s">
        <v>2935</v>
      </c>
      <c r="U830" s="1" t="s">
        <v>2932</v>
      </c>
      <c r="V830" s="3">
        <f t="shared" si="117"/>
        <v>40000</v>
      </c>
      <c r="W830" s="3">
        <f t="shared" si="118"/>
        <v>16000</v>
      </c>
      <c r="X830" s="3">
        <f t="shared" si="110"/>
        <v>1250</v>
      </c>
      <c r="Y830" s="3">
        <f t="shared" si="111"/>
        <v>1600</v>
      </c>
      <c r="Z830" s="3">
        <f t="shared" si="112"/>
        <v>1800</v>
      </c>
      <c r="AA830" s="3">
        <v>0</v>
      </c>
      <c r="AB830" s="3">
        <f>ROUND(U830 - (V830+W830+X830+Y830) - (U830/Q830 * 2),0)</f>
        <v>34483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f>SUM(V830+W830+X830+Y830+AB830)</f>
        <v>93333</v>
      </c>
      <c r="AK830" s="3">
        <f>SUM(AJ830-AA830)</f>
        <v>93333</v>
      </c>
      <c r="AL830" s="3">
        <f>IF(V830&lt;=15000,V830*12%,1800)</f>
        <v>1800</v>
      </c>
      <c r="AM830" s="3">
        <v>0</v>
      </c>
      <c r="AN830" s="3">
        <f t="shared" si="113"/>
        <v>1800</v>
      </c>
      <c r="AO830" s="12">
        <v>200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3">
        <f t="shared" si="115"/>
        <v>200</v>
      </c>
      <c r="AV830" s="3">
        <f>SUM(AJ830 - AN830 - AU830)</f>
        <v>91333</v>
      </c>
      <c r="AW830" s="11">
        <v>0</v>
      </c>
      <c r="AX830" s="11">
        <v>0</v>
      </c>
      <c r="AY830" s="11">
        <v>0</v>
      </c>
      <c r="AZ830" s="11">
        <v>0</v>
      </c>
      <c r="BA830" s="3">
        <f t="shared" si="114"/>
        <v>91333</v>
      </c>
    </row>
    <row r="831" spans="1:53" x14ac:dyDescent="0.25">
      <c r="A831" s="1" t="s">
        <v>829</v>
      </c>
      <c r="B831" s="9" t="s">
        <v>2634</v>
      </c>
      <c r="C831" s="9" t="s">
        <v>1063</v>
      </c>
      <c r="D831" s="9" t="s">
        <v>2635</v>
      </c>
      <c r="E831" s="9" t="s">
        <v>1008</v>
      </c>
      <c r="F831" s="10">
        <v>45861</v>
      </c>
      <c r="G831" s="9" t="s">
        <v>1019</v>
      </c>
      <c r="I831" s="9" t="s">
        <v>1014</v>
      </c>
      <c r="J831" s="9" t="s">
        <v>1015</v>
      </c>
      <c r="K831" s="8" t="s">
        <v>1006</v>
      </c>
      <c r="L831" s="8" t="s">
        <v>1007</v>
      </c>
      <c r="M831" s="8" t="s">
        <v>2933</v>
      </c>
      <c r="N831" s="8" t="s">
        <v>2937</v>
      </c>
      <c r="O831" s="1" t="s">
        <v>2934</v>
      </c>
      <c r="P831">
        <v>30</v>
      </c>
      <c r="Q831">
        <v>30</v>
      </c>
      <c r="R831">
        <v>0</v>
      </c>
      <c r="S831">
        <f t="shared" si="116"/>
        <v>30</v>
      </c>
      <c r="T831" s="1" t="s">
        <v>2935</v>
      </c>
      <c r="U831" s="1" t="s">
        <v>2932</v>
      </c>
      <c r="V831" s="3">
        <f t="shared" si="117"/>
        <v>40000</v>
      </c>
      <c r="W831" s="3">
        <f t="shared" si="118"/>
        <v>16000</v>
      </c>
      <c r="X831" s="3">
        <f t="shared" si="110"/>
        <v>1250</v>
      </c>
      <c r="Y831" s="3">
        <f t="shared" si="111"/>
        <v>1600</v>
      </c>
      <c r="Z831" s="3">
        <f t="shared" si="112"/>
        <v>1800</v>
      </c>
      <c r="AA831" s="3">
        <v>0</v>
      </c>
      <c r="AB831" s="3">
        <f>ROUND(U831 - (V831+W831+X831+Y831) - (U831/Q831 * 2),0)</f>
        <v>34483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f>SUM(V831+W831+X831+Y831+AB831)</f>
        <v>93333</v>
      </c>
      <c r="AK831" s="3">
        <f>SUM(AJ831-AA831)</f>
        <v>93333</v>
      </c>
      <c r="AL831" s="3">
        <f>IF(V831&lt;=15000,V831*12%,1800)</f>
        <v>1800</v>
      </c>
      <c r="AM831" s="3">
        <v>0</v>
      </c>
      <c r="AN831" s="3">
        <f t="shared" si="113"/>
        <v>1800</v>
      </c>
      <c r="AO831" s="12">
        <v>200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3">
        <f t="shared" si="115"/>
        <v>200</v>
      </c>
      <c r="AV831" s="3">
        <f>SUM(AJ831 - AN831 - AU831)</f>
        <v>91333</v>
      </c>
      <c r="AW831" s="11">
        <v>0</v>
      </c>
      <c r="AX831" s="11">
        <v>0</v>
      </c>
      <c r="AY831" s="11">
        <v>0</v>
      </c>
      <c r="AZ831" s="11">
        <v>0</v>
      </c>
      <c r="BA831" s="3">
        <f t="shared" si="114"/>
        <v>91333</v>
      </c>
    </row>
    <row r="832" spans="1:53" x14ac:dyDescent="0.25">
      <c r="A832" s="1" t="s">
        <v>830</v>
      </c>
      <c r="B832" s="9" t="s">
        <v>2632</v>
      </c>
      <c r="C832" s="9" t="s">
        <v>1010</v>
      </c>
      <c r="D832" s="9" t="s">
        <v>2633</v>
      </c>
      <c r="E832" s="9" t="s">
        <v>1008</v>
      </c>
      <c r="F832" s="10">
        <v>45866</v>
      </c>
      <c r="G832" s="9" t="s">
        <v>1013</v>
      </c>
      <c r="I832" s="9" t="s">
        <v>1014</v>
      </c>
      <c r="J832" s="9" t="s">
        <v>1015</v>
      </c>
      <c r="K832" s="8" t="s">
        <v>1006</v>
      </c>
      <c r="L832" s="8" t="s">
        <v>1007</v>
      </c>
      <c r="M832" s="8" t="s">
        <v>2933</v>
      </c>
      <c r="N832" s="8" t="s">
        <v>2937</v>
      </c>
      <c r="O832" s="1" t="s">
        <v>2934</v>
      </c>
      <c r="P832">
        <v>30</v>
      </c>
      <c r="Q832">
        <v>30</v>
      </c>
      <c r="R832">
        <v>0</v>
      </c>
      <c r="S832">
        <f t="shared" si="116"/>
        <v>30</v>
      </c>
      <c r="T832" s="1" t="s">
        <v>2935</v>
      </c>
      <c r="U832" s="1" t="s">
        <v>2932</v>
      </c>
      <c r="V832" s="3">
        <f t="shared" si="117"/>
        <v>40000</v>
      </c>
      <c r="W832" s="3">
        <f t="shared" si="118"/>
        <v>16000</v>
      </c>
      <c r="X832" s="3">
        <f t="shared" si="110"/>
        <v>1250</v>
      </c>
      <c r="Y832" s="3">
        <f t="shared" si="111"/>
        <v>1600</v>
      </c>
      <c r="Z832" s="3">
        <f t="shared" si="112"/>
        <v>1800</v>
      </c>
      <c r="AA832" s="3">
        <v>0</v>
      </c>
      <c r="AB832" s="3">
        <f>ROUND(U832 - (V832+W832+X832+Y832) - (U832/Q832 * 2),0)</f>
        <v>34483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f>SUM(V832+W832+X832+Y832+AB832)</f>
        <v>93333</v>
      </c>
      <c r="AK832" s="3">
        <f>SUM(AJ832-AA832)</f>
        <v>93333</v>
      </c>
      <c r="AL832" s="3">
        <f>IF(V832&lt;=15000,V832*12%,1800)</f>
        <v>1800</v>
      </c>
      <c r="AM832" s="3">
        <v>0</v>
      </c>
      <c r="AN832" s="3">
        <f t="shared" si="113"/>
        <v>1800</v>
      </c>
      <c r="AO832" s="12">
        <v>200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3">
        <f t="shared" si="115"/>
        <v>200</v>
      </c>
      <c r="AV832" s="3">
        <f>SUM(AJ832 - AN832 - AU832)</f>
        <v>91333</v>
      </c>
      <c r="AW832" s="11">
        <v>0</v>
      </c>
      <c r="AX832" s="11">
        <v>0</v>
      </c>
      <c r="AY832" s="11">
        <v>0</v>
      </c>
      <c r="AZ832" s="11">
        <v>0</v>
      </c>
      <c r="BA832" s="3">
        <f t="shared" si="114"/>
        <v>91333</v>
      </c>
    </row>
    <row r="833" spans="1:53" x14ac:dyDescent="0.25">
      <c r="A833" s="1" t="s">
        <v>831</v>
      </c>
      <c r="B833" s="9" t="s">
        <v>1667</v>
      </c>
      <c r="C833" s="9" t="s">
        <v>1063</v>
      </c>
      <c r="D833" s="9" t="s">
        <v>2631</v>
      </c>
      <c r="E833" s="9" t="s">
        <v>1008</v>
      </c>
      <c r="F833" s="10">
        <v>45866</v>
      </c>
      <c r="G833" s="9" t="s">
        <v>1019</v>
      </c>
      <c r="I833" s="9" t="s">
        <v>1020</v>
      </c>
      <c r="J833" s="9" t="s">
        <v>1015</v>
      </c>
      <c r="K833" s="8" t="s">
        <v>1006</v>
      </c>
      <c r="L833" s="8" t="s">
        <v>1007</v>
      </c>
      <c r="M833" s="8" t="s">
        <v>2933</v>
      </c>
      <c r="N833" s="8" t="s">
        <v>2937</v>
      </c>
      <c r="O833" s="1" t="s">
        <v>2934</v>
      </c>
      <c r="P833">
        <v>30</v>
      </c>
      <c r="Q833">
        <v>30</v>
      </c>
      <c r="R833">
        <v>0</v>
      </c>
      <c r="S833">
        <f t="shared" si="116"/>
        <v>30</v>
      </c>
      <c r="T833" s="1" t="s">
        <v>2935</v>
      </c>
      <c r="U833" s="1" t="s">
        <v>2932</v>
      </c>
      <c r="V833" s="3">
        <f t="shared" si="117"/>
        <v>40000</v>
      </c>
      <c r="W833" s="3">
        <f t="shared" si="118"/>
        <v>16000</v>
      </c>
      <c r="X833" s="3">
        <f t="shared" si="110"/>
        <v>1250</v>
      </c>
      <c r="Y833" s="3">
        <f t="shared" si="111"/>
        <v>1600</v>
      </c>
      <c r="Z833" s="3">
        <f t="shared" si="112"/>
        <v>1800</v>
      </c>
      <c r="AA833" s="3">
        <v>0</v>
      </c>
      <c r="AB833" s="3">
        <f>ROUND(U833 - (V833+W833+X833+Y833) - (U833/Q833 * 2),0)</f>
        <v>34483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f>SUM(V833+W833+X833+Y833+AB833)</f>
        <v>93333</v>
      </c>
      <c r="AK833" s="3">
        <f>SUM(AJ833-AA833)</f>
        <v>93333</v>
      </c>
      <c r="AL833" s="3">
        <f>IF(V833&lt;=15000,V833*12%,1800)</f>
        <v>1800</v>
      </c>
      <c r="AM833" s="3">
        <v>0</v>
      </c>
      <c r="AN833" s="3">
        <f t="shared" si="113"/>
        <v>1800</v>
      </c>
      <c r="AO833" s="12">
        <v>200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3">
        <f t="shared" si="115"/>
        <v>200</v>
      </c>
      <c r="AV833" s="3">
        <f>SUM(AJ833 - AN833 - AU833)</f>
        <v>91333</v>
      </c>
      <c r="AW833" s="11">
        <v>0</v>
      </c>
      <c r="AX833" s="11">
        <v>0</v>
      </c>
      <c r="AY833" s="11">
        <v>0</v>
      </c>
      <c r="AZ833" s="11">
        <v>0</v>
      </c>
      <c r="BA833" s="3">
        <f t="shared" si="114"/>
        <v>91333</v>
      </c>
    </row>
    <row r="834" spans="1:53" x14ac:dyDescent="0.25">
      <c r="A834" s="1" t="s">
        <v>832</v>
      </c>
      <c r="B834" s="9" t="s">
        <v>2629</v>
      </c>
      <c r="C834" s="9" t="s">
        <v>1063</v>
      </c>
      <c r="D834" s="9" t="s">
        <v>2630</v>
      </c>
      <c r="E834" s="9" t="s">
        <v>1008</v>
      </c>
      <c r="F834" s="10">
        <v>45866</v>
      </c>
      <c r="G834" s="9" t="s">
        <v>1019</v>
      </c>
      <c r="I834" s="9" t="s">
        <v>1014</v>
      </c>
      <c r="J834" s="9" t="s">
        <v>1015</v>
      </c>
      <c r="K834" s="8" t="s">
        <v>1006</v>
      </c>
      <c r="L834" s="8" t="s">
        <v>1007</v>
      </c>
      <c r="M834" s="8" t="s">
        <v>2933</v>
      </c>
      <c r="N834" s="8" t="s">
        <v>2937</v>
      </c>
      <c r="O834" s="1" t="s">
        <v>2934</v>
      </c>
      <c r="P834">
        <v>30</v>
      </c>
      <c r="Q834">
        <v>30</v>
      </c>
      <c r="R834">
        <v>0</v>
      </c>
      <c r="S834">
        <f t="shared" si="116"/>
        <v>30</v>
      </c>
      <c r="T834" s="1" t="s">
        <v>2935</v>
      </c>
      <c r="U834" s="1" t="s">
        <v>2932</v>
      </c>
      <c r="V834" s="3">
        <f t="shared" si="117"/>
        <v>40000</v>
      </c>
      <c r="W834" s="3">
        <f t="shared" si="118"/>
        <v>16000</v>
      </c>
      <c r="X834" s="3">
        <f t="shared" si="110"/>
        <v>1250</v>
      </c>
      <c r="Y834" s="3">
        <f t="shared" si="111"/>
        <v>1600</v>
      </c>
      <c r="Z834" s="3">
        <f t="shared" si="112"/>
        <v>1800</v>
      </c>
      <c r="AA834" s="3">
        <v>0</v>
      </c>
      <c r="AB834" s="3">
        <f>ROUND(U834 - (V834+W834+X834+Y834) - (U834/Q834 * 2),0)</f>
        <v>34483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f>SUM(V834+W834+X834+Y834+AB834)</f>
        <v>93333</v>
      </c>
      <c r="AK834" s="3">
        <f>SUM(AJ834-AA834)</f>
        <v>93333</v>
      </c>
      <c r="AL834" s="3">
        <f>IF(V834&lt;=15000,V834*12%,1800)</f>
        <v>1800</v>
      </c>
      <c r="AM834" s="3">
        <v>0</v>
      </c>
      <c r="AN834" s="3">
        <f t="shared" si="113"/>
        <v>1800</v>
      </c>
      <c r="AO834" s="12">
        <v>200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3">
        <f t="shared" si="115"/>
        <v>200</v>
      </c>
      <c r="AV834" s="3">
        <f>SUM(AJ834 - AN834 - AU834)</f>
        <v>91333</v>
      </c>
      <c r="AW834" s="11">
        <v>0</v>
      </c>
      <c r="AX834" s="11">
        <v>0</v>
      </c>
      <c r="AY834" s="11">
        <v>0</v>
      </c>
      <c r="AZ834" s="11">
        <v>0</v>
      </c>
      <c r="BA834" s="3">
        <f t="shared" si="114"/>
        <v>91333</v>
      </c>
    </row>
    <row r="835" spans="1:53" x14ac:dyDescent="0.25">
      <c r="A835" s="1" t="s">
        <v>833</v>
      </c>
      <c r="B835" s="9" t="s">
        <v>2627</v>
      </c>
      <c r="C835" s="9" t="s">
        <v>1063</v>
      </c>
      <c r="D835" s="9" t="s">
        <v>2628</v>
      </c>
      <c r="E835" s="9" t="s">
        <v>1008</v>
      </c>
      <c r="F835" s="10">
        <v>45866</v>
      </c>
      <c r="G835" s="9" t="s">
        <v>1019</v>
      </c>
      <c r="I835" s="9" t="s">
        <v>1014</v>
      </c>
      <c r="J835" s="9" t="s">
        <v>1015</v>
      </c>
      <c r="K835" s="8" t="s">
        <v>1006</v>
      </c>
      <c r="L835" s="8" t="s">
        <v>1007</v>
      </c>
      <c r="M835" s="8" t="s">
        <v>2933</v>
      </c>
      <c r="N835" s="8" t="s">
        <v>2937</v>
      </c>
      <c r="O835" s="1" t="s">
        <v>2934</v>
      </c>
      <c r="P835">
        <v>30</v>
      </c>
      <c r="Q835">
        <v>30</v>
      </c>
      <c r="R835">
        <v>0</v>
      </c>
      <c r="S835">
        <f t="shared" si="116"/>
        <v>30</v>
      </c>
      <c r="T835" s="1" t="s">
        <v>2935</v>
      </c>
      <c r="U835" s="1" t="s">
        <v>2932</v>
      </c>
      <c r="V835" s="3">
        <f t="shared" si="117"/>
        <v>40000</v>
      </c>
      <c r="W835" s="3">
        <f t="shared" si="118"/>
        <v>16000</v>
      </c>
      <c r="X835" s="3">
        <f t="shared" ref="X835:X898" si="119">ROUND(1250 - ((1250/Q835)*R835),0)</f>
        <v>1250</v>
      </c>
      <c r="Y835" s="3">
        <f t="shared" ref="Y835:Y898" si="120">ROUND(1600 - (1600/Q835) *R835,0)</f>
        <v>1600</v>
      </c>
      <c r="Z835" s="3">
        <f t="shared" ref="Z835:Z898" si="121">IF(V835&lt;=15000,V835*12%,1800)</f>
        <v>1800</v>
      </c>
      <c r="AA835" s="3">
        <v>0</v>
      </c>
      <c r="AB835" s="3">
        <f>ROUND(U835 - (V835+W835+X835+Y835) - (U835/Q835 * 2),0)</f>
        <v>34483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f>SUM(V835+W835+X835+Y835+AB835)</f>
        <v>93333</v>
      </c>
      <c r="AK835" s="3">
        <f>SUM(AJ835-AA835)</f>
        <v>93333</v>
      </c>
      <c r="AL835" s="3">
        <f>IF(V835&lt;=15000,V835*12%,1800)</f>
        <v>1800</v>
      </c>
      <c r="AM835" s="3">
        <v>0</v>
      </c>
      <c r="AN835" s="3">
        <f t="shared" ref="AN835:AN898" si="122">SUM(AL835+AM835)</f>
        <v>1800</v>
      </c>
      <c r="AO835" s="12">
        <v>200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3">
        <f t="shared" si="115"/>
        <v>200</v>
      </c>
      <c r="AV835" s="3">
        <f>SUM(AJ835 - AN835 - AU835)</f>
        <v>91333</v>
      </c>
      <c r="AW835" s="11">
        <v>0</v>
      </c>
      <c r="AX835" s="11">
        <v>0</v>
      </c>
      <c r="AY835" s="11">
        <v>0</v>
      </c>
      <c r="AZ835" s="11">
        <v>0</v>
      </c>
      <c r="BA835" s="3">
        <f t="shared" ref="BA835:BA898" si="123">AV835+AW835+AX835+AZ835</f>
        <v>91333</v>
      </c>
    </row>
    <row r="836" spans="1:53" x14ac:dyDescent="0.25">
      <c r="A836" s="1" t="s">
        <v>834</v>
      </c>
      <c r="B836" s="9" t="s">
        <v>2625</v>
      </c>
      <c r="C836" s="9" t="s">
        <v>1128</v>
      </c>
      <c r="D836" s="9" t="s">
        <v>2626</v>
      </c>
      <c r="E836" s="9" t="s">
        <v>1008</v>
      </c>
      <c r="F836" s="10">
        <v>45873</v>
      </c>
      <c r="G836" s="9" t="s">
        <v>1013</v>
      </c>
      <c r="I836" s="9" t="s">
        <v>1042</v>
      </c>
      <c r="J836" s="9" t="s">
        <v>1048</v>
      </c>
      <c r="K836" s="8" t="s">
        <v>1006</v>
      </c>
      <c r="L836" s="8" t="s">
        <v>1007</v>
      </c>
      <c r="M836" s="8" t="s">
        <v>2933</v>
      </c>
      <c r="N836" s="8" t="s">
        <v>2937</v>
      </c>
      <c r="O836" s="1" t="s">
        <v>2934</v>
      </c>
      <c r="P836">
        <v>30</v>
      </c>
      <c r="Q836">
        <v>30</v>
      </c>
      <c r="R836">
        <v>0</v>
      </c>
      <c r="S836">
        <f t="shared" si="116"/>
        <v>30</v>
      </c>
      <c r="T836" s="1" t="s">
        <v>2935</v>
      </c>
      <c r="U836" s="1" t="s">
        <v>2932</v>
      </c>
      <c r="V836" s="3">
        <f t="shared" si="117"/>
        <v>40000</v>
      </c>
      <c r="W836" s="3">
        <f t="shared" si="118"/>
        <v>16000</v>
      </c>
      <c r="X836" s="3">
        <f t="shared" si="119"/>
        <v>1250</v>
      </c>
      <c r="Y836" s="3">
        <f t="shared" si="120"/>
        <v>1600</v>
      </c>
      <c r="Z836" s="3">
        <f t="shared" si="121"/>
        <v>1800</v>
      </c>
      <c r="AA836" s="3">
        <v>0</v>
      </c>
      <c r="AB836" s="3">
        <f>ROUND(U836 - (V836+W836+X836+Y836) - (U836/Q836 * 2),0)</f>
        <v>34483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f>SUM(V836+W836+X836+Y836+AB836)</f>
        <v>93333</v>
      </c>
      <c r="AK836" s="3">
        <f>SUM(AJ836-AA836)</f>
        <v>93333</v>
      </c>
      <c r="AL836" s="3">
        <f>IF(V836&lt;=15000,V836*12%,1800)</f>
        <v>1800</v>
      </c>
      <c r="AM836" s="3">
        <v>0</v>
      </c>
      <c r="AN836" s="3">
        <f t="shared" si="122"/>
        <v>1800</v>
      </c>
      <c r="AO836" s="12">
        <v>200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3">
        <f t="shared" ref="AU836:AU899" si="124">SUM(AO836:AT836)</f>
        <v>200</v>
      </c>
      <c r="AV836" s="3">
        <f>SUM(AJ836 - AN836 - AU836)</f>
        <v>91333</v>
      </c>
      <c r="AW836" s="11">
        <v>0</v>
      </c>
      <c r="AX836" s="11">
        <v>0</v>
      </c>
      <c r="AY836" s="11">
        <v>0</v>
      </c>
      <c r="AZ836" s="11">
        <v>0</v>
      </c>
      <c r="BA836" s="3">
        <f t="shared" si="123"/>
        <v>91333</v>
      </c>
    </row>
    <row r="837" spans="1:53" x14ac:dyDescent="0.25">
      <c r="A837" s="1" t="s">
        <v>835</v>
      </c>
      <c r="B837" s="9" t="s">
        <v>1077</v>
      </c>
      <c r="C837" s="9" t="s">
        <v>1128</v>
      </c>
      <c r="D837" s="9" t="s">
        <v>2624</v>
      </c>
      <c r="E837" s="9" t="s">
        <v>1008</v>
      </c>
      <c r="F837" s="10">
        <v>45880</v>
      </c>
      <c r="G837" s="9" t="s">
        <v>1019</v>
      </c>
      <c r="I837" s="9" t="s">
        <v>1035</v>
      </c>
      <c r="J837" s="9" t="s">
        <v>1048</v>
      </c>
      <c r="K837" s="8" t="s">
        <v>1006</v>
      </c>
      <c r="L837" s="8" t="s">
        <v>1007</v>
      </c>
      <c r="M837" s="8" t="s">
        <v>2933</v>
      </c>
      <c r="N837" s="8" t="s">
        <v>2937</v>
      </c>
      <c r="O837" s="1" t="s">
        <v>2934</v>
      </c>
      <c r="P837">
        <v>30</v>
      </c>
      <c r="Q837">
        <v>30</v>
      </c>
      <c r="R837">
        <v>0</v>
      </c>
      <c r="S837">
        <f t="shared" ref="S837:S900" si="125">SUM(Q837-R837)</f>
        <v>30</v>
      </c>
      <c r="T837" s="1" t="s">
        <v>2935</v>
      </c>
      <c r="U837" s="1" t="s">
        <v>2932</v>
      </c>
      <c r="V837" s="3">
        <f t="shared" ref="V837:V900" si="126">ROUND((U837*40%) / Q837  * S837,0)</f>
        <v>40000</v>
      </c>
      <c r="W837" s="3">
        <f t="shared" ref="W837:W900" si="127">ROUND((U837*16%) / Q837  * S837,0)</f>
        <v>16000</v>
      </c>
      <c r="X837" s="3">
        <f t="shared" si="119"/>
        <v>1250</v>
      </c>
      <c r="Y837" s="3">
        <f t="shared" si="120"/>
        <v>1600</v>
      </c>
      <c r="Z837" s="3">
        <f t="shared" si="121"/>
        <v>1800</v>
      </c>
      <c r="AA837" s="3">
        <v>0</v>
      </c>
      <c r="AB837" s="3">
        <f>ROUND(U837 - (V837+W837+X837+Y837) - (U837/Q837 * 2),0)</f>
        <v>34483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f>SUM(V837+W837+X837+Y837+AB837)</f>
        <v>93333</v>
      </c>
      <c r="AK837" s="3">
        <f>SUM(AJ837-AA837)</f>
        <v>93333</v>
      </c>
      <c r="AL837" s="3">
        <f>IF(V837&lt;=15000,V837*12%,1800)</f>
        <v>1800</v>
      </c>
      <c r="AM837" s="3">
        <v>0</v>
      </c>
      <c r="AN837" s="3">
        <f t="shared" si="122"/>
        <v>1800</v>
      </c>
      <c r="AO837" s="12">
        <v>200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3">
        <f t="shared" si="124"/>
        <v>200</v>
      </c>
      <c r="AV837" s="3">
        <f>SUM(AJ837 - AN837 - AU837)</f>
        <v>91333</v>
      </c>
      <c r="AW837" s="11">
        <v>0</v>
      </c>
      <c r="AX837" s="11">
        <v>0</v>
      </c>
      <c r="AY837" s="11">
        <v>0</v>
      </c>
      <c r="AZ837" s="11">
        <v>0</v>
      </c>
      <c r="BA837" s="3">
        <f t="shared" si="123"/>
        <v>91333</v>
      </c>
    </row>
    <row r="838" spans="1:53" x14ac:dyDescent="0.25">
      <c r="A838" s="1" t="s">
        <v>836</v>
      </c>
      <c r="B838" s="9" t="s">
        <v>1667</v>
      </c>
      <c r="C838" s="9" t="s">
        <v>1273</v>
      </c>
      <c r="D838" s="9" t="s">
        <v>2623</v>
      </c>
      <c r="E838" s="9" t="s">
        <v>1008</v>
      </c>
      <c r="F838" s="10">
        <v>45880</v>
      </c>
      <c r="G838" s="9" t="s">
        <v>1019</v>
      </c>
      <c r="I838" s="9" t="s">
        <v>1035</v>
      </c>
      <c r="J838" s="9" t="s">
        <v>1048</v>
      </c>
      <c r="K838" s="8" t="s">
        <v>1006</v>
      </c>
      <c r="L838" s="8" t="s">
        <v>1007</v>
      </c>
      <c r="M838" s="8" t="s">
        <v>2933</v>
      </c>
      <c r="N838" s="8" t="s">
        <v>2937</v>
      </c>
      <c r="O838" s="1" t="s">
        <v>2934</v>
      </c>
      <c r="P838">
        <v>30</v>
      </c>
      <c r="Q838">
        <v>30</v>
      </c>
      <c r="R838">
        <v>0</v>
      </c>
      <c r="S838">
        <f t="shared" si="125"/>
        <v>30</v>
      </c>
      <c r="T838" s="1" t="s">
        <v>2935</v>
      </c>
      <c r="U838" s="1" t="s">
        <v>2932</v>
      </c>
      <c r="V838" s="3">
        <f t="shared" si="126"/>
        <v>40000</v>
      </c>
      <c r="W838" s="3">
        <f t="shared" si="127"/>
        <v>16000</v>
      </c>
      <c r="X838" s="3">
        <f t="shared" si="119"/>
        <v>1250</v>
      </c>
      <c r="Y838" s="3">
        <f t="shared" si="120"/>
        <v>1600</v>
      </c>
      <c r="Z838" s="3">
        <f t="shared" si="121"/>
        <v>1800</v>
      </c>
      <c r="AA838" s="3">
        <v>0</v>
      </c>
      <c r="AB838" s="3">
        <f>ROUND(U838 - (V838+W838+X838+Y838) - (U838/Q838 * 2),0)</f>
        <v>34483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f>SUM(V838+W838+X838+Y838+AB838)</f>
        <v>93333</v>
      </c>
      <c r="AK838" s="3">
        <f>SUM(AJ838-AA838)</f>
        <v>93333</v>
      </c>
      <c r="AL838" s="3">
        <f>IF(V838&lt;=15000,V838*12%,1800)</f>
        <v>1800</v>
      </c>
      <c r="AM838" s="3">
        <v>0</v>
      </c>
      <c r="AN838" s="3">
        <f t="shared" si="122"/>
        <v>1800</v>
      </c>
      <c r="AO838" s="12">
        <v>200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3">
        <f t="shared" si="124"/>
        <v>200</v>
      </c>
      <c r="AV838" s="3">
        <f>SUM(AJ838 - AN838 - AU838)</f>
        <v>91333</v>
      </c>
      <c r="AW838" s="11">
        <v>0</v>
      </c>
      <c r="AX838" s="11">
        <v>0</v>
      </c>
      <c r="AY838" s="11">
        <v>0</v>
      </c>
      <c r="AZ838" s="11">
        <v>0</v>
      </c>
      <c r="BA838" s="3">
        <f t="shared" si="123"/>
        <v>91333</v>
      </c>
    </row>
    <row r="839" spans="1:53" x14ac:dyDescent="0.25">
      <c r="A839" s="1" t="s">
        <v>837</v>
      </c>
      <c r="B839" s="9" t="s">
        <v>1223</v>
      </c>
      <c r="C839" s="9" t="s">
        <v>1010</v>
      </c>
      <c r="D839" s="9" t="s">
        <v>2622</v>
      </c>
      <c r="E839" s="9" t="s">
        <v>1012</v>
      </c>
      <c r="F839" s="10">
        <v>45873</v>
      </c>
      <c r="G839" s="9" t="s">
        <v>1019</v>
      </c>
      <c r="I839" s="9" t="s">
        <v>1014</v>
      </c>
      <c r="J839" s="9" t="s">
        <v>1015</v>
      </c>
      <c r="K839" s="8" t="s">
        <v>1006</v>
      </c>
      <c r="L839" s="8" t="s">
        <v>1007</v>
      </c>
      <c r="M839" s="8" t="s">
        <v>2933</v>
      </c>
      <c r="N839" s="8" t="s">
        <v>2937</v>
      </c>
      <c r="O839" s="1" t="s">
        <v>2934</v>
      </c>
      <c r="P839">
        <v>30</v>
      </c>
      <c r="Q839">
        <v>30</v>
      </c>
      <c r="R839">
        <v>0</v>
      </c>
      <c r="S839">
        <f t="shared" si="125"/>
        <v>30</v>
      </c>
      <c r="T839" s="1" t="s">
        <v>2935</v>
      </c>
      <c r="U839" s="1" t="s">
        <v>2932</v>
      </c>
      <c r="V839" s="3">
        <f t="shared" si="126"/>
        <v>40000</v>
      </c>
      <c r="W839" s="3">
        <f t="shared" si="127"/>
        <v>16000</v>
      </c>
      <c r="X839" s="3">
        <f t="shared" si="119"/>
        <v>1250</v>
      </c>
      <c r="Y839" s="3">
        <f t="shared" si="120"/>
        <v>1600</v>
      </c>
      <c r="Z839" s="3">
        <f t="shared" si="121"/>
        <v>1800</v>
      </c>
      <c r="AA839" s="3">
        <v>0</v>
      </c>
      <c r="AB839" s="3">
        <f>ROUND(U839 - (V839+W839+X839+Y839) - (U839/Q839 * 2),0)</f>
        <v>34483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f>SUM(V839+W839+X839+Y839+AB839)</f>
        <v>93333</v>
      </c>
      <c r="AK839" s="3">
        <f>SUM(AJ839-AA839)</f>
        <v>93333</v>
      </c>
      <c r="AL839" s="3">
        <f>IF(V839&lt;=15000,V839*12%,1800)</f>
        <v>1800</v>
      </c>
      <c r="AM839" s="3">
        <v>0</v>
      </c>
      <c r="AN839" s="3">
        <f t="shared" si="122"/>
        <v>1800</v>
      </c>
      <c r="AO839" s="12">
        <v>200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3">
        <f t="shared" si="124"/>
        <v>200</v>
      </c>
      <c r="AV839" s="3">
        <f>SUM(AJ839 - AN839 - AU839)</f>
        <v>91333</v>
      </c>
      <c r="AW839" s="11">
        <v>0</v>
      </c>
      <c r="AX839" s="11">
        <v>0</v>
      </c>
      <c r="AY839" s="11">
        <v>0</v>
      </c>
      <c r="AZ839" s="11">
        <v>0</v>
      </c>
      <c r="BA839" s="3">
        <f t="shared" si="123"/>
        <v>91333</v>
      </c>
    </row>
    <row r="840" spans="1:53" x14ac:dyDescent="0.25">
      <c r="A840" s="1" t="s">
        <v>838</v>
      </c>
      <c r="B840" s="9" t="s">
        <v>2620</v>
      </c>
      <c r="C840" s="9" t="s">
        <v>1063</v>
      </c>
      <c r="D840" s="9" t="s">
        <v>2621</v>
      </c>
      <c r="E840" s="9" t="s">
        <v>1008</v>
      </c>
      <c r="F840" s="10">
        <v>45873</v>
      </c>
      <c r="G840" s="9" t="s">
        <v>1013</v>
      </c>
      <c r="I840" s="9" t="s">
        <v>1014</v>
      </c>
      <c r="J840" s="9" t="s">
        <v>1015</v>
      </c>
      <c r="K840" s="8" t="s">
        <v>1006</v>
      </c>
      <c r="L840" s="8" t="s">
        <v>1007</v>
      </c>
      <c r="M840" s="8" t="s">
        <v>2933</v>
      </c>
      <c r="N840" s="8" t="s">
        <v>2937</v>
      </c>
      <c r="O840" s="1" t="s">
        <v>2934</v>
      </c>
      <c r="P840">
        <v>30</v>
      </c>
      <c r="Q840">
        <v>30</v>
      </c>
      <c r="R840">
        <v>0</v>
      </c>
      <c r="S840">
        <f t="shared" si="125"/>
        <v>30</v>
      </c>
      <c r="T840" s="1" t="s">
        <v>2935</v>
      </c>
      <c r="U840" s="1" t="s">
        <v>2932</v>
      </c>
      <c r="V840" s="3">
        <f t="shared" si="126"/>
        <v>40000</v>
      </c>
      <c r="W840" s="3">
        <f t="shared" si="127"/>
        <v>16000</v>
      </c>
      <c r="X840" s="3">
        <f t="shared" si="119"/>
        <v>1250</v>
      </c>
      <c r="Y840" s="3">
        <f t="shared" si="120"/>
        <v>1600</v>
      </c>
      <c r="Z840" s="3">
        <f t="shared" si="121"/>
        <v>1800</v>
      </c>
      <c r="AA840" s="3">
        <v>0</v>
      </c>
      <c r="AB840" s="3">
        <f>ROUND(U840 - (V840+W840+X840+Y840) - (U840/Q840 * 2),0)</f>
        <v>34483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f>SUM(V840+W840+X840+Y840+AB840)</f>
        <v>93333</v>
      </c>
      <c r="AK840" s="3">
        <f>SUM(AJ840-AA840)</f>
        <v>93333</v>
      </c>
      <c r="AL840" s="3">
        <f>IF(V840&lt;=15000,V840*12%,1800)</f>
        <v>1800</v>
      </c>
      <c r="AM840" s="3">
        <v>0</v>
      </c>
      <c r="AN840" s="3">
        <f t="shared" si="122"/>
        <v>1800</v>
      </c>
      <c r="AO840" s="12">
        <v>200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3">
        <f t="shared" si="124"/>
        <v>200</v>
      </c>
      <c r="AV840" s="3">
        <f>SUM(AJ840 - AN840 - AU840)</f>
        <v>91333</v>
      </c>
      <c r="AW840" s="11">
        <v>0</v>
      </c>
      <c r="AX840" s="11">
        <v>0</v>
      </c>
      <c r="AY840" s="11">
        <v>0</v>
      </c>
      <c r="AZ840" s="11">
        <v>0</v>
      </c>
      <c r="BA840" s="3">
        <f t="shared" si="123"/>
        <v>91333</v>
      </c>
    </row>
    <row r="841" spans="1:53" x14ac:dyDescent="0.25">
      <c r="A841" s="1" t="s">
        <v>839</v>
      </c>
      <c r="B841" s="9" t="s">
        <v>2618</v>
      </c>
      <c r="C841" s="9" t="s">
        <v>1063</v>
      </c>
      <c r="D841" s="9" t="s">
        <v>2619</v>
      </c>
      <c r="E841" s="9" t="s">
        <v>1008</v>
      </c>
      <c r="F841" s="10">
        <v>45873</v>
      </c>
      <c r="G841" s="9" t="s">
        <v>1013</v>
      </c>
      <c r="I841" s="9" t="s">
        <v>1020</v>
      </c>
      <c r="J841" s="9" t="s">
        <v>1015</v>
      </c>
      <c r="K841" s="8" t="s">
        <v>1006</v>
      </c>
      <c r="L841" s="8" t="s">
        <v>1007</v>
      </c>
      <c r="M841" s="8" t="s">
        <v>2933</v>
      </c>
      <c r="N841" s="8" t="s">
        <v>2937</v>
      </c>
      <c r="O841" s="1" t="s">
        <v>2934</v>
      </c>
      <c r="P841">
        <v>30</v>
      </c>
      <c r="Q841">
        <v>30</v>
      </c>
      <c r="R841">
        <v>0</v>
      </c>
      <c r="S841">
        <f t="shared" si="125"/>
        <v>30</v>
      </c>
      <c r="T841" s="1" t="s">
        <v>2935</v>
      </c>
      <c r="U841" s="1" t="s">
        <v>2932</v>
      </c>
      <c r="V841" s="3">
        <f t="shared" si="126"/>
        <v>40000</v>
      </c>
      <c r="W841" s="3">
        <f t="shared" si="127"/>
        <v>16000</v>
      </c>
      <c r="X841" s="3">
        <f t="shared" si="119"/>
        <v>1250</v>
      </c>
      <c r="Y841" s="3">
        <f t="shared" si="120"/>
        <v>1600</v>
      </c>
      <c r="Z841" s="3">
        <f t="shared" si="121"/>
        <v>1800</v>
      </c>
      <c r="AA841" s="3">
        <v>0</v>
      </c>
      <c r="AB841" s="3">
        <f>ROUND(U841 - (V841+W841+X841+Y841) - (U841/Q841 * 2),0)</f>
        <v>34483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f>SUM(V841+W841+X841+Y841+AB841)</f>
        <v>93333</v>
      </c>
      <c r="AK841" s="3">
        <f>SUM(AJ841-AA841)</f>
        <v>93333</v>
      </c>
      <c r="AL841" s="3">
        <f>IF(V841&lt;=15000,V841*12%,1800)</f>
        <v>1800</v>
      </c>
      <c r="AM841" s="3">
        <v>0</v>
      </c>
      <c r="AN841" s="3">
        <f t="shared" si="122"/>
        <v>1800</v>
      </c>
      <c r="AO841" s="12">
        <v>200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3">
        <f t="shared" si="124"/>
        <v>200</v>
      </c>
      <c r="AV841" s="3">
        <f>SUM(AJ841 - AN841 - AU841)</f>
        <v>91333</v>
      </c>
      <c r="AW841" s="11">
        <v>0</v>
      </c>
      <c r="AX841" s="11">
        <v>0</v>
      </c>
      <c r="AY841" s="11">
        <v>0</v>
      </c>
      <c r="AZ841" s="11">
        <v>0</v>
      </c>
      <c r="BA841" s="3">
        <f t="shared" si="123"/>
        <v>91333</v>
      </c>
    </row>
    <row r="842" spans="1:53" x14ac:dyDescent="0.25">
      <c r="A842" s="1" t="s">
        <v>840</v>
      </c>
      <c r="B842" s="9" t="s">
        <v>2616</v>
      </c>
      <c r="C842" s="9" t="s">
        <v>1063</v>
      </c>
      <c r="D842" s="9" t="s">
        <v>2617</v>
      </c>
      <c r="E842" s="9" t="s">
        <v>1008</v>
      </c>
      <c r="F842" s="10">
        <v>45873</v>
      </c>
      <c r="G842" s="9" t="s">
        <v>1019</v>
      </c>
      <c r="I842" s="9" t="s">
        <v>1020</v>
      </c>
      <c r="J842" s="9" t="s">
        <v>1015</v>
      </c>
      <c r="K842" s="8" t="s">
        <v>1006</v>
      </c>
      <c r="L842" s="8" t="s">
        <v>1007</v>
      </c>
      <c r="M842" s="8" t="s">
        <v>2933</v>
      </c>
      <c r="N842" s="8" t="s">
        <v>2937</v>
      </c>
      <c r="O842" s="1" t="s">
        <v>2934</v>
      </c>
      <c r="P842">
        <v>30</v>
      </c>
      <c r="Q842">
        <v>30</v>
      </c>
      <c r="R842">
        <v>0</v>
      </c>
      <c r="S842">
        <f t="shared" si="125"/>
        <v>30</v>
      </c>
      <c r="T842" s="1" t="s">
        <v>2935</v>
      </c>
      <c r="U842" s="1" t="s">
        <v>2932</v>
      </c>
      <c r="V842" s="3">
        <f t="shared" si="126"/>
        <v>40000</v>
      </c>
      <c r="W842" s="3">
        <f t="shared" si="127"/>
        <v>16000</v>
      </c>
      <c r="X842" s="3">
        <f t="shared" si="119"/>
        <v>1250</v>
      </c>
      <c r="Y842" s="3">
        <f t="shared" si="120"/>
        <v>1600</v>
      </c>
      <c r="Z842" s="3">
        <f t="shared" si="121"/>
        <v>1800</v>
      </c>
      <c r="AA842" s="3">
        <v>0</v>
      </c>
      <c r="AB842" s="3">
        <f>ROUND(U842 - (V842+W842+X842+Y842) - (U842/Q842 * 2),0)</f>
        <v>34483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f>SUM(V842+W842+X842+Y842+AB842)</f>
        <v>93333</v>
      </c>
      <c r="AK842" s="3">
        <f>SUM(AJ842-AA842)</f>
        <v>93333</v>
      </c>
      <c r="AL842" s="3">
        <f>IF(V842&lt;=15000,V842*12%,1800)</f>
        <v>1800</v>
      </c>
      <c r="AM842" s="3">
        <v>0</v>
      </c>
      <c r="AN842" s="3">
        <f t="shared" si="122"/>
        <v>1800</v>
      </c>
      <c r="AO842" s="12">
        <v>200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3">
        <f t="shared" si="124"/>
        <v>200</v>
      </c>
      <c r="AV842" s="3">
        <f>SUM(AJ842 - AN842 - AU842)</f>
        <v>91333</v>
      </c>
      <c r="AW842" s="11">
        <v>0</v>
      </c>
      <c r="AX842" s="11">
        <v>0</v>
      </c>
      <c r="AY842" s="11">
        <v>0</v>
      </c>
      <c r="AZ842" s="11">
        <v>0</v>
      </c>
      <c r="BA842" s="3">
        <f t="shared" si="123"/>
        <v>91333</v>
      </c>
    </row>
    <row r="843" spans="1:53" x14ac:dyDescent="0.25">
      <c r="A843" s="1" t="s">
        <v>841</v>
      </c>
      <c r="B843" s="9" t="s">
        <v>2614</v>
      </c>
      <c r="C843" s="9" t="s">
        <v>1063</v>
      </c>
      <c r="D843" s="9" t="s">
        <v>2615</v>
      </c>
      <c r="E843" s="9" t="s">
        <v>1008</v>
      </c>
      <c r="F843" s="10">
        <v>45873</v>
      </c>
      <c r="G843" s="9" t="s">
        <v>1019</v>
      </c>
      <c r="I843" s="9" t="s">
        <v>1020</v>
      </c>
      <c r="J843" s="9" t="s">
        <v>1015</v>
      </c>
      <c r="K843" s="8" t="s">
        <v>1006</v>
      </c>
      <c r="L843" s="8" t="s">
        <v>1007</v>
      </c>
      <c r="M843" s="8" t="s">
        <v>2933</v>
      </c>
      <c r="N843" s="8" t="s">
        <v>2937</v>
      </c>
      <c r="O843" s="1" t="s">
        <v>2934</v>
      </c>
      <c r="P843">
        <v>30</v>
      </c>
      <c r="Q843">
        <v>30</v>
      </c>
      <c r="R843">
        <v>0</v>
      </c>
      <c r="S843">
        <f t="shared" si="125"/>
        <v>30</v>
      </c>
      <c r="T843" s="1" t="s">
        <v>2935</v>
      </c>
      <c r="U843" s="1" t="s">
        <v>2932</v>
      </c>
      <c r="V843" s="3">
        <f t="shared" si="126"/>
        <v>40000</v>
      </c>
      <c r="W843" s="3">
        <f t="shared" si="127"/>
        <v>16000</v>
      </c>
      <c r="X843" s="3">
        <f t="shared" si="119"/>
        <v>1250</v>
      </c>
      <c r="Y843" s="3">
        <f t="shared" si="120"/>
        <v>1600</v>
      </c>
      <c r="Z843" s="3">
        <f t="shared" si="121"/>
        <v>1800</v>
      </c>
      <c r="AA843" s="3">
        <v>0</v>
      </c>
      <c r="AB843" s="3">
        <f>ROUND(U843 - (V843+W843+X843+Y843) - (U843/Q843 * 2),0)</f>
        <v>34483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f>SUM(V843+W843+X843+Y843+AB843)</f>
        <v>93333</v>
      </c>
      <c r="AK843" s="3">
        <f>SUM(AJ843-AA843)</f>
        <v>93333</v>
      </c>
      <c r="AL843" s="3">
        <f>IF(V843&lt;=15000,V843*12%,1800)</f>
        <v>1800</v>
      </c>
      <c r="AM843" s="3">
        <v>0</v>
      </c>
      <c r="AN843" s="3">
        <f t="shared" si="122"/>
        <v>1800</v>
      </c>
      <c r="AO843" s="12">
        <v>200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3">
        <f t="shared" si="124"/>
        <v>200</v>
      </c>
      <c r="AV843" s="3">
        <f>SUM(AJ843 - AN843 - AU843)</f>
        <v>91333</v>
      </c>
      <c r="AW843" s="11">
        <v>0</v>
      </c>
      <c r="AX843" s="11">
        <v>0</v>
      </c>
      <c r="AY843" s="11">
        <v>0</v>
      </c>
      <c r="AZ843" s="11">
        <v>0</v>
      </c>
      <c r="BA843" s="3">
        <f t="shared" si="123"/>
        <v>91333</v>
      </c>
    </row>
    <row r="844" spans="1:53" x14ac:dyDescent="0.25">
      <c r="A844" s="1" t="s">
        <v>842</v>
      </c>
      <c r="B844" s="9" t="s">
        <v>2612</v>
      </c>
      <c r="C844" s="9" t="s">
        <v>1169</v>
      </c>
      <c r="D844" s="9" t="s">
        <v>2613</v>
      </c>
      <c r="E844" s="9" t="s">
        <v>1008</v>
      </c>
      <c r="F844" s="10">
        <v>45880</v>
      </c>
      <c r="G844" s="9" t="s">
        <v>1019</v>
      </c>
      <c r="I844" s="9" t="s">
        <v>1020</v>
      </c>
      <c r="J844" s="9" t="s">
        <v>1171</v>
      </c>
      <c r="K844" s="8" t="s">
        <v>1006</v>
      </c>
      <c r="L844" s="8" t="s">
        <v>1007</v>
      </c>
      <c r="M844" s="8" t="s">
        <v>2933</v>
      </c>
      <c r="N844" s="8" t="s">
        <v>2937</v>
      </c>
      <c r="O844" s="1" t="s">
        <v>2934</v>
      </c>
      <c r="P844">
        <v>30</v>
      </c>
      <c r="Q844">
        <v>30</v>
      </c>
      <c r="R844">
        <v>0</v>
      </c>
      <c r="S844">
        <f t="shared" si="125"/>
        <v>30</v>
      </c>
      <c r="T844" s="1" t="s">
        <v>2935</v>
      </c>
      <c r="U844" s="1" t="s">
        <v>2932</v>
      </c>
      <c r="V844" s="3">
        <f t="shared" si="126"/>
        <v>40000</v>
      </c>
      <c r="W844" s="3">
        <f t="shared" si="127"/>
        <v>16000</v>
      </c>
      <c r="X844" s="3">
        <f t="shared" si="119"/>
        <v>1250</v>
      </c>
      <c r="Y844" s="3">
        <f t="shared" si="120"/>
        <v>1600</v>
      </c>
      <c r="Z844" s="3">
        <f t="shared" si="121"/>
        <v>1800</v>
      </c>
      <c r="AA844" s="3">
        <v>0</v>
      </c>
      <c r="AB844" s="3">
        <f>ROUND(U844 - (V844+W844+X844+Y844) - (U844/Q844 * 2),0)</f>
        <v>34483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f>SUM(V844+W844+X844+Y844+AB844)</f>
        <v>93333</v>
      </c>
      <c r="AK844" s="3">
        <f>SUM(AJ844-AA844)</f>
        <v>93333</v>
      </c>
      <c r="AL844" s="3">
        <f>IF(V844&lt;=15000,V844*12%,1800)</f>
        <v>1800</v>
      </c>
      <c r="AM844" s="3">
        <v>0</v>
      </c>
      <c r="AN844" s="3">
        <f t="shared" si="122"/>
        <v>1800</v>
      </c>
      <c r="AO844" s="12">
        <v>200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3">
        <f t="shared" si="124"/>
        <v>200</v>
      </c>
      <c r="AV844" s="3">
        <f>SUM(AJ844 - AN844 - AU844)</f>
        <v>91333</v>
      </c>
      <c r="AW844" s="11">
        <v>0</v>
      </c>
      <c r="AX844" s="11">
        <v>0</v>
      </c>
      <c r="AY844" s="11">
        <v>0</v>
      </c>
      <c r="AZ844" s="11">
        <v>0</v>
      </c>
      <c r="BA844" s="3">
        <f t="shared" si="123"/>
        <v>91333</v>
      </c>
    </row>
    <row r="845" spans="1:53" x14ac:dyDescent="0.25">
      <c r="A845" s="1" t="s">
        <v>843</v>
      </c>
      <c r="B845" s="9" t="s">
        <v>2173</v>
      </c>
      <c r="C845" s="9" t="s">
        <v>1063</v>
      </c>
      <c r="D845" s="9" t="s">
        <v>2611</v>
      </c>
      <c r="E845" s="9" t="s">
        <v>1008</v>
      </c>
      <c r="F845" s="10">
        <v>45880</v>
      </c>
      <c r="G845" s="9" t="s">
        <v>1013</v>
      </c>
      <c r="I845" s="9" t="s">
        <v>1014</v>
      </c>
      <c r="J845" s="9" t="s">
        <v>1015</v>
      </c>
      <c r="K845" s="8" t="s">
        <v>1006</v>
      </c>
      <c r="L845" s="8" t="s">
        <v>1007</v>
      </c>
      <c r="M845" s="8" t="s">
        <v>2933</v>
      </c>
      <c r="N845" s="8" t="s">
        <v>2937</v>
      </c>
      <c r="O845" s="1" t="s">
        <v>2934</v>
      </c>
      <c r="P845">
        <v>30</v>
      </c>
      <c r="Q845">
        <v>30</v>
      </c>
      <c r="R845">
        <v>0</v>
      </c>
      <c r="S845">
        <f t="shared" si="125"/>
        <v>30</v>
      </c>
      <c r="T845" s="1" t="s">
        <v>2935</v>
      </c>
      <c r="U845" s="1" t="s">
        <v>2932</v>
      </c>
      <c r="V845" s="3">
        <f t="shared" si="126"/>
        <v>40000</v>
      </c>
      <c r="W845" s="3">
        <f t="shared" si="127"/>
        <v>16000</v>
      </c>
      <c r="X845" s="3">
        <f t="shared" si="119"/>
        <v>1250</v>
      </c>
      <c r="Y845" s="3">
        <f t="shared" si="120"/>
        <v>1600</v>
      </c>
      <c r="Z845" s="3">
        <f t="shared" si="121"/>
        <v>1800</v>
      </c>
      <c r="AA845" s="3">
        <v>0</v>
      </c>
      <c r="AB845" s="3">
        <f>ROUND(U845 - (V845+W845+X845+Y845) - (U845/Q845 * 2),0)</f>
        <v>34483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f>SUM(V845+W845+X845+Y845+AB845)</f>
        <v>93333</v>
      </c>
      <c r="AK845" s="3">
        <f>SUM(AJ845-AA845)</f>
        <v>93333</v>
      </c>
      <c r="AL845" s="3">
        <f>IF(V845&lt;=15000,V845*12%,1800)</f>
        <v>1800</v>
      </c>
      <c r="AM845" s="3">
        <v>0</v>
      </c>
      <c r="AN845" s="3">
        <f t="shared" si="122"/>
        <v>1800</v>
      </c>
      <c r="AO845" s="12">
        <v>200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3">
        <f t="shared" si="124"/>
        <v>200</v>
      </c>
      <c r="AV845" s="3">
        <f>SUM(AJ845 - AN845 - AU845)</f>
        <v>91333</v>
      </c>
      <c r="AW845" s="11">
        <v>0</v>
      </c>
      <c r="AX845" s="11">
        <v>0</v>
      </c>
      <c r="AY845" s="11">
        <v>0</v>
      </c>
      <c r="AZ845" s="11">
        <v>0</v>
      </c>
      <c r="BA845" s="3">
        <f t="shared" si="123"/>
        <v>91333</v>
      </c>
    </row>
    <row r="846" spans="1:53" x14ac:dyDescent="0.25">
      <c r="A846" s="1" t="s">
        <v>844</v>
      </c>
      <c r="B846" s="9" t="s">
        <v>2609</v>
      </c>
      <c r="C846" s="9" t="s">
        <v>1169</v>
      </c>
      <c r="D846" s="9" t="s">
        <v>2610</v>
      </c>
      <c r="E846" s="9" t="s">
        <v>1008</v>
      </c>
      <c r="F846" s="10">
        <v>45880</v>
      </c>
      <c r="G846" s="9" t="s">
        <v>1019</v>
      </c>
      <c r="I846" s="9" t="s">
        <v>1020</v>
      </c>
      <c r="J846" s="9" t="s">
        <v>1171</v>
      </c>
      <c r="K846" s="8" t="s">
        <v>1006</v>
      </c>
      <c r="L846" s="8" t="s">
        <v>1007</v>
      </c>
      <c r="M846" s="8" t="s">
        <v>2933</v>
      </c>
      <c r="N846" s="8" t="s">
        <v>2937</v>
      </c>
      <c r="O846" s="1" t="s">
        <v>2934</v>
      </c>
      <c r="P846">
        <v>30</v>
      </c>
      <c r="Q846">
        <v>30</v>
      </c>
      <c r="R846">
        <v>0</v>
      </c>
      <c r="S846">
        <f t="shared" si="125"/>
        <v>30</v>
      </c>
      <c r="T846" s="1" t="s">
        <v>2935</v>
      </c>
      <c r="U846" s="1" t="s">
        <v>2932</v>
      </c>
      <c r="V846" s="3">
        <f t="shared" si="126"/>
        <v>40000</v>
      </c>
      <c r="W846" s="3">
        <f t="shared" si="127"/>
        <v>16000</v>
      </c>
      <c r="X846" s="3">
        <f t="shared" si="119"/>
        <v>1250</v>
      </c>
      <c r="Y846" s="3">
        <f t="shared" si="120"/>
        <v>1600</v>
      </c>
      <c r="Z846" s="3">
        <f t="shared" si="121"/>
        <v>1800</v>
      </c>
      <c r="AA846" s="3">
        <v>0</v>
      </c>
      <c r="AB846" s="3">
        <f>ROUND(U846 - (V846+W846+X846+Y846) - (U846/Q846 * 2),0)</f>
        <v>34483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f>SUM(V846+W846+X846+Y846+AB846)</f>
        <v>93333</v>
      </c>
      <c r="AK846" s="3">
        <f>SUM(AJ846-AA846)</f>
        <v>93333</v>
      </c>
      <c r="AL846" s="3">
        <f>IF(V846&lt;=15000,V846*12%,1800)</f>
        <v>1800</v>
      </c>
      <c r="AM846" s="3">
        <v>0</v>
      </c>
      <c r="AN846" s="3">
        <f t="shared" si="122"/>
        <v>1800</v>
      </c>
      <c r="AO846" s="12">
        <v>200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3">
        <f t="shared" si="124"/>
        <v>200</v>
      </c>
      <c r="AV846" s="3">
        <f>SUM(AJ846 - AN846 - AU846)</f>
        <v>91333</v>
      </c>
      <c r="AW846" s="11">
        <v>0</v>
      </c>
      <c r="AX846" s="11">
        <v>0</v>
      </c>
      <c r="AY846" s="11">
        <v>0</v>
      </c>
      <c r="AZ846" s="11">
        <v>0</v>
      </c>
      <c r="BA846" s="3">
        <f t="shared" si="123"/>
        <v>91333</v>
      </c>
    </row>
    <row r="847" spans="1:53" x14ac:dyDescent="0.25">
      <c r="A847" s="1" t="s">
        <v>845</v>
      </c>
      <c r="B847" s="9" t="s">
        <v>2661</v>
      </c>
      <c r="C847" s="9" t="s">
        <v>1010</v>
      </c>
      <c r="D847" s="9" t="s">
        <v>2662</v>
      </c>
      <c r="E847" s="9" t="s">
        <v>1008</v>
      </c>
      <c r="F847" s="10">
        <v>45880</v>
      </c>
      <c r="G847" s="9" t="s">
        <v>1019</v>
      </c>
      <c r="I847" s="9" t="s">
        <v>1014</v>
      </c>
      <c r="J847" s="9" t="s">
        <v>1015</v>
      </c>
      <c r="K847" s="8" t="s">
        <v>1006</v>
      </c>
      <c r="L847" s="8" t="s">
        <v>1007</v>
      </c>
      <c r="M847" s="8" t="s">
        <v>2933</v>
      </c>
      <c r="N847" s="8" t="s">
        <v>2937</v>
      </c>
      <c r="O847" s="1" t="s">
        <v>2934</v>
      </c>
      <c r="P847">
        <v>30</v>
      </c>
      <c r="Q847">
        <v>30</v>
      </c>
      <c r="R847">
        <v>0</v>
      </c>
      <c r="S847">
        <f t="shared" si="125"/>
        <v>30</v>
      </c>
      <c r="T847" s="1" t="s">
        <v>2935</v>
      </c>
      <c r="U847" s="1" t="s">
        <v>2932</v>
      </c>
      <c r="V847" s="3">
        <f t="shared" si="126"/>
        <v>40000</v>
      </c>
      <c r="W847" s="3">
        <f t="shared" si="127"/>
        <v>16000</v>
      </c>
      <c r="X847" s="3">
        <f t="shared" si="119"/>
        <v>1250</v>
      </c>
      <c r="Y847" s="3">
        <f t="shared" si="120"/>
        <v>1600</v>
      </c>
      <c r="Z847" s="3">
        <f t="shared" si="121"/>
        <v>1800</v>
      </c>
      <c r="AA847" s="3">
        <v>0</v>
      </c>
      <c r="AB847" s="3">
        <f>ROUND(U847 - (V847+W847+X847+Y847) - (U847/Q847 * 2),0)</f>
        <v>34483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f>SUM(V847+W847+X847+Y847+AB847)</f>
        <v>93333</v>
      </c>
      <c r="AK847" s="3">
        <f>SUM(AJ847-AA847)</f>
        <v>93333</v>
      </c>
      <c r="AL847" s="3">
        <f>IF(V847&lt;=15000,V847*12%,1800)</f>
        <v>1800</v>
      </c>
      <c r="AM847" s="3">
        <v>0</v>
      </c>
      <c r="AN847" s="3">
        <f t="shared" si="122"/>
        <v>1800</v>
      </c>
      <c r="AO847" s="12">
        <v>200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3">
        <f t="shared" si="124"/>
        <v>200</v>
      </c>
      <c r="AV847" s="3">
        <f>SUM(AJ847 - AN847 - AU847)</f>
        <v>91333</v>
      </c>
      <c r="AW847" s="11">
        <v>0</v>
      </c>
      <c r="AX847" s="11">
        <v>0</v>
      </c>
      <c r="AY847" s="11">
        <v>0</v>
      </c>
      <c r="AZ847" s="11">
        <v>0</v>
      </c>
      <c r="BA847" s="3">
        <f t="shared" si="123"/>
        <v>91333</v>
      </c>
    </row>
    <row r="848" spans="1:53" x14ac:dyDescent="0.25">
      <c r="A848" s="1" t="s">
        <v>846</v>
      </c>
      <c r="B848" s="9" t="s">
        <v>2659</v>
      </c>
      <c r="C848" s="9" t="s">
        <v>1010</v>
      </c>
      <c r="D848" s="9" t="s">
        <v>2660</v>
      </c>
      <c r="E848" s="9" t="s">
        <v>1008</v>
      </c>
      <c r="F848" s="10">
        <v>45880</v>
      </c>
      <c r="G848" s="9" t="s">
        <v>1019</v>
      </c>
      <c r="I848" s="9" t="s">
        <v>1014</v>
      </c>
      <c r="J848" s="9" t="s">
        <v>1015</v>
      </c>
      <c r="K848" s="8" t="s">
        <v>1006</v>
      </c>
      <c r="L848" s="8" t="s">
        <v>1007</v>
      </c>
      <c r="M848" s="8" t="s">
        <v>2933</v>
      </c>
      <c r="N848" s="8" t="s">
        <v>2937</v>
      </c>
      <c r="O848" s="1" t="s">
        <v>2934</v>
      </c>
      <c r="P848">
        <v>30</v>
      </c>
      <c r="Q848">
        <v>30</v>
      </c>
      <c r="R848">
        <v>0</v>
      </c>
      <c r="S848">
        <f t="shared" si="125"/>
        <v>30</v>
      </c>
      <c r="T848" s="1" t="s">
        <v>2935</v>
      </c>
      <c r="U848" s="1" t="s">
        <v>2932</v>
      </c>
      <c r="V848" s="3">
        <f t="shared" si="126"/>
        <v>40000</v>
      </c>
      <c r="W848" s="3">
        <f t="shared" si="127"/>
        <v>16000</v>
      </c>
      <c r="X848" s="3">
        <f t="shared" si="119"/>
        <v>1250</v>
      </c>
      <c r="Y848" s="3">
        <f t="shared" si="120"/>
        <v>1600</v>
      </c>
      <c r="Z848" s="3">
        <f t="shared" si="121"/>
        <v>1800</v>
      </c>
      <c r="AA848" s="3">
        <v>0</v>
      </c>
      <c r="AB848" s="3">
        <f>ROUND(U848 - (V848+W848+X848+Y848) - (U848/Q848 * 2),0)</f>
        <v>34483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f>SUM(V848+W848+X848+Y848+AB848)</f>
        <v>93333</v>
      </c>
      <c r="AK848" s="3">
        <f>SUM(AJ848-AA848)</f>
        <v>93333</v>
      </c>
      <c r="AL848" s="3">
        <f>IF(V848&lt;=15000,V848*12%,1800)</f>
        <v>1800</v>
      </c>
      <c r="AM848" s="3">
        <v>0</v>
      </c>
      <c r="AN848" s="3">
        <f t="shared" si="122"/>
        <v>1800</v>
      </c>
      <c r="AO848" s="12">
        <v>200</v>
      </c>
      <c r="AP848" s="12">
        <v>0</v>
      </c>
      <c r="AQ848" s="12">
        <v>0</v>
      </c>
      <c r="AR848" s="12">
        <v>0</v>
      </c>
      <c r="AS848" s="12">
        <v>0</v>
      </c>
      <c r="AT848" s="12">
        <v>0</v>
      </c>
      <c r="AU848" s="3">
        <f t="shared" si="124"/>
        <v>200</v>
      </c>
      <c r="AV848" s="3">
        <f>SUM(AJ848 - AN848 - AU848)</f>
        <v>91333</v>
      </c>
      <c r="AW848" s="11">
        <v>0</v>
      </c>
      <c r="AX848" s="11">
        <v>0</v>
      </c>
      <c r="AY848" s="11">
        <v>0</v>
      </c>
      <c r="AZ848" s="11">
        <v>0</v>
      </c>
      <c r="BA848" s="3">
        <f t="shared" si="123"/>
        <v>91333</v>
      </c>
    </row>
    <row r="849" spans="1:53" x14ac:dyDescent="0.25">
      <c r="A849" s="1" t="s">
        <v>847</v>
      </c>
      <c r="B849" s="9" t="s">
        <v>1724</v>
      </c>
      <c r="C849" s="9" t="s">
        <v>1029</v>
      </c>
      <c r="D849" s="9" t="s">
        <v>2658</v>
      </c>
      <c r="E849" s="9" t="s">
        <v>1008</v>
      </c>
      <c r="F849" s="10">
        <v>45882</v>
      </c>
      <c r="G849" s="9" t="s">
        <v>1013</v>
      </c>
      <c r="I849" s="9" t="s">
        <v>1020</v>
      </c>
      <c r="J849" s="9" t="s">
        <v>1031</v>
      </c>
      <c r="K849" s="8" t="s">
        <v>1006</v>
      </c>
      <c r="L849" s="8" t="s">
        <v>1007</v>
      </c>
      <c r="M849" s="8" t="s">
        <v>2933</v>
      </c>
      <c r="N849" s="8" t="s">
        <v>2937</v>
      </c>
      <c r="O849" s="1" t="s">
        <v>2934</v>
      </c>
      <c r="P849">
        <v>30</v>
      </c>
      <c r="Q849">
        <v>30</v>
      </c>
      <c r="R849">
        <v>0</v>
      </c>
      <c r="S849">
        <f t="shared" si="125"/>
        <v>30</v>
      </c>
      <c r="T849" s="1" t="s">
        <v>2935</v>
      </c>
      <c r="U849" s="1" t="s">
        <v>2932</v>
      </c>
      <c r="V849" s="3">
        <f t="shared" si="126"/>
        <v>40000</v>
      </c>
      <c r="W849" s="3">
        <f t="shared" si="127"/>
        <v>16000</v>
      </c>
      <c r="X849" s="3">
        <f t="shared" si="119"/>
        <v>1250</v>
      </c>
      <c r="Y849" s="3">
        <f t="shared" si="120"/>
        <v>1600</v>
      </c>
      <c r="Z849" s="3">
        <f t="shared" si="121"/>
        <v>1800</v>
      </c>
      <c r="AA849" s="3">
        <v>0</v>
      </c>
      <c r="AB849" s="3">
        <f>ROUND(U849 - (V849+W849+X849+Y849) - (U849/Q849 * 2),0)</f>
        <v>34483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f>SUM(V849+W849+X849+Y849+AB849)</f>
        <v>93333</v>
      </c>
      <c r="AK849" s="3">
        <f>SUM(AJ849-AA849)</f>
        <v>93333</v>
      </c>
      <c r="AL849" s="3">
        <f>IF(V849&lt;=15000,V849*12%,1800)</f>
        <v>1800</v>
      </c>
      <c r="AM849" s="3">
        <v>0</v>
      </c>
      <c r="AN849" s="3">
        <f t="shared" si="122"/>
        <v>1800</v>
      </c>
      <c r="AO849" s="12">
        <v>200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3">
        <f t="shared" si="124"/>
        <v>200</v>
      </c>
      <c r="AV849" s="3">
        <f>SUM(AJ849 - AN849 - AU849)</f>
        <v>91333</v>
      </c>
      <c r="AW849" s="11">
        <v>0</v>
      </c>
      <c r="AX849" s="11">
        <v>0</v>
      </c>
      <c r="AY849" s="11">
        <v>0</v>
      </c>
      <c r="AZ849" s="11">
        <v>0</v>
      </c>
      <c r="BA849" s="3">
        <f t="shared" si="123"/>
        <v>91333</v>
      </c>
    </row>
    <row r="850" spans="1:53" x14ac:dyDescent="0.25">
      <c r="A850" s="1" t="s">
        <v>848</v>
      </c>
      <c r="B850" s="9" t="s">
        <v>2655</v>
      </c>
      <c r="C850" s="9" t="s">
        <v>2656</v>
      </c>
      <c r="D850" s="9" t="s">
        <v>2657</v>
      </c>
      <c r="E850" s="9" t="s">
        <v>1008</v>
      </c>
      <c r="F850" s="10">
        <v>45887</v>
      </c>
      <c r="G850" s="9" t="s">
        <v>1019</v>
      </c>
      <c r="I850" s="9" t="s">
        <v>1020</v>
      </c>
      <c r="J850" s="9" t="s">
        <v>1048</v>
      </c>
      <c r="K850" s="8" t="s">
        <v>1006</v>
      </c>
      <c r="L850" s="8" t="s">
        <v>1007</v>
      </c>
      <c r="M850" s="8" t="s">
        <v>2933</v>
      </c>
      <c r="N850" s="8" t="s">
        <v>2937</v>
      </c>
      <c r="O850" s="1" t="s">
        <v>2934</v>
      </c>
      <c r="P850">
        <v>30</v>
      </c>
      <c r="Q850">
        <v>30</v>
      </c>
      <c r="R850">
        <v>0</v>
      </c>
      <c r="S850">
        <f t="shared" si="125"/>
        <v>30</v>
      </c>
      <c r="T850" s="1" t="s">
        <v>2935</v>
      </c>
      <c r="U850" s="1" t="s">
        <v>2932</v>
      </c>
      <c r="V850" s="3">
        <f t="shared" si="126"/>
        <v>40000</v>
      </c>
      <c r="W850" s="3">
        <f t="shared" si="127"/>
        <v>16000</v>
      </c>
      <c r="X850" s="3">
        <f t="shared" si="119"/>
        <v>1250</v>
      </c>
      <c r="Y850" s="3">
        <f t="shared" si="120"/>
        <v>1600</v>
      </c>
      <c r="Z850" s="3">
        <f t="shared" si="121"/>
        <v>1800</v>
      </c>
      <c r="AA850" s="3">
        <v>0</v>
      </c>
      <c r="AB850" s="3">
        <f>ROUND(U850 - (V850+W850+X850+Y850) - (U850/Q850 * 2),0)</f>
        <v>34483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f>SUM(V850+W850+X850+Y850+AB850)</f>
        <v>93333</v>
      </c>
      <c r="AK850" s="3">
        <f>SUM(AJ850-AA850)</f>
        <v>93333</v>
      </c>
      <c r="AL850" s="3">
        <f>IF(V850&lt;=15000,V850*12%,1800)</f>
        <v>1800</v>
      </c>
      <c r="AM850" s="3">
        <v>0</v>
      </c>
      <c r="AN850" s="3">
        <f t="shared" si="122"/>
        <v>1800</v>
      </c>
      <c r="AO850" s="12">
        <v>200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3">
        <f t="shared" si="124"/>
        <v>200</v>
      </c>
      <c r="AV850" s="3">
        <f>SUM(AJ850 - AN850 - AU850)</f>
        <v>91333</v>
      </c>
      <c r="AW850" s="11">
        <v>0</v>
      </c>
      <c r="AX850" s="11">
        <v>0</v>
      </c>
      <c r="AY850" s="11">
        <v>0</v>
      </c>
      <c r="AZ850" s="11">
        <v>0</v>
      </c>
      <c r="BA850" s="3">
        <f t="shared" si="123"/>
        <v>91333</v>
      </c>
    </row>
    <row r="851" spans="1:53" x14ac:dyDescent="0.25">
      <c r="A851" s="1" t="s">
        <v>849</v>
      </c>
      <c r="B851" s="9" t="s">
        <v>2653</v>
      </c>
      <c r="C851" s="9" t="s">
        <v>1063</v>
      </c>
      <c r="D851" s="9" t="s">
        <v>2654</v>
      </c>
      <c r="E851" s="9" t="s">
        <v>1008</v>
      </c>
      <c r="F851" s="10">
        <v>45887</v>
      </c>
      <c r="G851" s="9" t="s">
        <v>1013</v>
      </c>
      <c r="I851" s="9" t="s">
        <v>1020</v>
      </c>
      <c r="J851" s="9" t="s">
        <v>1015</v>
      </c>
      <c r="K851" s="8" t="s">
        <v>1006</v>
      </c>
      <c r="L851" s="8" t="s">
        <v>1007</v>
      </c>
      <c r="M851" s="8" t="s">
        <v>2933</v>
      </c>
      <c r="N851" s="8" t="s">
        <v>2937</v>
      </c>
      <c r="O851" s="1" t="s">
        <v>2934</v>
      </c>
      <c r="P851">
        <v>30</v>
      </c>
      <c r="Q851">
        <v>30</v>
      </c>
      <c r="R851">
        <v>0</v>
      </c>
      <c r="S851">
        <f t="shared" si="125"/>
        <v>30</v>
      </c>
      <c r="T851" s="1" t="s">
        <v>2935</v>
      </c>
      <c r="U851" s="1" t="s">
        <v>2932</v>
      </c>
      <c r="V851" s="3">
        <f t="shared" si="126"/>
        <v>40000</v>
      </c>
      <c r="W851" s="3">
        <f t="shared" si="127"/>
        <v>16000</v>
      </c>
      <c r="X851" s="3">
        <f t="shared" si="119"/>
        <v>1250</v>
      </c>
      <c r="Y851" s="3">
        <f t="shared" si="120"/>
        <v>1600</v>
      </c>
      <c r="Z851" s="3">
        <f t="shared" si="121"/>
        <v>1800</v>
      </c>
      <c r="AA851" s="3">
        <v>0</v>
      </c>
      <c r="AB851" s="3">
        <f>ROUND(U851 - (V851+W851+X851+Y851) - (U851/Q851 * 2),0)</f>
        <v>34483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f>SUM(V851+W851+X851+Y851+AB851)</f>
        <v>93333</v>
      </c>
      <c r="AK851" s="3">
        <f>SUM(AJ851-AA851)</f>
        <v>93333</v>
      </c>
      <c r="AL851" s="3">
        <f>IF(V851&lt;=15000,V851*12%,1800)</f>
        <v>1800</v>
      </c>
      <c r="AM851" s="3">
        <v>0</v>
      </c>
      <c r="AN851" s="3">
        <f t="shared" si="122"/>
        <v>1800</v>
      </c>
      <c r="AO851" s="12">
        <v>200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3">
        <f t="shared" si="124"/>
        <v>200</v>
      </c>
      <c r="AV851" s="3">
        <f>SUM(AJ851 - AN851 - AU851)</f>
        <v>91333</v>
      </c>
      <c r="AW851" s="11">
        <v>0</v>
      </c>
      <c r="AX851" s="11">
        <v>0</v>
      </c>
      <c r="AY851" s="11">
        <v>0</v>
      </c>
      <c r="AZ851" s="11">
        <v>0</v>
      </c>
      <c r="BA851" s="3">
        <f t="shared" si="123"/>
        <v>91333</v>
      </c>
    </row>
    <row r="852" spans="1:53" x14ac:dyDescent="0.25">
      <c r="A852" s="1" t="s">
        <v>850</v>
      </c>
      <c r="B852" s="9" t="s">
        <v>2651</v>
      </c>
      <c r="C852" s="9" t="s">
        <v>1063</v>
      </c>
      <c r="D852" s="9" t="s">
        <v>2652</v>
      </c>
      <c r="E852" s="9" t="s">
        <v>1008</v>
      </c>
      <c r="F852" s="10">
        <v>45887</v>
      </c>
      <c r="G852" s="9" t="s">
        <v>1013</v>
      </c>
      <c r="I852" s="9" t="s">
        <v>1020</v>
      </c>
      <c r="J852" s="9" t="s">
        <v>1015</v>
      </c>
      <c r="K852" s="8" t="s">
        <v>1006</v>
      </c>
      <c r="L852" s="8" t="s">
        <v>1007</v>
      </c>
      <c r="M852" s="8" t="s">
        <v>2933</v>
      </c>
      <c r="N852" s="8" t="s">
        <v>2937</v>
      </c>
      <c r="O852" s="1" t="s">
        <v>2934</v>
      </c>
      <c r="P852">
        <v>30</v>
      </c>
      <c r="Q852">
        <v>30</v>
      </c>
      <c r="R852">
        <v>0</v>
      </c>
      <c r="S852">
        <f t="shared" si="125"/>
        <v>30</v>
      </c>
      <c r="T852" s="1" t="s">
        <v>2935</v>
      </c>
      <c r="U852" s="1" t="s">
        <v>2932</v>
      </c>
      <c r="V852" s="3">
        <f t="shared" si="126"/>
        <v>40000</v>
      </c>
      <c r="W852" s="3">
        <f t="shared" si="127"/>
        <v>16000</v>
      </c>
      <c r="X852" s="3">
        <f t="shared" si="119"/>
        <v>1250</v>
      </c>
      <c r="Y852" s="3">
        <f t="shared" si="120"/>
        <v>1600</v>
      </c>
      <c r="Z852" s="3">
        <f t="shared" si="121"/>
        <v>1800</v>
      </c>
      <c r="AA852" s="3">
        <v>0</v>
      </c>
      <c r="AB852" s="3">
        <f>ROUND(U852 - (V852+W852+X852+Y852) - (U852/Q852 * 2),0)</f>
        <v>34483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f>SUM(V852+W852+X852+Y852+AB852)</f>
        <v>93333</v>
      </c>
      <c r="AK852" s="3">
        <f>SUM(AJ852-AA852)</f>
        <v>93333</v>
      </c>
      <c r="AL852" s="3">
        <f>IF(V852&lt;=15000,V852*12%,1800)</f>
        <v>1800</v>
      </c>
      <c r="AM852" s="3">
        <v>0</v>
      </c>
      <c r="AN852" s="3">
        <f t="shared" si="122"/>
        <v>1800</v>
      </c>
      <c r="AO852" s="12">
        <v>200</v>
      </c>
      <c r="AP852" s="12">
        <v>0</v>
      </c>
      <c r="AQ852" s="12">
        <v>0</v>
      </c>
      <c r="AR852" s="12">
        <v>0</v>
      </c>
      <c r="AS852" s="12">
        <v>0</v>
      </c>
      <c r="AT852" s="12">
        <v>0</v>
      </c>
      <c r="AU852" s="3">
        <f t="shared" si="124"/>
        <v>200</v>
      </c>
      <c r="AV852" s="3">
        <f>SUM(AJ852 - AN852 - AU852)</f>
        <v>91333</v>
      </c>
      <c r="AW852" s="11">
        <v>0</v>
      </c>
      <c r="AX852" s="11">
        <v>0</v>
      </c>
      <c r="AY852" s="11">
        <v>0</v>
      </c>
      <c r="AZ852" s="11">
        <v>0</v>
      </c>
      <c r="BA852" s="3">
        <f t="shared" si="123"/>
        <v>91333</v>
      </c>
    </row>
    <row r="853" spans="1:53" x14ac:dyDescent="0.25">
      <c r="A853" s="1" t="s">
        <v>851</v>
      </c>
      <c r="B853" s="9" t="s">
        <v>2649</v>
      </c>
      <c r="C853" s="9" t="s">
        <v>1106</v>
      </c>
      <c r="D853" s="9" t="s">
        <v>2650</v>
      </c>
      <c r="E853" s="9" t="s">
        <v>1008</v>
      </c>
      <c r="F853" s="10">
        <v>45901</v>
      </c>
      <c r="G853" s="9" t="s">
        <v>1019</v>
      </c>
      <c r="I853" s="9" t="s">
        <v>1042</v>
      </c>
      <c r="J853" s="9" t="s">
        <v>1048</v>
      </c>
      <c r="K853" s="8" t="s">
        <v>1006</v>
      </c>
      <c r="L853" s="8" t="s">
        <v>1007</v>
      </c>
      <c r="M853" s="8" t="s">
        <v>2933</v>
      </c>
      <c r="N853" s="8" t="s">
        <v>2937</v>
      </c>
      <c r="O853" s="1" t="s">
        <v>2934</v>
      </c>
      <c r="P853">
        <v>30</v>
      </c>
      <c r="Q853">
        <v>30</v>
      </c>
      <c r="R853">
        <v>0</v>
      </c>
      <c r="S853">
        <f t="shared" si="125"/>
        <v>30</v>
      </c>
      <c r="T853" s="1" t="s">
        <v>2935</v>
      </c>
      <c r="U853" s="1" t="s">
        <v>2932</v>
      </c>
      <c r="V853" s="3">
        <f t="shared" si="126"/>
        <v>40000</v>
      </c>
      <c r="W853" s="3">
        <f t="shared" si="127"/>
        <v>16000</v>
      </c>
      <c r="X853" s="3">
        <f t="shared" si="119"/>
        <v>1250</v>
      </c>
      <c r="Y853" s="3">
        <f t="shared" si="120"/>
        <v>1600</v>
      </c>
      <c r="Z853" s="3">
        <f t="shared" si="121"/>
        <v>1800</v>
      </c>
      <c r="AA853" s="3">
        <v>0</v>
      </c>
      <c r="AB853" s="3">
        <f>ROUND(U853 - (V853+W853+X853+Y853) - (U853/Q853 * 2),0)</f>
        <v>34483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f>SUM(V853+W853+X853+Y853+AB853)</f>
        <v>93333</v>
      </c>
      <c r="AK853" s="3">
        <f>SUM(AJ853-AA853)</f>
        <v>93333</v>
      </c>
      <c r="AL853" s="3">
        <f>IF(V853&lt;=15000,V853*12%,1800)</f>
        <v>1800</v>
      </c>
      <c r="AM853" s="3">
        <v>0</v>
      </c>
      <c r="AN853" s="3">
        <f t="shared" si="122"/>
        <v>1800</v>
      </c>
      <c r="AO853" s="12">
        <v>200</v>
      </c>
      <c r="AP853" s="12">
        <v>0</v>
      </c>
      <c r="AQ853" s="12">
        <v>0</v>
      </c>
      <c r="AR853" s="12">
        <v>0</v>
      </c>
      <c r="AS853" s="12">
        <v>0</v>
      </c>
      <c r="AT853" s="12">
        <v>0</v>
      </c>
      <c r="AU853" s="3">
        <f t="shared" si="124"/>
        <v>200</v>
      </c>
      <c r="AV853" s="3">
        <f>SUM(AJ853 - AN853 - AU853)</f>
        <v>91333</v>
      </c>
      <c r="AW853" s="11">
        <v>0</v>
      </c>
      <c r="AX853" s="11">
        <v>0</v>
      </c>
      <c r="AY853" s="11">
        <v>0</v>
      </c>
      <c r="AZ853" s="11">
        <v>0</v>
      </c>
      <c r="BA853" s="3">
        <f t="shared" si="123"/>
        <v>91333</v>
      </c>
    </row>
    <row r="854" spans="1:53" x14ac:dyDescent="0.25">
      <c r="A854" s="1" t="s">
        <v>852</v>
      </c>
      <c r="B854" s="9" t="s">
        <v>2648</v>
      </c>
      <c r="C854" s="9" t="s">
        <v>1115</v>
      </c>
      <c r="D854" s="9">
        <v>0</v>
      </c>
      <c r="E854" s="9" t="s">
        <v>1008</v>
      </c>
      <c r="F854" s="10">
        <v>45901</v>
      </c>
      <c r="G854" s="9" t="s">
        <v>1019</v>
      </c>
      <c r="I854" s="9" t="s">
        <v>1035</v>
      </c>
      <c r="J854" s="9" t="s">
        <v>1048</v>
      </c>
      <c r="K854" s="8" t="s">
        <v>1006</v>
      </c>
      <c r="L854" s="8" t="s">
        <v>1007</v>
      </c>
      <c r="M854" s="8" t="s">
        <v>2933</v>
      </c>
      <c r="N854" s="8" t="s">
        <v>2937</v>
      </c>
      <c r="O854" s="1" t="s">
        <v>2934</v>
      </c>
      <c r="P854">
        <v>30</v>
      </c>
      <c r="Q854">
        <v>30</v>
      </c>
      <c r="R854">
        <v>0</v>
      </c>
      <c r="S854">
        <f t="shared" si="125"/>
        <v>30</v>
      </c>
      <c r="T854" s="1" t="s">
        <v>2935</v>
      </c>
      <c r="U854" s="1" t="s">
        <v>2932</v>
      </c>
      <c r="V854" s="3">
        <f t="shared" si="126"/>
        <v>40000</v>
      </c>
      <c r="W854" s="3">
        <f t="shared" si="127"/>
        <v>16000</v>
      </c>
      <c r="X854" s="3">
        <f t="shared" si="119"/>
        <v>1250</v>
      </c>
      <c r="Y854" s="3">
        <f t="shared" si="120"/>
        <v>1600</v>
      </c>
      <c r="Z854" s="3">
        <f t="shared" si="121"/>
        <v>1800</v>
      </c>
      <c r="AA854" s="3">
        <v>0</v>
      </c>
      <c r="AB854" s="3">
        <f>ROUND(U854 - (V854+W854+X854+Y854) - (U854/Q854 * 2),0)</f>
        <v>34483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f>SUM(V854+W854+X854+Y854+AB854)</f>
        <v>93333</v>
      </c>
      <c r="AK854" s="3">
        <f>SUM(AJ854-AA854)</f>
        <v>93333</v>
      </c>
      <c r="AL854" s="3">
        <f>IF(V854&lt;=15000,V854*12%,1800)</f>
        <v>1800</v>
      </c>
      <c r="AM854" s="3">
        <v>0</v>
      </c>
      <c r="AN854" s="3">
        <f t="shared" si="122"/>
        <v>1800</v>
      </c>
      <c r="AO854" s="12">
        <v>200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3">
        <f t="shared" si="124"/>
        <v>200</v>
      </c>
      <c r="AV854" s="3">
        <f>SUM(AJ854 - AN854 - AU854)</f>
        <v>91333</v>
      </c>
      <c r="AW854" s="11">
        <v>0</v>
      </c>
      <c r="AX854" s="11">
        <v>0</v>
      </c>
      <c r="AY854" s="11">
        <v>0</v>
      </c>
      <c r="AZ854" s="11">
        <v>0</v>
      </c>
      <c r="BA854" s="3">
        <f t="shared" si="123"/>
        <v>91333</v>
      </c>
    </row>
    <row r="855" spans="1:53" x14ac:dyDescent="0.25">
      <c r="A855" s="1" t="s">
        <v>853</v>
      </c>
      <c r="B855" s="9" t="s">
        <v>2646</v>
      </c>
      <c r="C855" s="9" t="s">
        <v>1169</v>
      </c>
      <c r="D855" s="9" t="s">
        <v>2647</v>
      </c>
      <c r="E855" s="9" t="s">
        <v>1008</v>
      </c>
      <c r="F855" s="10">
        <v>45889</v>
      </c>
      <c r="G855" s="9" t="s">
        <v>1019</v>
      </c>
      <c r="I855" s="9" t="s">
        <v>1020</v>
      </c>
      <c r="J855" s="9" t="s">
        <v>1171</v>
      </c>
      <c r="K855" s="8" t="s">
        <v>1006</v>
      </c>
      <c r="L855" s="8" t="s">
        <v>1007</v>
      </c>
      <c r="M855" s="8" t="s">
        <v>2933</v>
      </c>
      <c r="N855" s="8" t="s">
        <v>2937</v>
      </c>
      <c r="O855" s="1" t="s">
        <v>2934</v>
      </c>
      <c r="P855">
        <v>30</v>
      </c>
      <c r="Q855">
        <v>30</v>
      </c>
      <c r="R855">
        <v>0</v>
      </c>
      <c r="S855">
        <f t="shared" si="125"/>
        <v>30</v>
      </c>
      <c r="T855" s="1" t="s">
        <v>2935</v>
      </c>
      <c r="U855" s="1" t="s">
        <v>2932</v>
      </c>
      <c r="V855" s="3">
        <f t="shared" si="126"/>
        <v>40000</v>
      </c>
      <c r="W855" s="3">
        <f t="shared" si="127"/>
        <v>16000</v>
      </c>
      <c r="X855" s="3">
        <f t="shared" si="119"/>
        <v>1250</v>
      </c>
      <c r="Y855" s="3">
        <f t="shared" si="120"/>
        <v>1600</v>
      </c>
      <c r="Z855" s="3">
        <f t="shared" si="121"/>
        <v>1800</v>
      </c>
      <c r="AA855" s="3">
        <v>0</v>
      </c>
      <c r="AB855" s="3">
        <f>ROUND(U855 - (V855+W855+X855+Y855) - (U855/Q855 * 2),0)</f>
        <v>34483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f>SUM(V855+W855+X855+Y855+AB855)</f>
        <v>93333</v>
      </c>
      <c r="AK855" s="3">
        <f>SUM(AJ855-AA855)</f>
        <v>93333</v>
      </c>
      <c r="AL855" s="3">
        <f>IF(V855&lt;=15000,V855*12%,1800)</f>
        <v>1800</v>
      </c>
      <c r="AM855" s="3">
        <v>0</v>
      </c>
      <c r="AN855" s="3">
        <f t="shared" si="122"/>
        <v>1800</v>
      </c>
      <c r="AO855" s="12">
        <v>200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3">
        <f t="shared" si="124"/>
        <v>200</v>
      </c>
      <c r="AV855" s="3">
        <f>SUM(AJ855 - AN855 - AU855)</f>
        <v>91333</v>
      </c>
      <c r="AW855" s="11">
        <v>0</v>
      </c>
      <c r="AX855" s="11">
        <v>0</v>
      </c>
      <c r="AY855" s="11">
        <v>0</v>
      </c>
      <c r="AZ855" s="11">
        <v>0</v>
      </c>
      <c r="BA855" s="3">
        <f t="shared" si="123"/>
        <v>91333</v>
      </c>
    </row>
    <row r="856" spans="1:53" x14ac:dyDescent="0.25">
      <c r="A856" s="1" t="s">
        <v>854</v>
      </c>
      <c r="B856" s="9" t="s">
        <v>1279</v>
      </c>
      <c r="C856" s="9" t="s">
        <v>1063</v>
      </c>
      <c r="D856" s="9" t="s">
        <v>2645</v>
      </c>
      <c r="E856" s="9" t="s">
        <v>1008</v>
      </c>
      <c r="F856" s="10">
        <v>45896</v>
      </c>
      <c r="G856" s="9" t="s">
        <v>1019</v>
      </c>
      <c r="I856" s="9" t="s">
        <v>1014</v>
      </c>
      <c r="J856" s="9" t="s">
        <v>1015</v>
      </c>
      <c r="K856" s="8" t="s">
        <v>1006</v>
      </c>
      <c r="L856" s="8" t="s">
        <v>1007</v>
      </c>
      <c r="M856" s="8" t="s">
        <v>2933</v>
      </c>
      <c r="N856" s="8" t="s">
        <v>2937</v>
      </c>
      <c r="O856" s="1" t="s">
        <v>2934</v>
      </c>
      <c r="P856">
        <v>30</v>
      </c>
      <c r="Q856">
        <v>30</v>
      </c>
      <c r="R856">
        <v>0</v>
      </c>
      <c r="S856">
        <f t="shared" si="125"/>
        <v>30</v>
      </c>
      <c r="T856" s="1" t="s">
        <v>2935</v>
      </c>
      <c r="U856" s="1" t="s">
        <v>2932</v>
      </c>
      <c r="V856" s="3">
        <f t="shared" si="126"/>
        <v>40000</v>
      </c>
      <c r="W856" s="3">
        <f t="shared" si="127"/>
        <v>16000</v>
      </c>
      <c r="X856" s="3">
        <f t="shared" si="119"/>
        <v>1250</v>
      </c>
      <c r="Y856" s="3">
        <f t="shared" si="120"/>
        <v>1600</v>
      </c>
      <c r="Z856" s="3">
        <f t="shared" si="121"/>
        <v>1800</v>
      </c>
      <c r="AA856" s="3">
        <v>0</v>
      </c>
      <c r="AB856" s="3">
        <f>ROUND(U856 - (V856+W856+X856+Y856) - (U856/Q856 * 2),0)</f>
        <v>34483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f>SUM(V856+W856+X856+Y856+AB856)</f>
        <v>93333</v>
      </c>
      <c r="AK856" s="3">
        <f>SUM(AJ856-AA856)</f>
        <v>93333</v>
      </c>
      <c r="AL856" s="3">
        <f>IF(V856&lt;=15000,V856*12%,1800)</f>
        <v>1800</v>
      </c>
      <c r="AM856" s="3">
        <v>0</v>
      </c>
      <c r="AN856" s="3">
        <f t="shared" si="122"/>
        <v>1800</v>
      </c>
      <c r="AO856" s="12">
        <v>200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3">
        <f t="shared" si="124"/>
        <v>200</v>
      </c>
      <c r="AV856" s="3">
        <f>SUM(AJ856 - AN856 - AU856)</f>
        <v>91333</v>
      </c>
      <c r="AW856" s="11">
        <v>0</v>
      </c>
      <c r="AX856" s="11">
        <v>0</v>
      </c>
      <c r="AY856" s="11">
        <v>0</v>
      </c>
      <c r="AZ856" s="11">
        <v>0</v>
      </c>
      <c r="BA856" s="3">
        <f t="shared" si="123"/>
        <v>91333</v>
      </c>
    </row>
    <row r="857" spans="1:53" x14ac:dyDescent="0.25">
      <c r="A857" s="1" t="s">
        <v>855</v>
      </c>
      <c r="B857" s="9" t="s">
        <v>1256</v>
      </c>
      <c r="C857" s="9" t="s">
        <v>1010</v>
      </c>
      <c r="D857" s="9" t="s">
        <v>2644</v>
      </c>
      <c r="E857" s="9" t="s">
        <v>1008</v>
      </c>
      <c r="F857" s="10">
        <v>45896</v>
      </c>
      <c r="G857" s="9" t="s">
        <v>1013</v>
      </c>
      <c r="I857" s="9" t="s">
        <v>1014</v>
      </c>
      <c r="J857" s="9" t="s">
        <v>1015</v>
      </c>
      <c r="K857" s="8" t="s">
        <v>1006</v>
      </c>
      <c r="L857" s="8" t="s">
        <v>1007</v>
      </c>
      <c r="M857" s="8" t="s">
        <v>2933</v>
      </c>
      <c r="N857" s="8" t="s">
        <v>2937</v>
      </c>
      <c r="O857" s="1" t="s">
        <v>2934</v>
      </c>
      <c r="P857">
        <v>30</v>
      </c>
      <c r="Q857">
        <v>30</v>
      </c>
      <c r="R857">
        <v>0</v>
      </c>
      <c r="S857">
        <f t="shared" si="125"/>
        <v>30</v>
      </c>
      <c r="T857" s="1" t="s">
        <v>2935</v>
      </c>
      <c r="U857" s="1" t="s">
        <v>2932</v>
      </c>
      <c r="V857" s="3">
        <f t="shared" si="126"/>
        <v>40000</v>
      </c>
      <c r="W857" s="3">
        <f t="shared" si="127"/>
        <v>16000</v>
      </c>
      <c r="X857" s="3">
        <f t="shared" si="119"/>
        <v>1250</v>
      </c>
      <c r="Y857" s="3">
        <f t="shared" si="120"/>
        <v>1600</v>
      </c>
      <c r="Z857" s="3">
        <f t="shared" si="121"/>
        <v>1800</v>
      </c>
      <c r="AA857" s="3">
        <v>0</v>
      </c>
      <c r="AB857" s="3">
        <f>ROUND(U857 - (V857+W857+X857+Y857) - (U857/Q857 * 2),0)</f>
        <v>34483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f>SUM(V857+W857+X857+Y857+AB857)</f>
        <v>93333</v>
      </c>
      <c r="AK857" s="3">
        <f>SUM(AJ857-AA857)</f>
        <v>93333</v>
      </c>
      <c r="AL857" s="3">
        <f>IF(V857&lt;=15000,V857*12%,1800)</f>
        <v>1800</v>
      </c>
      <c r="AM857" s="3">
        <v>0</v>
      </c>
      <c r="AN857" s="3">
        <f t="shared" si="122"/>
        <v>1800</v>
      </c>
      <c r="AO857" s="12">
        <v>200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3">
        <f t="shared" si="124"/>
        <v>200</v>
      </c>
      <c r="AV857" s="3">
        <f>SUM(AJ857 - AN857 - AU857)</f>
        <v>91333</v>
      </c>
      <c r="AW857" s="11">
        <v>0</v>
      </c>
      <c r="AX857" s="11">
        <v>0</v>
      </c>
      <c r="AY857" s="11">
        <v>0</v>
      </c>
      <c r="AZ857" s="11">
        <v>0</v>
      </c>
      <c r="BA857" s="3">
        <f t="shared" si="123"/>
        <v>91333</v>
      </c>
    </row>
    <row r="858" spans="1:53" x14ac:dyDescent="0.25">
      <c r="A858" s="1" t="s">
        <v>856</v>
      </c>
      <c r="B858" s="9" t="s">
        <v>2642</v>
      </c>
      <c r="C858" s="9" t="s">
        <v>1063</v>
      </c>
      <c r="D858" s="9" t="s">
        <v>2643</v>
      </c>
      <c r="E858" s="9" t="s">
        <v>1008</v>
      </c>
      <c r="F858" s="10">
        <v>45896</v>
      </c>
      <c r="G858" s="9" t="s">
        <v>1013</v>
      </c>
      <c r="I858" s="9" t="s">
        <v>1014</v>
      </c>
      <c r="J858" s="9" t="s">
        <v>1015</v>
      </c>
      <c r="K858" s="8" t="s">
        <v>1006</v>
      </c>
      <c r="L858" s="8" t="s">
        <v>1007</v>
      </c>
      <c r="M858" s="8" t="s">
        <v>2933</v>
      </c>
      <c r="N858" s="8" t="s">
        <v>2937</v>
      </c>
      <c r="O858" s="1" t="s">
        <v>2934</v>
      </c>
      <c r="P858">
        <v>30</v>
      </c>
      <c r="Q858">
        <v>30</v>
      </c>
      <c r="R858">
        <v>0</v>
      </c>
      <c r="S858">
        <f t="shared" si="125"/>
        <v>30</v>
      </c>
      <c r="T858" s="1" t="s">
        <v>2935</v>
      </c>
      <c r="U858" s="1" t="s">
        <v>2932</v>
      </c>
      <c r="V858" s="3">
        <f t="shared" si="126"/>
        <v>40000</v>
      </c>
      <c r="W858" s="3">
        <f t="shared" si="127"/>
        <v>16000</v>
      </c>
      <c r="X858" s="3">
        <f t="shared" si="119"/>
        <v>1250</v>
      </c>
      <c r="Y858" s="3">
        <f t="shared" si="120"/>
        <v>1600</v>
      </c>
      <c r="Z858" s="3">
        <f t="shared" si="121"/>
        <v>1800</v>
      </c>
      <c r="AA858" s="3">
        <v>0</v>
      </c>
      <c r="AB858" s="3">
        <f>ROUND(U858 - (V858+W858+X858+Y858) - (U858/Q858 * 2),0)</f>
        <v>34483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f>SUM(V858+W858+X858+Y858+AB858)</f>
        <v>93333</v>
      </c>
      <c r="AK858" s="3">
        <f>SUM(AJ858-AA858)</f>
        <v>93333</v>
      </c>
      <c r="AL858" s="3">
        <f>IF(V858&lt;=15000,V858*12%,1800)</f>
        <v>1800</v>
      </c>
      <c r="AM858" s="3">
        <v>0</v>
      </c>
      <c r="AN858" s="3">
        <f t="shared" si="122"/>
        <v>1800</v>
      </c>
      <c r="AO858" s="12">
        <v>200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3">
        <f t="shared" si="124"/>
        <v>200</v>
      </c>
      <c r="AV858" s="3">
        <f>SUM(AJ858 - AN858 - AU858)</f>
        <v>91333</v>
      </c>
      <c r="AW858" s="11">
        <v>0</v>
      </c>
      <c r="AX858" s="11">
        <v>0</v>
      </c>
      <c r="AY858" s="11">
        <v>0</v>
      </c>
      <c r="AZ858" s="11">
        <v>0</v>
      </c>
      <c r="BA858" s="3">
        <f t="shared" si="123"/>
        <v>91333</v>
      </c>
    </row>
    <row r="859" spans="1:53" x14ac:dyDescent="0.25">
      <c r="A859" s="1" t="s">
        <v>857</v>
      </c>
      <c r="B859" s="9" t="s">
        <v>2641</v>
      </c>
      <c r="C859" s="9" t="s">
        <v>1026</v>
      </c>
      <c r="D859" s="9">
        <v>0</v>
      </c>
      <c r="E859" s="9" t="s">
        <v>1008</v>
      </c>
      <c r="F859" s="10">
        <v>45903</v>
      </c>
      <c r="G859" s="9" t="s">
        <v>1019</v>
      </c>
      <c r="I859" s="9" t="s">
        <v>1014</v>
      </c>
      <c r="J859" s="9" t="s">
        <v>1015</v>
      </c>
      <c r="K859" s="8" t="s">
        <v>1006</v>
      </c>
      <c r="L859" s="8" t="s">
        <v>1007</v>
      </c>
      <c r="M859" s="8" t="s">
        <v>2933</v>
      </c>
      <c r="N859" s="8" t="s">
        <v>2937</v>
      </c>
      <c r="O859" s="1" t="s">
        <v>2934</v>
      </c>
      <c r="P859">
        <v>30</v>
      </c>
      <c r="Q859">
        <v>30</v>
      </c>
      <c r="R859">
        <v>0</v>
      </c>
      <c r="S859">
        <f t="shared" si="125"/>
        <v>30</v>
      </c>
      <c r="T859" s="1" t="s">
        <v>2935</v>
      </c>
      <c r="U859" s="1" t="s">
        <v>2932</v>
      </c>
      <c r="V859" s="3">
        <f t="shared" si="126"/>
        <v>40000</v>
      </c>
      <c r="W859" s="3">
        <f t="shared" si="127"/>
        <v>16000</v>
      </c>
      <c r="X859" s="3">
        <f t="shared" si="119"/>
        <v>1250</v>
      </c>
      <c r="Y859" s="3">
        <f t="shared" si="120"/>
        <v>1600</v>
      </c>
      <c r="Z859" s="3">
        <f t="shared" si="121"/>
        <v>1800</v>
      </c>
      <c r="AA859" s="3">
        <v>0</v>
      </c>
      <c r="AB859" s="3">
        <f>ROUND(U859 - (V859+W859+X859+Y859) - (U859/Q859 * 2),0)</f>
        <v>34483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f>SUM(V859+W859+X859+Y859+AB859)</f>
        <v>93333</v>
      </c>
      <c r="AK859" s="3">
        <f>SUM(AJ859-AA859)</f>
        <v>93333</v>
      </c>
      <c r="AL859" s="3">
        <f>IF(V859&lt;=15000,V859*12%,1800)</f>
        <v>1800</v>
      </c>
      <c r="AM859" s="3">
        <v>0</v>
      </c>
      <c r="AN859" s="3">
        <f t="shared" si="122"/>
        <v>1800</v>
      </c>
      <c r="AO859" s="12">
        <v>200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3">
        <f t="shared" si="124"/>
        <v>200</v>
      </c>
      <c r="AV859" s="3">
        <f>SUM(AJ859 - AN859 - AU859)</f>
        <v>91333</v>
      </c>
      <c r="AW859" s="11">
        <v>0</v>
      </c>
      <c r="AX859" s="11">
        <v>0</v>
      </c>
      <c r="AY859" s="11">
        <v>0</v>
      </c>
      <c r="AZ859" s="11">
        <v>0</v>
      </c>
      <c r="BA859" s="3">
        <f t="shared" si="123"/>
        <v>91333</v>
      </c>
    </row>
    <row r="860" spans="1:53" x14ac:dyDescent="0.25">
      <c r="A860" s="1" t="s">
        <v>858</v>
      </c>
      <c r="B860" s="9" t="s">
        <v>2639</v>
      </c>
      <c r="C860" s="9" t="s">
        <v>1115</v>
      </c>
      <c r="D860" s="9" t="s">
        <v>2640</v>
      </c>
      <c r="E860" s="9" t="s">
        <v>1012</v>
      </c>
      <c r="F860" s="10">
        <v>45017</v>
      </c>
      <c r="G860" s="9" t="s">
        <v>1019</v>
      </c>
      <c r="I860" s="9" t="s">
        <v>1035</v>
      </c>
      <c r="J860" s="9" t="s">
        <v>1048</v>
      </c>
      <c r="K860" s="8" t="s">
        <v>1006</v>
      </c>
      <c r="L860" s="8" t="s">
        <v>1007</v>
      </c>
      <c r="M860" s="8" t="s">
        <v>2933</v>
      </c>
      <c r="N860" s="8" t="s">
        <v>2937</v>
      </c>
      <c r="O860" s="1" t="s">
        <v>2934</v>
      </c>
      <c r="P860">
        <v>30</v>
      </c>
      <c r="Q860">
        <v>30</v>
      </c>
      <c r="R860">
        <v>0</v>
      </c>
      <c r="S860">
        <f t="shared" si="125"/>
        <v>30</v>
      </c>
      <c r="T860" s="1" t="s">
        <v>2935</v>
      </c>
      <c r="U860" s="1" t="s">
        <v>2932</v>
      </c>
      <c r="V860" s="3">
        <f t="shared" si="126"/>
        <v>40000</v>
      </c>
      <c r="W860" s="3">
        <f t="shared" si="127"/>
        <v>16000</v>
      </c>
      <c r="X860" s="3">
        <f t="shared" si="119"/>
        <v>1250</v>
      </c>
      <c r="Y860" s="3">
        <f t="shared" si="120"/>
        <v>1600</v>
      </c>
      <c r="Z860" s="3">
        <f t="shared" si="121"/>
        <v>1800</v>
      </c>
      <c r="AA860" s="3">
        <v>0</v>
      </c>
      <c r="AB860" s="3">
        <f>ROUND(U860 - (V860+W860+X860+Y860) - (U860/Q860 * 2),0)</f>
        <v>34483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f>SUM(V860+W860+X860+Y860+AB860)</f>
        <v>93333</v>
      </c>
      <c r="AK860" s="3">
        <f>SUM(AJ860-AA860)</f>
        <v>93333</v>
      </c>
      <c r="AL860" s="3">
        <f>IF(V860&lt;=15000,V860*12%,1800)</f>
        <v>1800</v>
      </c>
      <c r="AM860" s="3">
        <v>0</v>
      </c>
      <c r="AN860" s="3">
        <f t="shared" si="122"/>
        <v>1800</v>
      </c>
      <c r="AO860" s="12">
        <v>200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3">
        <f t="shared" si="124"/>
        <v>200</v>
      </c>
      <c r="AV860" s="3">
        <f>SUM(AJ860 - AN860 - AU860)</f>
        <v>91333</v>
      </c>
      <c r="AW860" s="11">
        <v>0</v>
      </c>
      <c r="AX860" s="11">
        <v>0</v>
      </c>
      <c r="AY860" s="11">
        <v>0</v>
      </c>
      <c r="AZ860" s="11">
        <v>0</v>
      </c>
      <c r="BA860" s="3">
        <f t="shared" si="123"/>
        <v>91333</v>
      </c>
    </row>
    <row r="861" spans="1:53" x14ac:dyDescent="0.25">
      <c r="A861" s="1" t="s">
        <v>859</v>
      </c>
      <c r="B861" s="9" t="s">
        <v>2637</v>
      </c>
      <c r="C861" s="9" t="s">
        <v>1118</v>
      </c>
      <c r="D861" s="9" t="s">
        <v>2638</v>
      </c>
      <c r="E861" s="9" t="s">
        <v>1012</v>
      </c>
      <c r="F861" s="10">
        <v>44949</v>
      </c>
      <c r="G861" s="9" t="s">
        <v>1019</v>
      </c>
      <c r="I861" s="9" t="s">
        <v>1035</v>
      </c>
      <c r="J861" s="9" t="s">
        <v>1056</v>
      </c>
      <c r="K861" s="8" t="s">
        <v>1006</v>
      </c>
      <c r="L861" s="8" t="s">
        <v>1007</v>
      </c>
      <c r="M861" s="8" t="s">
        <v>2933</v>
      </c>
      <c r="N861" s="8" t="s">
        <v>2937</v>
      </c>
      <c r="O861" s="1" t="s">
        <v>2934</v>
      </c>
      <c r="P861">
        <v>30</v>
      </c>
      <c r="Q861">
        <v>30</v>
      </c>
      <c r="R861">
        <v>0</v>
      </c>
      <c r="S861">
        <f t="shared" si="125"/>
        <v>30</v>
      </c>
      <c r="T861" s="1" t="s">
        <v>2935</v>
      </c>
      <c r="U861" s="1" t="s">
        <v>2932</v>
      </c>
      <c r="V861" s="3">
        <f t="shared" si="126"/>
        <v>40000</v>
      </c>
      <c r="W861" s="3">
        <f t="shared" si="127"/>
        <v>16000</v>
      </c>
      <c r="X861" s="3">
        <f t="shared" si="119"/>
        <v>1250</v>
      </c>
      <c r="Y861" s="3">
        <f t="shared" si="120"/>
        <v>1600</v>
      </c>
      <c r="Z861" s="3">
        <f t="shared" si="121"/>
        <v>1800</v>
      </c>
      <c r="AA861" s="3">
        <v>0</v>
      </c>
      <c r="AB861" s="3">
        <f>ROUND(U861 - (V861+W861+X861+Y861) - (U861/Q861 * 2),0)</f>
        <v>34483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f>SUM(V861+W861+X861+Y861+AB861)</f>
        <v>93333</v>
      </c>
      <c r="AK861" s="3">
        <f>SUM(AJ861-AA861)</f>
        <v>93333</v>
      </c>
      <c r="AL861" s="3">
        <f>IF(V861&lt;=15000,V861*12%,1800)</f>
        <v>1800</v>
      </c>
      <c r="AM861" s="3">
        <v>0</v>
      </c>
      <c r="AN861" s="3">
        <f t="shared" si="122"/>
        <v>1800</v>
      </c>
      <c r="AO861" s="12">
        <v>200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3">
        <f t="shared" si="124"/>
        <v>200</v>
      </c>
      <c r="AV861" s="3">
        <f>SUM(AJ861 - AN861 - AU861)</f>
        <v>91333</v>
      </c>
      <c r="AW861" s="11">
        <v>0</v>
      </c>
      <c r="AX861" s="11">
        <v>0</v>
      </c>
      <c r="AY861" s="11">
        <v>0</v>
      </c>
      <c r="AZ861" s="11">
        <v>0</v>
      </c>
      <c r="BA861" s="3">
        <f t="shared" si="123"/>
        <v>91333</v>
      </c>
    </row>
    <row r="862" spans="1:53" x14ac:dyDescent="0.25">
      <c r="A862" s="1" t="s">
        <v>860</v>
      </c>
      <c r="B862" s="9" t="s">
        <v>1403</v>
      </c>
      <c r="C862" s="9" t="s">
        <v>1010</v>
      </c>
      <c r="D862" s="9" t="s">
        <v>2636</v>
      </c>
      <c r="E862" s="9" t="s">
        <v>1008</v>
      </c>
      <c r="F862" s="10">
        <v>45903</v>
      </c>
      <c r="G862" s="9" t="s">
        <v>1019</v>
      </c>
      <c r="I862" s="9" t="s">
        <v>1014</v>
      </c>
      <c r="J862" s="9" t="s">
        <v>1015</v>
      </c>
      <c r="K862" s="8" t="s">
        <v>1006</v>
      </c>
      <c r="L862" s="8" t="s">
        <v>1007</v>
      </c>
      <c r="M862" s="8" t="s">
        <v>2933</v>
      </c>
      <c r="N862" s="8" t="s">
        <v>2937</v>
      </c>
      <c r="O862" s="1" t="s">
        <v>2934</v>
      </c>
      <c r="P862">
        <v>30</v>
      </c>
      <c r="Q862">
        <v>30</v>
      </c>
      <c r="R862">
        <v>0</v>
      </c>
      <c r="S862">
        <f t="shared" si="125"/>
        <v>30</v>
      </c>
      <c r="T862" s="1" t="s">
        <v>2935</v>
      </c>
      <c r="U862" s="1" t="s">
        <v>2932</v>
      </c>
      <c r="V862" s="3">
        <f t="shared" si="126"/>
        <v>40000</v>
      </c>
      <c r="W862" s="3">
        <f t="shared" si="127"/>
        <v>16000</v>
      </c>
      <c r="X862" s="3">
        <f t="shared" si="119"/>
        <v>1250</v>
      </c>
      <c r="Y862" s="3">
        <f t="shared" si="120"/>
        <v>1600</v>
      </c>
      <c r="Z862" s="3">
        <f t="shared" si="121"/>
        <v>1800</v>
      </c>
      <c r="AA862" s="3">
        <v>0</v>
      </c>
      <c r="AB862" s="3">
        <f>ROUND(U862 - (V862+W862+X862+Y862) - (U862/Q862 * 2),0)</f>
        <v>34483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f>SUM(V862+W862+X862+Y862+AB862)</f>
        <v>93333</v>
      </c>
      <c r="AK862" s="3">
        <f>SUM(AJ862-AA862)</f>
        <v>93333</v>
      </c>
      <c r="AL862" s="3">
        <f>IF(V862&lt;=15000,V862*12%,1800)</f>
        <v>1800</v>
      </c>
      <c r="AM862" s="3">
        <v>0</v>
      </c>
      <c r="AN862" s="3">
        <f t="shared" si="122"/>
        <v>1800</v>
      </c>
      <c r="AO862" s="12">
        <v>200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3">
        <f t="shared" si="124"/>
        <v>200</v>
      </c>
      <c r="AV862" s="3">
        <f>SUM(AJ862 - AN862 - AU862)</f>
        <v>91333</v>
      </c>
      <c r="AW862" s="11">
        <v>0</v>
      </c>
      <c r="AX862" s="11">
        <v>0</v>
      </c>
      <c r="AY862" s="11">
        <v>0</v>
      </c>
      <c r="AZ862" s="11">
        <v>0</v>
      </c>
      <c r="BA862" s="3">
        <f t="shared" si="123"/>
        <v>91333</v>
      </c>
    </row>
    <row r="863" spans="1:53" x14ac:dyDescent="0.25">
      <c r="A863" s="1" t="s">
        <v>861</v>
      </c>
      <c r="B863" s="9" t="s">
        <v>2692</v>
      </c>
      <c r="C863" s="9" t="s">
        <v>1063</v>
      </c>
      <c r="D863" s="9">
        <v>0</v>
      </c>
      <c r="E863" s="9" t="s">
        <v>1008</v>
      </c>
      <c r="F863" s="10">
        <v>45903</v>
      </c>
      <c r="G863" s="9" t="s">
        <v>1013</v>
      </c>
      <c r="I863" s="9" t="s">
        <v>1014</v>
      </c>
      <c r="J863" s="9" t="s">
        <v>1015</v>
      </c>
      <c r="K863" s="8" t="s">
        <v>1006</v>
      </c>
      <c r="L863" s="8" t="s">
        <v>1007</v>
      </c>
      <c r="M863" s="8" t="s">
        <v>2933</v>
      </c>
      <c r="N863" s="8" t="s">
        <v>2937</v>
      </c>
      <c r="O863" s="1" t="s">
        <v>2934</v>
      </c>
      <c r="P863">
        <v>30</v>
      </c>
      <c r="Q863">
        <v>30</v>
      </c>
      <c r="R863">
        <v>0</v>
      </c>
      <c r="S863">
        <f t="shared" si="125"/>
        <v>30</v>
      </c>
      <c r="T863" s="1" t="s">
        <v>2935</v>
      </c>
      <c r="U863" s="1" t="s">
        <v>2932</v>
      </c>
      <c r="V863" s="3">
        <f t="shared" si="126"/>
        <v>40000</v>
      </c>
      <c r="W863" s="3">
        <f t="shared" si="127"/>
        <v>16000</v>
      </c>
      <c r="X863" s="3">
        <f t="shared" si="119"/>
        <v>1250</v>
      </c>
      <c r="Y863" s="3">
        <f t="shared" si="120"/>
        <v>1600</v>
      </c>
      <c r="Z863" s="3">
        <f t="shared" si="121"/>
        <v>1800</v>
      </c>
      <c r="AA863" s="3">
        <v>0</v>
      </c>
      <c r="AB863" s="3">
        <f>ROUND(U863 - (V863+W863+X863+Y863) - (U863/Q863 * 2),0)</f>
        <v>34483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f>SUM(V863+W863+X863+Y863+AB863)</f>
        <v>93333</v>
      </c>
      <c r="AK863" s="3">
        <f>SUM(AJ863-AA863)</f>
        <v>93333</v>
      </c>
      <c r="AL863" s="3">
        <f>IF(V863&lt;=15000,V863*12%,1800)</f>
        <v>1800</v>
      </c>
      <c r="AM863" s="3">
        <v>0</v>
      </c>
      <c r="AN863" s="3">
        <f t="shared" si="122"/>
        <v>1800</v>
      </c>
      <c r="AO863" s="12">
        <v>200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3">
        <f t="shared" si="124"/>
        <v>200</v>
      </c>
      <c r="AV863" s="3">
        <f>SUM(AJ863 - AN863 - AU863)</f>
        <v>91333</v>
      </c>
      <c r="AW863" s="11">
        <v>0</v>
      </c>
      <c r="AX863" s="11">
        <v>0</v>
      </c>
      <c r="AY863" s="11">
        <v>0</v>
      </c>
      <c r="AZ863" s="11">
        <v>0</v>
      </c>
      <c r="BA863" s="3">
        <f t="shared" si="123"/>
        <v>91333</v>
      </c>
    </row>
    <row r="864" spans="1:53" x14ac:dyDescent="0.25">
      <c r="A864" s="1" t="s">
        <v>862</v>
      </c>
      <c r="B864" s="9" t="s">
        <v>1385</v>
      </c>
      <c r="C864" s="9" t="s">
        <v>1601</v>
      </c>
      <c r="D864" s="9" t="s">
        <v>2691</v>
      </c>
      <c r="E864" s="9" t="s">
        <v>1012</v>
      </c>
      <c r="F864" s="10">
        <v>41733</v>
      </c>
      <c r="G864" s="9" t="s">
        <v>1019</v>
      </c>
      <c r="I864" s="9" t="s">
        <v>1042</v>
      </c>
      <c r="J864" s="9" t="s">
        <v>1048</v>
      </c>
      <c r="K864" s="8" t="s">
        <v>1006</v>
      </c>
      <c r="L864" s="8" t="s">
        <v>1007</v>
      </c>
      <c r="M864" s="8" t="s">
        <v>2933</v>
      </c>
      <c r="N864" s="8" t="s">
        <v>2937</v>
      </c>
      <c r="O864" s="1" t="s">
        <v>2934</v>
      </c>
      <c r="P864">
        <v>30</v>
      </c>
      <c r="Q864">
        <v>30</v>
      </c>
      <c r="R864">
        <v>0</v>
      </c>
      <c r="S864">
        <f t="shared" si="125"/>
        <v>30</v>
      </c>
      <c r="T864" s="1" t="s">
        <v>2935</v>
      </c>
      <c r="U864" s="1" t="s">
        <v>2932</v>
      </c>
      <c r="V864" s="3">
        <f t="shared" si="126"/>
        <v>40000</v>
      </c>
      <c r="W864" s="3">
        <f t="shared" si="127"/>
        <v>16000</v>
      </c>
      <c r="X864" s="3">
        <f t="shared" si="119"/>
        <v>1250</v>
      </c>
      <c r="Y864" s="3">
        <f t="shared" si="120"/>
        <v>1600</v>
      </c>
      <c r="Z864" s="3">
        <f t="shared" si="121"/>
        <v>1800</v>
      </c>
      <c r="AA864" s="3">
        <v>0</v>
      </c>
      <c r="AB864" s="3">
        <f>ROUND(U864 - (V864+W864+X864+Y864) - (U864/Q864 * 2),0)</f>
        <v>34483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f>SUM(V864+W864+X864+Y864+AB864)</f>
        <v>93333</v>
      </c>
      <c r="AK864" s="3">
        <f>SUM(AJ864-AA864)</f>
        <v>93333</v>
      </c>
      <c r="AL864" s="3">
        <f>IF(V864&lt;=15000,V864*12%,1800)</f>
        <v>1800</v>
      </c>
      <c r="AM864" s="3">
        <v>0</v>
      </c>
      <c r="AN864" s="3">
        <f t="shared" si="122"/>
        <v>1800</v>
      </c>
      <c r="AO864" s="12">
        <v>200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3">
        <f t="shared" si="124"/>
        <v>200</v>
      </c>
      <c r="AV864" s="3">
        <f>SUM(AJ864 - AN864 - AU864)</f>
        <v>91333</v>
      </c>
      <c r="AW864" s="11">
        <v>0</v>
      </c>
      <c r="AX864" s="11">
        <v>0</v>
      </c>
      <c r="AY864" s="11">
        <v>0</v>
      </c>
      <c r="AZ864" s="11">
        <v>0</v>
      </c>
      <c r="BA864" s="3">
        <f t="shared" si="123"/>
        <v>91333</v>
      </c>
    </row>
    <row r="865" spans="1:53" x14ac:dyDescent="0.25">
      <c r="A865" s="1" t="s">
        <v>863</v>
      </c>
      <c r="B865" s="9" t="s">
        <v>2002</v>
      </c>
      <c r="C865" s="9" t="s">
        <v>1075</v>
      </c>
      <c r="D865" s="9" t="s">
        <v>2690</v>
      </c>
      <c r="E865" s="9" t="s">
        <v>1012</v>
      </c>
      <c r="F865" s="10">
        <v>42130</v>
      </c>
      <c r="G865" s="9" t="s">
        <v>1019</v>
      </c>
      <c r="I865" s="9" t="s">
        <v>1014</v>
      </c>
      <c r="J865" s="9" t="s">
        <v>1021</v>
      </c>
      <c r="K865" s="8" t="s">
        <v>1006</v>
      </c>
      <c r="L865" s="8" t="s">
        <v>1007</v>
      </c>
      <c r="M865" s="8" t="s">
        <v>2933</v>
      </c>
      <c r="N865" s="8" t="s">
        <v>2937</v>
      </c>
      <c r="O865" s="1" t="s">
        <v>2934</v>
      </c>
      <c r="P865">
        <v>30</v>
      </c>
      <c r="Q865">
        <v>30</v>
      </c>
      <c r="R865">
        <v>0</v>
      </c>
      <c r="S865">
        <f t="shared" si="125"/>
        <v>30</v>
      </c>
      <c r="T865" s="1" t="s">
        <v>2935</v>
      </c>
      <c r="U865" s="1" t="s">
        <v>2932</v>
      </c>
      <c r="V865" s="3">
        <f t="shared" si="126"/>
        <v>40000</v>
      </c>
      <c r="W865" s="3">
        <f t="shared" si="127"/>
        <v>16000</v>
      </c>
      <c r="X865" s="3">
        <f t="shared" si="119"/>
        <v>1250</v>
      </c>
      <c r="Y865" s="3">
        <f t="shared" si="120"/>
        <v>1600</v>
      </c>
      <c r="Z865" s="3">
        <f t="shared" si="121"/>
        <v>1800</v>
      </c>
      <c r="AA865" s="3">
        <v>0</v>
      </c>
      <c r="AB865" s="3">
        <f>ROUND(U865 - (V865+W865+X865+Y865) - (U865/Q865 * 2),0)</f>
        <v>34483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f>SUM(V865+W865+X865+Y865+AB865)</f>
        <v>93333</v>
      </c>
      <c r="AK865" s="3">
        <f>SUM(AJ865-AA865)</f>
        <v>93333</v>
      </c>
      <c r="AL865" s="3">
        <f>IF(V865&lt;=15000,V865*12%,1800)</f>
        <v>1800</v>
      </c>
      <c r="AM865" s="3">
        <v>0</v>
      </c>
      <c r="AN865" s="3">
        <f t="shared" si="122"/>
        <v>1800</v>
      </c>
      <c r="AO865" s="12">
        <v>200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3">
        <f t="shared" si="124"/>
        <v>200</v>
      </c>
      <c r="AV865" s="3">
        <f>SUM(AJ865 - AN865 - AU865)</f>
        <v>91333</v>
      </c>
      <c r="AW865" s="11">
        <v>0</v>
      </c>
      <c r="AX865" s="11">
        <v>0</v>
      </c>
      <c r="AY865" s="11">
        <v>0</v>
      </c>
      <c r="AZ865" s="11">
        <v>0</v>
      </c>
      <c r="BA865" s="3">
        <f t="shared" si="123"/>
        <v>91333</v>
      </c>
    </row>
    <row r="866" spans="1:53" x14ac:dyDescent="0.25">
      <c r="A866" s="1" t="s">
        <v>864</v>
      </c>
      <c r="B866" s="9" t="s">
        <v>2688</v>
      </c>
      <c r="C866" s="9" t="s">
        <v>1072</v>
      </c>
      <c r="D866" s="9" t="s">
        <v>2689</v>
      </c>
      <c r="E866" s="9" t="s">
        <v>1008</v>
      </c>
      <c r="F866" s="10">
        <v>41743</v>
      </c>
      <c r="G866" s="9" t="s">
        <v>1013</v>
      </c>
      <c r="I866" s="9" t="s">
        <v>1042</v>
      </c>
      <c r="J866" s="9" t="s">
        <v>1048</v>
      </c>
      <c r="K866" s="8" t="s">
        <v>1006</v>
      </c>
      <c r="L866" s="8" t="s">
        <v>1007</v>
      </c>
      <c r="M866" s="8" t="s">
        <v>2933</v>
      </c>
      <c r="N866" s="8" t="s">
        <v>2937</v>
      </c>
      <c r="O866" s="1" t="s">
        <v>2934</v>
      </c>
      <c r="P866">
        <v>30</v>
      </c>
      <c r="Q866">
        <v>30</v>
      </c>
      <c r="R866">
        <v>0</v>
      </c>
      <c r="S866">
        <f t="shared" si="125"/>
        <v>30</v>
      </c>
      <c r="T866" s="1" t="s">
        <v>2935</v>
      </c>
      <c r="U866" s="1" t="s">
        <v>2932</v>
      </c>
      <c r="V866" s="3">
        <f t="shared" si="126"/>
        <v>40000</v>
      </c>
      <c r="W866" s="3">
        <f t="shared" si="127"/>
        <v>16000</v>
      </c>
      <c r="X866" s="3">
        <f t="shared" si="119"/>
        <v>1250</v>
      </c>
      <c r="Y866" s="3">
        <f t="shared" si="120"/>
        <v>1600</v>
      </c>
      <c r="Z866" s="3">
        <f t="shared" si="121"/>
        <v>1800</v>
      </c>
      <c r="AA866" s="3">
        <v>0</v>
      </c>
      <c r="AB866" s="3">
        <f>ROUND(U866 - (V866+W866+X866+Y866) - (U866/Q866 * 2),0)</f>
        <v>34483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f>SUM(V866+W866+X866+Y866+AB866)</f>
        <v>93333</v>
      </c>
      <c r="AK866" s="3">
        <f>SUM(AJ866-AA866)</f>
        <v>93333</v>
      </c>
      <c r="AL866" s="3">
        <f>IF(V866&lt;=15000,V866*12%,1800)</f>
        <v>1800</v>
      </c>
      <c r="AM866" s="3">
        <v>0</v>
      </c>
      <c r="AN866" s="3">
        <f t="shared" si="122"/>
        <v>1800</v>
      </c>
      <c r="AO866" s="12">
        <v>200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3">
        <f t="shared" si="124"/>
        <v>200</v>
      </c>
      <c r="AV866" s="3">
        <f>SUM(AJ866 - AN866 - AU866)</f>
        <v>91333</v>
      </c>
      <c r="AW866" s="11">
        <v>0</v>
      </c>
      <c r="AX866" s="11">
        <v>0</v>
      </c>
      <c r="AY866" s="11">
        <v>0</v>
      </c>
      <c r="AZ866" s="11">
        <v>0</v>
      </c>
      <c r="BA866" s="3">
        <f t="shared" si="123"/>
        <v>91333</v>
      </c>
    </row>
    <row r="867" spans="1:53" x14ac:dyDescent="0.25">
      <c r="A867" s="1" t="s">
        <v>865</v>
      </c>
      <c r="B867" s="9" t="s">
        <v>2685</v>
      </c>
      <c r="C867" s="9" t="s">
        <v>2686</v>
      </c>
      <c r="D867" s="9" t="s">
        <v>2687</v>
      </c>
      <c r="E867" s="9" t="s">
        <v>1008</v>
      </c>
      <c r="F867" s="10">
        <v>40581</v>
      </c>
      <c r="G867" s="9" t="s">
        <v>1013</v>
      </c>
      <c r="I867" s="9" t="s">
        <v>1014</v>
      </c>
      <c r="J867" s="9" t="s">
        <v>1021</v>
      </c>
      <c r="K867" s="8" t="s">
        <v>1006</v>
      </c>
      <c r="L867" s="8" t="s">
        <v>1007</v>
      </c>
      <c r="M867" s="8" t="s">
        <v>2933</v>
      </c>
      <c r="N867" s="8" t="s">
        <v>2937</v>
      </c>
      <c r="O867" s="1" t="s">
        <v>2934</v>
      </c>
      <c r="P867">
        <v>30</v>
      </c>
      <c r="Q867">
        <v>30</v>
      </c>
      <c r="R867">
        <v>0</v>
      </c>
      <c r="S867">
        <f t="shared" si="125"/>
        <v>30</v>
      </c>
      <c r="T867" s="1" t="s">
        <v>2935</v>
      </c>
      <c r="U867" s="1" t="s">
        <v>2932</v>
      </c>
      <c r="V867" s="3">
        <f t="shared" si="126"/>
        <v>40000</v>
      </c>
      <c r="W867" s="3">
        <f t="shared" si="127"/>
        <v>16000</v>
      </c>
      <c r="X867" s="3">
        <f t="shared" si="119"/>
        <v>1250</v>
      </c>
      <c r="Y867" s="3">
        <f t="shared" si="120"/>
        <v>1600</v>
      </c>
      <c r="Z867" s="3">
        <f t="shared" si="121"/>
        <v>1800</v>
      </c>
      <c r="AA867" s="3">
        <v>0</v>
      </c>
      <c r="AB867" s="3">
        <f>ROUND(U867 - (V867+W867+X867+Y867) - (U867/Q867 * 2),0)</f>
        <v>34483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f>SUM(V867+W867+X867+Y867+AB867)</f>
        <v>93333</v>
      </c>
      <c r="AK867" s="3">
        <f>SUM(AJ867-AA867)</f>
        <v>93333</v>
      </c>
      <c r="AL867" s="3">
        <f>IF(V867&lt;=15000,V867*12%,1800)</f>
        <v>1800</v>
      </c>
      <c r="AM867" s="3">
        <v>0</v>
      </c>
      <c r="AN867" s="3">
        <f t="shared" si="122"/>
        <v>1800</v>
      </c>
      <c r="AO867" s="12">
        <v>200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3">
        <f t="shared" si="124"/>
        <v>200</v>
      </c>
      <c r="AV867" s="3">
        <f>SUM(AJ867 - AN867 - AU867)</f>
        <v>91333</v>
      </c>
      <c r="AW867" s="11">
        <v>0</v>
      </c>
      <c r="AX867" s="11">
        <v>0</v>
      </c>
      <c r="AY867" s="11">
        <v>0</v>
      </c>
      <c r="AZ867" s="11">
        <v>0</v>
      </c>
      <c r="BA867" s="3">
        <f t="shared" si="123"/>
        <v>91333</v>
      </c>
    </row>
    <row r="868" spans="1:53" x14ac:dyDescent="0.25">
      <c r="A868" s="1" t="s">
        <v>866</v>
      </c>
      <c r="B868" s="9" t="s">
        <v>1564</v>
      </c>
      <c r="C868" s="9" t="s">
        <v>1273</v>
      </c>
      <c r="D868" s="9" t="s">
        <v>2684</v>
      </c>
      <c r="E868" s="9" t="s">
        <v>1012</v>
      </c>
      <c r="F868" s="10">
        <v>41850</v>
      </c>
      <c r="G868" s="9" t="s">
        <v>1013</v>
      </c>
      <c r="I868" s="9" t="s">
        <v>1042</v>
      </c>
      <c r="J868" s="9" t="s">
        <v>1048</v>
      </c>
      <c r="K868" s="8" t="s">
        <v>1006</v>
      </c>
      <c r="L868" s="8" t="s">
        <v>1007</v>
      </c>
      <c r="M868" s="8" t="s">
        <v>2933</v>
      </c>
      <c r="N868" s="8" t="s">
        <v>2937</v>
      </c>
      <c r="O868" s="1" t="s">
        <v>2934</v>
      </c>
      <c r="P868">
        <v>30</v>
      </c>
      <c r="Q868">
        <v>30</v>
      </c>
      <c r="R868">
        <v>0</v>
      </c>
      <c r="S868">
        <f t="shared" si="125"/>
        <v>30</v>
      </c>
      <c r="T868" s="1" t="s">
        <v>2935</v>
      </c>
      <c r="U868" s="1" t="s">
        <v>2932</v>
      </c>
      <c r="V868" s="3">
        <f t="shared" si="126"/>
        <v>40000</v>
      </c>
      <c r="W868" s="3">
        <f t="shared" si="127"/>
        <v>16000</v>
      </c>
      <c r="X868" s="3">
        <f t="shared" si="119"/>
        <v>1250</v>
      </c>
      <c r="Y868" s="3">
        <f t="shared" si="120"/>
        <v>1600</v>
      </c>
      <c r="Z868" s="3">
        <f t="shared" si="121"/>
        <v>1800</v>
      </c>
      <c r="AA868" s="3">
        <v>0</v>
      </c>
      <c r="AB868" s="3">
        <f>ROUND(U868 - (V868+W868+X868+Y868) - (U868/Q868 * 2),0)</f>
        <v>34483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f>SUM(V868+W868+X868+Y868+AB868)</f>
        <v>93333</v>
      </c>
      <c r="AK868" s="3">
        <f>SUM(AJ868-AA868)</f>
        <v>93333</v>
      </c>
      <c r="AL868" s="3">
        <f>IF(V868&lt;=15000,V868*12%,1800)</f>
        <v>1800</v>
      </c>
      <c r="AM868" s="3">
        <v>0</v>
      </c>
      <c r="AN868" s="3">
        <f t="shared" si="122"/>
        <v>1800</v>
      </c>
      <c r="AO868" s="12">
        <v>200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3">
        <f t="shared" si="124"/>
        <v>200</v>
      </c>
      <c r="AV868" s="3">
        <f>SUM(AJ868 - AN868 - AU868)</f>
        <v>91333</v>
      </c>
      <c r="AW868" s="11">
        <v>0</v>
      </c>
      <c r="AX868" s="11">
        <v>0</v>
      </c>
      <c r="AY868" s="11">
        <v>0</v>
      </c>
      <c r="AZ868" s="11">
        <v>0</v>
      </c>
      <c r="BA868" s="3">
        <f t="shared" si="123"/>
        <v>91333</v>
      </c>
    </row>
    <row r="869" spans="1:53" x14ac:dyDescent="0.25">
      <c r="A869" s="1" t="s">
        <v>867</v>
      </c>
      <c r="B869" s="9" t="s">
        <v>2024</v>
      </c>
      <c r="C869" s="9" t="s">
        <v>2683</v>
      </c>
      <c r="D869" s="9">
        <v>0</v>
      </c>
      <c r="E869" s="9" t="s">
        <v>1012</v>
      </c>
      <c r="F869" s="10">
        <v>43670</v>
      </c>
      <c r="G869" s="9" t="s">
        <v>1019</v>
      </c>
      <c r="I869" s="9" t="s">
        <v>1042</v>
      </c>
      <c r="J869" s="9" t="s">
        <v>1440</v>
      </c>
      <c r="K869" s="8" t="s">
        <v>1006</v>
      </c>
      <c r="L869" s="8" t="s">
        <v>1007</v>
      </c>
      <c r="M869" s="8" t="s">
        <v>2933</v>
      </c>
      <c r="N869" s="8" t="s">
        <v>2937</v>
      </c>
      <c r="O869" s="1" t="s">
        <v>2934</v>
      </c>
      <c r="P869">
        <v>30</v>
      </c>
      <c r="Q869">
        <v>30</v>
      </c>
      <c r="R869">
        <v>0</v>
      </c>
      <c r="S869">
        <f t="shared" si="125"/>
        <v>30</v>
      </c>
      <c r="T869" s="1" t="s">
        <v>2935</v>
      </c>
      <c r="U869" s="1" t="s">
        <v>2932</v>
      </c>
      <c r="V869" s="3">
        <f t="shared" si="126"/>
        <v>40000</v>
      </c>
      <c r="W869" s="3">
        <f t="shared" si="127"/>
        <v>16000</v>
      </c>
      <c r="X869" s="3">
        <f t="shared" si="119"/>
        <v>1250</v>
      </c>
      <c r="Y869" s="3">
        <f t="shared" si="120"/>
        <v>1600</v>
      </c>
      <c r="Z869" s="3">
        <f t="shared" si="121"/>
        <v>1800</v>
      </c>
      <c r="AA869" s="3">
        <v>0</v>
      </c>
      <c r="AB869" s="3">
        <f>ROUND(U869 - (V869+W869+X869+Y869) - (U869/Q869 * 2),0)</f>
        <v>34483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f>SUM(V869+W869+X869+Y869+AB869)</f>
        <v>93333</v>
      </c>
      <c r="AK869" s="3">
        <f>SUM(AJ869-AA869)</f>
        <v>93333</v>
      </c>
      <c r="AL869" s="3">
        <f>IF(V869&lt;=15000,V869*12%,1800)</f>
        <v>1800</v>
      </c>
      <c r="AM869" s="3">
        <v>0</v>
      </c>
      <c r="AN869" s="3">
        <f t="shared" si="122"/>
        <v>1800</v>
      </c>
      <c r="AO869" s="12">
        <v>200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3">
        <f t="shared" si="124"/>
        <v>200</v>
      </c>
      <c r="AV869" s="3">
        <f>SUM(AJ869 - AN869 - AU869)</f>
        <v>91333</v>
      </c>
      <c r="AW869" s="11">
        <v>0</v>
      </c>
      <c r="AX869" s="11">
        <v>0</v>
      </c>
      <c r="AY869" s="11">
        <v>0</v>
      </c>
      <c r="AZ869" s="11">
        <v>0</v>
      </c>
      <c r="BA869" s="3">
        <f t="shared" si="123"/>
        <v>91333</v>
      </c>
    </row>
    <row r="870" spans="1:53" x14ac:dyDescent="0.25">
      <c r="A870" s="1" t="s">
        <v>868</v>
      </c>
      <c r="B870" s="9" t="s">
        <v>2681</v>
      </c>
      <c r="C870" s="9" t="s">
        <v>2679</v>
      </c>
      <c r="D870" s="9" t="s">
        <v>2682</v>
      </c>
      <c r="E870" s="9" t="s">
        <v>1008</v>
      </c>
      <c r="F870" s="10">
        <v>41934</v>
      </c>
      <c r="G870" s="9" t="s">
        <v>1019</v>
      </c>
      <c r="I870" s="9" t="s">
        <v>1042</v>
      </c>
      <c r="J870" s="9" t="s">
        <v>1048</v>
      </c>
      <c r="K870" s="8" t="s">
        <v>1006</v>
      </c>
      <c r="L870" s="8" t="s">
        <v>1007</v>
      </c>
      <c r="M870" s="8" t="s">
        <v>2933</v>
      </c>
      <c r="N870" s="8" t="s">
        <v>2937</v>
      </c>
      <c r="O870" s="1" t="s">
        <v>2934</v>
      </c>
      <c r="P870">
        <v>30</v>
      </c>
      <c r="Q870">
        <v>30</v>
      </c>
      <c r="R870">
        <v>0</v>
      </c>
      <c r="S870">
        <f t="shared" si="125"/>
        <v>30</v>
      </c>
      <c r="T870" s="1" t="s">
        <v>2935</v>
      </c>
      <c r="U870" s="1" t="s">
        <v>2932</v>
      </c>
      <c r="V870" s="3">
        <f t="shared" si="126"/>
        <v>40000</v>
      </c>
      <c r="W870" s="3">
        <f t="shared" si="127"/>
        <v>16000</v>
      </c>
      <c r="X870" s="3">
        <f t="shared" si="119"/>
        <v>1250</v>
      </c>
      <c r="Y870" s="3">
        <f t="shared" si="120"/>
        <v>1600</v>
      </c>
      <c r="Z870" s="3">
        <f t="shared" si="121"/>
        <v>1800</v>
      </c>
      <c r="AA870" s="3">
        <v>0</v>
      </c>
      <c r="AB870" s="3">
        <f>ROUND(U870 - (V870+W870+X870+Y870) - (U870/Q870 * 2),0)</f>
        <v>34483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f>SUM(V870+W870+X870+Y870+AB870)</f>
        <v>93333</v>
      </c>
      <c r="AK870" s="3">
        <f>SUM(AJ870-AA870)</f>
        <v>93333</v>
      </c>
      <c r="AL870" s="3">
        <f>IF(V870&lt;=15000,V870*12%,1800)</f>
        <v>1800</v>
      </c>
      <c r="AM870" s="3">
        <v>0</v>
      </c>
      <c r="AN870" s="3">
        <f t="shared" si="122"/>
        <v>1800</v>
      </c>
      <c r="AO870" s="12">
        <v>200</v>
      </c>
      <c r="AP870" s="12">
        <v>0</v>
      </c>
      <c r="AQ870" s="12">
        <v>0</v>
      </c>
      <c r="AR870" s="12">
        <v>0</v>
      </c>
      <c r="AS870" s="12">
        <v>0</v>
      </c>
      <c r="AT870" s="12">
        <v>0</v>
      </c>
      <c r="AU870" s="3">
        <f t="shared" si="124"/>
        <v>200</v>
      </c>
      <c r="AV870" s="3">
        <f>SUM(AJ870 - AN870 - AU870)</f>
        <v>91333</v>
      </c>
      <c r="AW870" s="11">
        <v>0</v>
      </c>
      <c r="AX870" s="11">
        <v>0</v>
      </c>
      <c r="AY870" s="11">
        <v>0</v>
      </c>
      <c r="AZ870" s="11">
        <v>0</v>
      </c>
      <c r="BA870" s="3">
        <f t="shared" si="123"/>
        <v>91333</v>
      </c>
    </row>
    <row r="871" spans="1:53" x14ac:dyDescent="0.25">
      <c r="A871" s="1" t="s">
        <v>869</v>
      </c>
      <c r="B871" s="9" t="s">
        <v>2678</v>
      </c>
      <c r="C871" s="9" t="s">
        <v>2679</v>
      </c>
      <c r="D871" s="9" t="s">
        <v>2680</v>
      </c>
      <c r="E871" s="9" t="s">
        <v>1008</v>
      </c>
      <c r="F871" s="10">
        <v>42006</v>
      </c>
      <c r="G871" s="9" t="s">
        <v>1013</v>
      </c>
      <c r="I871" s="9" t="s">
        <v>1042</v>
      </c>
      <c r="J871" s="9" t="s">
        <v>1048</v>
      </c>
      <c r="K871" s="8" t="s">
        <v>1006</v>
      </c>
      <c r="L871" s="8" t="s">
        <v>1007</v>
      </c>
      <c r="M871" s="8" t="s">
        <v>2933</v>
      </c>
      <c r="N871" s="8" t="s">
        <v>2937</v>
      </c>
      <c r="O871" s="1" t="s">
        <v>2934</v>
      </c>
      <c r="P871">
        <v>30</v>
      </c>
      <c r="Q871">
        <v>30</v>
      </c>
      <c r="R871">
        <v>0</v>
      </c>
      <c r="S871">
        <f t="shared" si="125"/>
        <v>30</v>
      </c>
      <c r="T871" s="1" t="s">
        <v>2935</v>
      </c>
      <c r="U871" s="1" t="s">
        <v>2932</v>
      </c>
      <c r="V871" s="3">
        <f t="shared" si="126"/>
        <v>40000</v>
      </c>
      <c r="W871" s="3">
        <f t="shared" si="127"/>
        <v>16000</v>
      </c>
      <c r="X871" s="3">
        <f t="shared" si="119"/>
        <v>1250</v>
      </c>
      <c r="Y871" s="3">
        <f t="shared" si="120"/>
        <v>1600</v>
      </c>
      <c r="Z871" s="3">
        <f t="shared" si="121"/>
        <v>1800</v>
      </c>
      <c r="AA871" s="3">
        <v>0</v>
      </c>
      <c r="AB871" s="3">
        <f>ROUND(U871 - (V871+W871+X871+Y871) - (U871/Q871 * 2),0)</f>
        <v>34483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f>SUM(V871+W871+X871+Y871+AB871)</f>
        <v>93333</v>
      </c>
      <c r="AK871" s="3">
        <f>SUM(AJ871-AA871)</f>
        <v>93333</v>
      </c>
      <c r="AL871" s="3">
        <f>IF(V871&lt;=15000,V871*12%,1800)</f>
        <v>1800</v>
      </c>
      <c r="AM871" s="3">
        <v>0</v>
      </c>
      <c r="AN871" s="3">
        <f t="shared" si="122"/>
        <v>1800</v>
      </c>
      <c r="AO871" s="12">
        <v>200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3">
        <f t="shared" si="124"/>
        <v>200</v>
      </c>
      <c r="AV871" s="3">
        <f>SUM(AJ871 - AN871 - AU871)</f>
        <v>91333</v>
      </c>
      <c r="AW871" s="11">
        <v>0</v>
      </c>
      <c r="AX871" s="11">
        <v>0</v>
      </c>
      <c r="AY871" s="11">
        <v>0</v>
      </c>
      <c r="AZ871" s="11">
        <v>0</v>
      </c>
      <c r="BA871" s="3">
        <f t="shared" si="123"/>
        <v>91333</v>
      </c>
    </row>
    <row r="872" spans="1:53" x14ac:dyDescent="0.25">
      <c r="A872" s="1" t="s">
        <v>870</v>
      </c>
      <c r="B872" s="9" t="s">
        <v>2539</v>
      </c>
      <c r="C872" s="9" t="s">
        <v>2676</v>
      </c>
      <c r="D872" s="9" t="s">
        <v>2677</v>
      </c>
      <c r="E872" s="9" t="s">
        <v>1008</v>
      </c>
      <c r="F872" s="10">
        <v>45910</v>
      </c>
      <c r="G872" s="9" t="s">
        <v>1019</v>
      </c>
      <c r="I872" s="9" t="s">
        <v>1014</v>
      </c>
      <c r="J872" s="9" t="s">
        <v>1031</v>
      </c>
      <c r="K872" s="8" t="s">
        <v>1006</v>
      </c>
      <c r="L872" s="8" t="s">
        <v>1007</v>
      </c>
      <c r="M872" s="8" t="s">
        <v>2933</v>
      </c>
      <c r="N872" s="8" t="s">
        <v>2937</v>
      </c>
      <c r="O872" s="1" t="s">
        <v>2934</v>
      </c>
      <c r="P872">
        <v>30</v>
      </c>
      <c r="Q872">
        <v>30</v>
      </c>
      <c r="R872">
        <v>0</v>
      </c>
      <c r="S872">
        <f t="shared" si="125"/>
        <v>30</v>
      </c>
      <c r="T872" s="1" t="s">
        <v>2935</v>
      </c>
      <c r="U872" s="1" t="s">
        <v>2932</v>
      </c>
      <c r="V872" s="3">
        <f t="shared" si="126"/>
        <v>40000</v>
      </c>
      <c r="W872" s="3">
        <f t="shared" si="127"/>
        <v>16000</v>
      </c>
      <c r="X872" s="3">
        <f t="shared" si="119"/>
        <v>1250</v>
      </c>
      <c r="Y872" s="3">
        <f t="shared" si="120"/>
        <v>1600</v>
      </c>
      <c r="Z872" s="3">
        <f t="shared" si="121"/>
        <v>1800</v>
      </c>
      <c r="AA872" s="3">
        <v>0</v>
      </c>
      <c r="AB872" s="3">
        <f>ROUND(U872 - (V872+W872+X872+Y872) - (U872/Q872 * 2),0)</f>
        <v>34483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f>SUM(V872+W872+X872+Y872+AB872)</f>
        <v>93333</v>
      </c>
      <c r="AK872" s="3">
        <f>SUM(AJ872-AA872)</f>
        <v>93333</v>
      </c>
      <c r="AL872" s="3">
        <f>IF(V872&lt;=15000,V872*12%,1800)</f>
        <v>1800</v>
      </c>
      <c r="AM872" s="3">
        <v>0</v>
      </c>
      <c r="AN872" s="3">
        <f t="shared" si="122"/>
        <v>1800</v>
      </c>
      <c r="AO872" s="12">
        <v>200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3">
        <f t="shared" si="124"/>
        <v>200</v>
      </c>
      <c r="AV872" s="3">
        <f>SUM(AJ872 - AN872 - AU872)</f>
        <v>91333</v>
      </c>
      <c r="AW872" s="11">
        <v>0</v>
      </c>
      <c r="AX872" s="11">
        <v>0</v>
      </c>
      <c r="AY872" s="11">
        <v>0</v>
      </c>
      <c r="AZ872" s="11">
        <v>0</v>
      </c>
      <c r="BA872" s="3">
        <f t="shared" si="123"/>
        <v>91333</v>
      </c>
    </row>
    <row r="873" spans="1:53" x14ac:dyDescent="0.25">
      <c r="A873" s="1" t="s">
        <v>871</v>
      </c>
      <c r="B873" s="9" t="s">
        <v>1311</v>
      </c>
      <c r="C873" s="9" t="s">
        <v>1118</v>
      </c>
      <c r="D873" s="9" t="s">
        <v>2675</v>
      </c>
      <c r="E873" s="9" t="s">
        <v>1008</v>
      </c>
      <c r="F873" s="10">
        <v>42159</v>
      </c>
      <c r="G873" s="9" t="s">
        <v>1019</v>
      </c>
      <c r="I873" s="9" t="s">
        <v>1020</v>
      </c>
      <c r="J873" s="9" t="s">
        <v>1056</v>
      </c>
      <c r="K873" s="8" t="s">
        <v>1006</v>
      </c>
      <c r="L873" s="8" t="s">
        <v>1007</v>
      </c>
      <c r="M873" s="8" t="s">
        <v>2933</v>
      </c>
      <c r="N873" s="8" t="s">
        <v>2937</v>
      </c>
      <c r="O873" s="1" t="s">
        <v>2934</v>
      </c>
      <c r="P873">
        <v>30</v>
      </c>
      <c r="Q873">
        <v>30</v>
      </c>
      <c r="R873">
        <v>0</v>
      </c>
      <c r="S873">
        <f t="shared" si="125"/>
        <v>30</v>
      </c>
      <c r="T873" s="1" t="s">
        <v>2935</v>
      </c>
      <c r="U873" s="1" t="s">
        <v>2932</v>
      </c>
      <c r="V873" s="3">
        <f t="shared" si="126"/>
        <v>40000</v>
      </c>
      <c r="W873" s="3">
        <f t="shared" si="127"/>
        <v>16000</v>
      </c>
      <c r="X873" s="3">
        <f t="shared" si="119"/>
        <v>1250</v>
      </c>
      <c r="Y873" s="3">
        <f t="shared" si="120"/>
        <v>1600</v>
      </c>
      <c r="Z873" s="3">
        <f t="shared" si="121"/>
        <v>1800</v>
      </c>
      <c r="AA873" s="3">
        <v>0</v>
      </c>
      <c r="AB873" s="3">
        <f>ROUND(U873 - (V873+W873+X873+Y873) - (U873/Q873 * 2),0)</f>
        <v>34483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f>SUM(V873+W873+X873+Y873+AB873)</f>
        <v>93333</v>
      </c>
      <c r="AK873" s="3">
        <f>SUM(AJ873-AA873)</f>
        <v>93333</v>
      </c>
      <c r="AL873" s="3">
        <f>IF(V873&lt;=15000,V873*12%,1800)</f>
        <v>1800</v>
      </c>
      <c r="AM873" s="3">
        <v>0</v>
      </c>
      <c r="AN873" s="3">
        <f t="shared" si="122"/>
        <v>1800</v>
      </c>
      <c r="AO873" s="12">
        <v>200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3">
        <f t="shared" si="124"/>
        <v>200</v>
      </c>
      <c r="AV873" s="3">
        <f>SUM(AJ873 - AN873 - AU873)</f>
        <v>91333</v>
      </c>
      <c r="AW873" s="11">
        <v>0</v>
      </c>
      <c r="AX873" s="11">
        <v>0</v>
      </c>
      <c r="AY873" s="11">
        <v>0</v>
      </c>
      <c r="AZ873" s="11">
        <v>0</v>
      </c>
      <c r="BA873" s="3">
        <f t="shared" si="123"/>
        <v>91333</v>
      </c>
    </row>
    <row r="874" spans="1:53" x14ac:dyDescent="0.25">
      <c r="A874" s="1" t="s">
        <v>872</v>
      </c>
      <c r="B874" s="9" t="s">
        <v>2672</v>
      </c>
      <c r="C874" s="9" t="s">
        <v>2673</v>
      </c>
      <c r="D874" s="9" t="s">
        <v>2674</v>
      </c>
      <c r="E874" s="9" t="s">
        <v>1008</v>
      </c>
      <c r="F874" s="10">
        <v>42226</v>
      </c>
      <c r="G874" s="9" t="s">
        <v>1013</v>
      </c>
      <c r="I874" s="9" t="s">
        <v>1014</v>
      </c>
      <c r="J874" s="9" t="s">
        <v>1021</v>
      </c>
      <c r="K874" s="8" t="s">
        <v>1006</v>
      </c>
      <c r="L874" s="8" t="s">
        <v>1007</v>
      </c>
      <c r="M874" s="8" t="s">
        <v>2933</v>
      </c>
      <c r="N874" s="8" t="s">
        <v>2937</v>
      </c>
      <c r="O874" s="1" t="s">
        <v>2934</v>
      </c>
      <c r="P874">
        <v>30</v>
      </c>
      <c r="Q874">
        <v>30</v>
      </c>
      <c r="R874">
        <v>0</v>
      </c>
      <c r="S874">
        <f t="shared" si="125"/>
        <v>30</v>
      </c>
      <c r="T874" s="1" t="s">
        <v>2935</v>
      </c>
      <c r="U874" s="1" t="s">
        <v>2932</v>
      </c>
      <c r="V874" s="3">
        <f t="shared" si="126"/>
        <v>40000</v>
      </c>
      <c r="W874" s="3">
        <f t="shared" si="127"/>
        <v>16000</v>
      </c>
      <c r="X874" s="3">
        <f t="shared" si="119"/>
        <v>1250</v>
      </c>
      <c r="Y874" s="3">
        <f t="shared" si="120"/>
        <v>1600</v>
      </c>
      <c r="Z874" s="3">
        <f t="shared" si="121"/>
        <v>1800</v>
      </c>
      <c r="AA874" s="3">
        <v>0</v>
      </c>
      <c r="AB874" s="3">
        <f>ROUND(U874 - (V874+W874+X874+Y874) - (U874/Q874 * 2),0)</f>
        <v>34483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f>SUM(V874+W874+X874+Y874+AB874)</f>
        <v>93333</v>
      </c>
      <c r="AK874" s="3">
        <f>SUM(AJ874-AA874)</f>
        <v>93333</v>
      </c>
      <c r="AL874" s="3">
        <f>IF(V874&lt;=15000,V874*12%,1800)</f>
        <v>1800</v>
      </c>
      <c r="AM874" s="3">
        <v>0</v>
      </c>
      <c r="AN874" s="3">
        <f t="shared" si="122"/>
        <v>1800</v>
      </c>
      <c r="AO874" s="12">
        <v>200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3">
        <f t="shared" si="124"/>
        <v>200</v>
      </c>
      <c r="AV874" s="3">
        <f>SUM(AJ874 - AN874 - AU874)</f>
        <v>91333</v>
      </c>
      <c r="AW874" s="11">
        <v>0</v>
      </c>
      <c r="AX874" s="11">
        <v>0</v>
      </c>
      <c r="AY874" s="11">
        <v>0</v>
      </c>
      <c r="AZ874" s="11">
        <v>0</v>
      </c>
      <c r="BA874" s="3">
        <f t="shared" si="123"/>
        <v>91333</v>
      </c>
    </row>
    <row r="875" spans="1:53" x14ac:dyDescent="0.25">
      <c r="A875" s="1" t="s">
        <v>873</v>
      </c>
      <c r="B875" s="9" t="s">
        <v>1667</v>
      </c>
      <c r="C875" s="9" t="s">
        <v>1067</v>
      </c>
      <c r="D875" s="9" t="s">
        <v>2671</v>
      </c>
      <c r="E875" s="9" t="s">
        <v>1012</v>
      </c>
      <c r="F875" s="10">
        <v>42338</v>
      </c>
      <c r="G875" s="9" t="s">
        <v>1019</v>
      </c>
      <c r="I875" s="9" t="s">
        <v>1042</v>
      </c>
      <c r="J875" s="9" t="s">
        <v>1048</v>
      </c>
      <c r="K875" s="8" t="s">
        <v>1006</v>
      </c>
      <c r="L875" s="8" t="s">
        <v>1007</v>
      </c>
      <c r="M875" s="8" t="s">
        <v>2933</v>
      </c>
      <c r="N875" s="8" t="s">
        <v>2937</v>
      </c>
      <c r="O875" s="1" t="s">
        <v>2934</v>
      </c>
      <c r="P875">
        <v>30</v>
      </c>
      <c r="Q875">
        <v>30</v>
      </c>
      <c r="R875">
        <v>0</v>
      </c>
      <c r="S875">
        <f t="shared" si="125"/>
        <v>30</v>
      </c>
      <c r="T875" s="1" t="s">
        <v>2935</v>
      </c>
      <c r="U875" s="1" t="s">
        <v>2932</v>
      </c>
      <c r="V875" s="3">
        <f t="shared" si="126"/>
        <v>40000</v>
      </c>
      <c r="W875" s="3">
        <f t="shared" si="127"/>
        <v>16000</v>
      </c>
      <c r="X875" s="3">
        <f t="shared" si="119"/>
        <v>1250</v>
      </c>
      <c r="Y875" s="3">
        <f t="shared" si="120"/>
        <v>1600</v>
      </c>
      <c r="Z875" s="3">
        <f t="shared" si="121"/>
        <v>1800</v>
      </c>
      <c r="AA875" s="3">
        <v>0</v>
      </c>
      <c r="AB875" s="3">
        <f>ROUND(U875 - (V875+W875+X875+Y875) - (U875/Q875 * 2),0)</f>
        <v>34483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f>SUM(V875+W875+X875+Y875+AB875)</f>
        <v>93333</v>
      </c>
      <c r="AK875" s="3">
        <f>SUM(AJ875-AA875)</f>
        <v>93333</v>
      </c>
      <c r="AL875" s="3">
        <f>IF(V875&lt;=15000,V875*12%,1800)</f>
        <v>1800</v>
      </c>
      <c r="AM875" s="3">
        <v>0</v>
      </c>
      <c r="AN875" s="3">
        <f t="shared" si="122"/>
        <v>1800</v>
      </c>
      <c r="AO875" s="12">
        <v>200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3">
        <f t="shared" si="124"/>
        <v>200</v>
      </c>
      <c r="AV875" s="3">
        <f>SUM(AJ875 - AN875 - AU875)</f>
        <v>91333</v>
      </c>
      <c r="AW875" s="11">
        <v>0</v>
      </c>
      <c r="AX875" s="11">
        <v>0</v>
      </c>
      <c r="AY875" s="11">
        <v>0</v>
      </c>
      <c r="AZ875" s="11">
        <v>0</v>
      </c>
      <c r="BA875" s="3">
        <f t="shared" si="123"/>
        <v>91333</v>
      </c>
    </row>
    <row r="876" spans="1:53" x14ac:dyDescent="0.25">
      <c r="A876" s="1" t="s">
        <v>874</v>
      </c>
      <c r="B876" s="9" t="s">
        <v>2668</v>
      </c>
      <c r="C876" s="9" t="s">
        <v>2669</v>
      </c>
      <c r="D876" s="9" t="s">
        <v>2670</v>
      </c>
      <c r="E876" s="9" t="s">
        <v>1012</v>
      </c>
      <c r="F876" s="10">
        <v>42338</v>
      </c>
      <c r="G876" s="9" t="s">
        <v>1019</v>
      </c>
      <c r="I876" s="9" t="s">
        <v>1042</v>
      </c>
      <c r="J876" s="9" t="s">
        <v>1048</v>
      </c>
      <c r="K876" s="8" t="s">
        <v>1006</v>
      </c>
      <c r="L876" s="8" t="s">
        <v>1007</v>
      </c>
      <c r="M876" s="8" t="s">
        <v>2933</v>
      </c>
      <c r="N876" s="8" t="s">
        <v>2937</v>
      </c>
      <c r="O876" s="1" t="s">
        <v>2934</v>
      </c>
      <c r="P876">
        <v>30</v>
      </c>
      <c r="Q876">
        <v>30</v>
      </c>
      <c r="R876">
        <v>0</v>
      </c>
      <c r="S876">
        <f t="shared" si="125"/>
        <v>30</v>
      </c>
      <c r="T876" s="1" t="s">
        <v>2935</v>
      </c>
      <c r="U876" s="1" t="s">
        <v>2932</v>
      </c>
      <c r="V876" s="3">
        <f t="shared" si="126"/>
        <v>40000</v>
      </c>
      <c r="W876" s="3">
        <f t="shared" si="127"/>
        <v>16000</v>
      </c>
      <c r="X876" s="3">
        <f t="shared" si="119"/>
        <v>1250</v>
      </c>
      <c r="Y876" s="3">
        <f t="shared" si="120"/>
        <v>1600</v>
      </c>
      <c r="Z876" s="3">
        <f t="shared" si="121"/>
        <v>1800</v>
      </c>
      <c r="AA876" s="3">
        <v>0</v>
      </c>
      <c r="AB876" s="3">
        <f>ROUND(U876 - (V876+W876+X876+Y876) - (U876/Q876 * 2),0)</f>
        <v>34483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f>SUM(V876+W876+X876+Y876+AB876)</f>
        <v>93333</v>
      </c>
      <c r="AK876" s="3">
        <f>SUM(AJ876-AA876)</f>
        <v>93333</v>
      </c>
      <c r="AL876" s="3">
        <f>IF(V876&lt;=15000,V876*12%,1800)</f>
        <v>1800</v>
      </c>
      <c r="AM876" s="3">
        <v>0</v>
      </c>
      <c r="AN876" s="3">
        <f t="shared" si="122"/>
        <v>1800</v>
      </c>
      <c r="AO876" s="12">
        <v>200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3">
        <f t="shared" si="124"/>
        <v>200</v>
      </c>
      <c r="AV876" s="3">
        <f>SUM(AJ876 - AN876 - AU876)</f>
        <v>91333</v>
      </c>
      <c r="AW876" s="11">
        <v>0</v>
      </c>
      <c r="AX876" s="11">
        <v>0</v>
      </c>
      <c r="AY876" s="11">
        <v>0</v>
      </c>
      <c r="AZ876" s="11">
        <v>0</v>
      </c>
      <c r="BA876" s="3">
        <f t="shared" si="123"/>
        <v>91333</v>
      </c>
    </row>
    <row r="877" spans="1:53" x14ac:dyDescent="0.25">
      <c r="A877" s="1" t="s">
        <v>875</v>
      </c>
      <c r="B877" s="9" t="s">
        <v>2666</v>
      </c>
      <c r="C877" s="9" t="s">
        <v>1273</v>
      </c>
      <c r="D877" s="9" t="s">
        <v>2667</v>
      </c>
      <c r="E877" s="9" t="s">
        <v>1008</v>
      </c>
      <c r="F877" s="10">
        <v>42415</v>
      </c>
      <c r="G877" s="9" t="s">
        <v>1013</v>
      </c>
      <c r="I877" s="9" t="s">
        <v>1042</v>
      </c>
      <c r="J877" s="9" t="s">
        <v>1048</v>
      </c>
      <c r="K877" s="8" t="s">
        <v>1006</v>
      </c>
      <c r="L877" s="8" t="s">
        <v>1007</v>
      </c>
      <c r="M877" s="8" t="s">
        <v>2933</v>
      </c>
      <c r="N877" s="8" t="s">
        <v>2937</v>
      </c>
      <c r="O877" s="1" t="s">
        <v>2934</v>
      </c>
      <c r="P877">
        <v>30</v>
      </c>
      <c r="Q877">
        <v>30</v>
      </c>
      <c r="R877">
        <v>0</v>
      </c>
      <c r="S877">
        <f t="shared" si="125"/>
        <v>30</v>
      </c>
      <c r="T877" s="1" t="s">
        <v>2935</v>
      </c>
      <c r="U877" s="1" t="s">
        <v>2932</v>
      </c>
      <c r="V877" s="3">
        <f t="shared" si="126"/>
        <v>40000</v>
      </c>
      <c r="W877" s="3">
        <f t="shared" si="127"/>
        <v>16000</v>
      </c>
      <c r="X877" s="3">
        <f t="shared" si="119"/>
        <v>1250</v>
      </c>
      <c r="Y877" s="3">
        <f t="shared" si="120"/>
        <v>1600</v>
      </c>
      <c r="Z877" s="3">
        <f t="shared" si="121"/>
        <v>1800</v>
      </c>
      <c r="AA877" s="3">
        <v>0</v>
      </c>
      <c r="AB877" s="3">
        <f>ROUND(U877 - (V877+W877+X877+Y877) - (U877/Q877 * 2),0)</f>
        <v>34483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f>SUM(V877+W877+X877+Y877+AB877)</f>
        <v>93333</v>
      </c>
      <c r="AK877" s="3">
        <f>SUM(AJ877-AA877)</f>
        <v>93333</v>
      </c>
      <c r="AL877" s="3">
        <f>IF(V877&lt;=15000,V877*12%,1800)</f>
        <v>1800</v>
      </c>
      <c r="AM877" s="3">
        <v>0</v>
      </c>
      <c r="AN877" s="3">
        <f t="shared" si="122"/>
        <v>1800</v>
      </c>
      <c r="AO877" s="12">
        <v>200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3">
        <f t="shared" si="124"/>
        <v>200</v>
      </c>
      <c r="AV877" s="3">
        <f>SUM(AJ877 - AN877 - AU877)</f>
        <v>91333</v>
      </c>
      <c r="AW877" s="11">
        <v>0</v>
      </c>
      <c r="AX877" s="11">
        <v>0</v>
      </c>
      <c r="AY877" s="11">
        <v>0</v>
      </c>
      <c r="AZ877" s="11">
        <v>0</v>
      </c>
      <c r="BA877" s="3">
        <f t="shared" si="123"/>
        <v>91333</v>
      </c>
    </row>
    <row r="878" spans="1:53" x14ac:dyDescent="0.25">
      <c r="A878" s="1" t="s">
        <v>876</v>
      </c>
      <c r="B878" s="9" t="s">
        <v>2663</v>
      </c>
      <c r="C878" s="9" t="s">
        <v>2664</v>
      </c>
      <c r="D878" s="9" t="s">
        <v>2665</v>
      </c>
      <c r="E878" s="9" t="s">
        <v>1012</v>
      </c>
      <c r="F878" s="10">
        <v>42989</v>
      </c>
      <c r="G878" s="9" t="s">
        <v>1013</v>
      </c>
      <c r="I878" s="9" t="s">
        <v>1020</v>
      </c>
      <c r="J878" s="9" t="s">
        <v>1048</v>
      </c>
      <c r="K878" s="8" t="s">
        <v>1006</v>
      </c>
      <c r="L878" s="8" t="s">
        <v>1007</v>
      </c>
      <c r="M878" s="8" t="s">
        <v>2933</v>
      </c>
      <c r="N878" s="8" t="s">
        <v>2937</v>
      </c>
      <c r="O878" s="1" t="s">
        <v>2934</v>
      </c>
      <c r="P878">
        <v>30</v>
      </c>
      <c r="Q878">
        <v>30</v>
      </c>
      <c r="R878">
        <v>0</v>
      </c>
      <c r="S878">
        <f t="shared" si="125"/>
        <v>30</v>
      </c>
      <c r="T878" s="1" t="s">
        <v>2935</v>
      </c>
      <c r="U878" s="1" t="s">
        <v>2932</v>
      </c>
      <c r="V878" s="3">
        <f t="shared" si="126"/>
        <v>40000</v>
      </c>
      <c r="W878" s="3">
        <f t="shared" si="127"/>
        <v>16000</v>
      </c>
      <c r="X878" s="3">
        <f t="shared" si="119"/>
        <v>1250</v>
      </c>
      <c r="Y878" s="3">
        <f t="shared" si="120"/>
        <v>1600</v>
      </c>
      <c r="Z878" s="3">
        <f t="shared" si="121"/>
        <v>1800</v>
      </c>
      <c r="AA878" s="3">
        <v>0</v>
      </c>
      <c r="AB878" s="3">
        <f>ROUND(U878 - (V878+W878+X878+Y878) - (U878/Q878 * 2),0)</f>
        <v>34483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f>SUM(V878+W878+X878+Y878+AB878)</f>
        <v>93333</v>
      </c>
      <c r="AK878" s="3">
        <f>SUM(AJ878-AA878)</f>
        <v>93333</v>
      </c>
      <c r="AL878" s="3">
        <f>IF(V878&lt;=15000,V878*12%,1800)</f>
        <v>1800</v>
      </c>
      <c r="AM878" s="3">
        <v>0</v>
      </c>
      <c r="AN878" s="3">
        <f t="shared" si="122"/>
        <v>1800</v>
      </c>
      <c r="AO878" s="12">
        <v>200</v>
      </c>
      <c r="AP878" s="12">
        <v>0</v>
      </c>
      <c r="AQ878" s="12">
        <v>0</v>
      </c>
      <c r="AR878" s="12">
        <v>0</v>
      </c>
      <c r="AS878" s="12">
        <v>0</v>
      </c>
      <c r="AT878" s="12">
        <v>0</v>
      </c>
      <c r="AU878" s="3">
        <f t="shared" si="124"/>
        <v>200</v>
      </c>
      <c r="AV878" s="3">
        <f>SUM(AJ878 - AN878 - AU878)</f>
        <v>91333</v>
      </c>
      <c r="AW878" s="11">
        <v>0</v>
      </c>
      <c r="AX878" s="11">
        <v>0</v>
      </c>
      <c r="AY878" s="11">
        <v>0</v>
      </c>
      <c r="AZ878" s="11">
        <v>0</v>
      </c>
      <c r="BA878" s="3">
        <f t="shared" si="123"/>
        <v>91333</v>
      </c>
    </row>
    <row r="879" spans="1:53" x14ac:dyDescent="0.25">
      <c r="A879" s="1" t="s">
        <v>877</v>
      </c>
      <c r="B879" s="9" t="s">
        <v>2724</v>
      </c>
      <c r="C879" s="9" t="s">
        <v>1259</v>
      </c>
      <c r="D879" s="9" t="s">
        <v>2725</v>
      </c>
      <c r="E879" s="9" t="s">
        <v>1012</v>
      </c>
      <c r="F879" s="10">
        <v>43332</v>
      </c>
      <c r="G879" s="9" t="s">
        <v>1013</v>
      </c>
      <c r="I879" s="9" t="s">
        <v>1042</v>
      </c>
      <c r="J879" s="9" t="s">
        <v>1031</v>
      </c>
      <c r="K879" s="8" t="s">
        <v>1006</v>
      </c>
      <c r="L879" s="8" t="s">
        <v>1007</v>
      </c>
      <c r="M879" s="8" t="s">
        <v>2933</v>
      </c>
      <c r="N879" s="8" t="s">
        <v>2937</v>
      </c>
      <c r="O879" s="1" t="s">
        <v>2934</v>
      </c>
      <c r="P879">
        <v>30</v>
      </c>
      <c r="Q879">
        <v>30</v>
      </c>
      <c r="R879">
        <v>0</v>
      </c>
      <c r="S879">
        <f t="shared" si="125"/>
        <v>30</v>
      </c>
      <c r="T879" s="1" t="s">
        <v>2935</v>
      </c>
      <c r="U879" s="1" t="s">
        <v>2932</v>
      </c>
      <c r="V879" s="3">
        <f t="shared" si="126"/>
        <v>40000</v>
      </c>
      <c r="W879" s="3">
        <f t="shared" si="127"/>
        <v>16000</v>
      </c>
      <c r="X879" s="3">
        <f t="shared" si="119"/>
        <v>1250</v>
      </c>
      <c r="Y879" s="3">
        <f t="shared" si="120"/>
        <v>1600</v>
      </c>
      <c r="Z879" s="3">
        <f t="shared" si="121"/>
        <v>1800</v>
      </c>
      <c r="AA879" s="3">
        <v>0</v>
      </c>
      <c r="AB879" s="3">
        <f>ROUND(U879 - (V879+W879+X879+Y879) - (U879/Q879 * 2),0)</f>
        <v>34483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f>SUM(V879+W879+X879+Y879+AB879)</f>
        <v>93333</v>
      </c>
      <c r="AK879" s="3">
        <f>SUM(AJ879-AA879)</f>
        <v>93333</v>
      </c>
      <c r="AL879" s="3">
        <f>IF(V879&lt;=15000,V879*12%,1800)</f>
        <v>1800</v>
      </c>
      <c r="AM879" s="3">
        <v>0</v>
      </c>
      <c r="AN879" s="3">
        <f t="shared" si="122"/>
        <v>1800</v>
      </c>
      <c r="AO879" s="12">
        <v>200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3">
        <f t="shared" si="124"/>
        <v>200</v>
      </c>
      <c r="AV879" s="3">
        <f>SUM(AJ879 - AN879 - AU879)</f>
        <v>91333</v>
      </c>
      <c r="AW879" s="11">
        <v>0</v>
      </c>
      <c r="AX879" s="11">
        <v>0</v>
      </c>
      <c r="AY879" s="11">
        <v>0</v>
      </c>
      <c r="AZ879" s="11">
        <v>0</v>
      </c>
      <c r="BA879" s="3">
        <f t="shared" si="123"/>
        <v>91333</v>
      </c>
    </row>
    <row r="880" spans="1:53" x14ac:dyDescent="0.25">
      <c r="A880" s="1" t="s">
        <v>878</v>
      </c>
      <c r="B880" s="9" t="s">
        <v>2722</v>
      </c>
      <c r="C880" s="9" t="s">
        <v>1342</v>
      </c>
      <c r="D880" s="9" t="s">
        <v>2723</v>
      </c>
      <c r="E880" s="9" t="s">
        <v>1008</v>
      </c>
      <c r="F880" s="10">
        <v>42464</v>
      </c>
      <c r="G880" s="9" t="s">
        <v>1019</v>
      </c>
      <c r="I880" s="9" t="s">
        <v>1042</v>
      </c>
      <c r="J880" s="9" t="s">
        <v>1036</v>
      </c>
      <c r="K880" s="8" t="s">
        <v>1006</v>
      </c>
      <c r="L880" s="8" t="s">
        <v>1007</v>
      </c>
      <c r="M880" s="8" t="s">
        <v>2933</v>
      </c>
      <c r="N880" s="8" t="s">
        <v>2937</v>
      </c>
      <c r="O880" s="1" t="s">
        <v>2934</v>
      </c>
      <c r="P880">
        <v>30</v>
      </c>
      <c r="Q880">
        <v>30</v>
      </c>
      <c r="R880">
        <v>0</v>
      </c>
      <c r="S880">
        <f t="shared" si="125"/>
        <v>30</v>
      </c>
      <c r="T880" s="1" t="s">
        <v>2935</v>
      </c>
      <c r="U880" s="1" t="s">
        <v>2932</v>
      </c>
      <c r="V880" s="3">
        <f t="shared" si="126"/>
        <v>40000</v>
      </c>
      <c r="W880" s="3">
        <f t="shared" si="127"/>
        <v>16000</v>
      </c>
      <c r="X880" s="3">
        <f t="shared" si="119"/>
        <v>1250</v>
      </c>
      <c r="Y880" s="3">
        <f t="shared" si="120"/>
        <v>1600</v>
      </c>
      <c r="Z880" s="3">
        <f t="shared" si="121"/>
        <v>1800</v>
      </c>
      <c r="AA880" s="3">
        <v>0</v>
      </c>
      <c r="AB880" s="3">
        <f>ROUND(U880 - (V880+W880+X880+Y880) - (U880/Q880 * 2),0)</f>
        <v>34483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f>SUM(V880+W880+X880+Y880+AB880)</f>
        <v>93333</v>
      </c>
      <c r="AK880" s="3">
        <f>SUM(AJ880-AA880)</f>
        <v>93333</v>
      </c>
      <c r="AL880" s="3">
        <f>IF(V880&lt;=15000,V880*12%,1800)</f>
        <v>1800</v>
      </c>
      <c r="AM880" s="3">
        <v>0</v>
      </c>
      <c r="AN880" s="3">
        <f t="shared" si="122"/>
        <v>1800</v>
      </c>
      <c r="AO880" s="12">
        <v>200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3">
        <f t="shared" si="124"/>
        <v>200</v>
      </c>
      <c r="AV880" s="3">
        <f>SUM(AJ880 - AN880 - AU880)</f>
        <v>91333</v>
      </c>
      <c r="AW880" s="11">
        <v>0</v>
      </c>
      <c r="AX880" s="11">
        <v>0</v>
      </c>
      <c r="AY880" s="11">
        <v>0</v>
      </c>
      <c r="AZ880" s="11">
        <v>0</v>
      </c>
      <c r="BA880" s="3">
        <f t="shared" si="123"/>
        <v>91333</v>
      </c>
    </row>
    <row r="881" spans="1:53" x14ac:dyDescent="0.25">
      <c r="A881" s="1" t="s">
        <v>879</v>
      </c>
      <c r="B881" s="9" t="s">
        <v>2719</v>
      </c>
      <c r="C881" s="9" t="s">
        <v>2720</v>
      </c>
      <c r="D881" s="9" t="s">
        <v>2721</v>
      </c>
      <c r="E881" s="9" t="s">
        <v>1012</v>
      </c>
      <c r="F881" s="10">
        <v>42594</v>
      </c>
      <c r="G881" s="9" t="s">
        <v>1019</v>
      </c>
      <c r="I881" s="9" t="s">
        <v>1042</v>
      </c>
      <c r="J881" s="9" t="s">
        <v>1031</v>
      </c>
      <c r="K881" s="8" t="s">
        <v>1006</v>
      </c>
      <c r="L881" s="8" t="s">
        <v>1007</v>
      </c>
      <c r="M881" s="8" t="s">
        <v>2933</v>
      </c>
      <c r="N881" s="8" t="s">
        <v>2937</v>
      </c>
      <c r="O881" s="1" t="s">
        <v>2934</v>
      </c>
      <c r="P881">
        <v>30</v>
      </c>
      <c r="Q881">
        <v>30</v>
      </c>
      <c r="R881">
        <v>0</v>
      </c>
      <c r="S881">
        <f t="shared" si="125"/>
        <v>30</v>
      </c>
      <c r="T881" s="1" t="s">
        <v>2935</v>
      </c>
      <c r="U881" s="1" t="s">
        <v>2932</v>
      </c>
      <c r="V881" s="3">
        <f t="shared" si="126"/>
        <v>40000</v>
      </c>
      <c r="W881" s="3">
        <f t="shared" si="127"/>
        <v>16000</v>
      </c>
      <c r="X881" s="3">
        <f t="shared" si="119"/>
        <v>1250</v>
      </c>
      <c r="Y881" s="3">
        <f t="shared" si="120"/>
        <v>1600</v>
      </c>
      <c r="Z881" s="3">
        <f t="shared" si="121"/>
        <v>1800</v>
      </c>
      <c r="AA881" s="3">
        <v>0</v>
      </c>
      <c r="AB881" s="3">
        <f>ROUND(U881 - (V881+W881+X881+Y881) - (U881/Q881 * 2),0)</f>
        <v>34483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f>SUM(V881+W881+X881+Y881+AB881)</f>
        <v>93333</v>
      </c>
      <c r="AK881" s="3">
        <f>SUM(AJ881-AA881)</f>
        <v>93333</v>
      </c>
      <c r="AL881" s="3">
        <f>IF(V881&lt;=15000,V881*12%,1800)</f>
        <v>1800</v>
      </c>
      <c r="AM881" s="3">
        <v>0</v>
      </c>
      <c r="AN881" s="3">
        <f t="shared" si="122"/>
        <v>1800</v>
      </c>
      <c r="AO881" s="12">
        <v>200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3">
        <f t="shared" si="124"/>
        <v>200</v>
      </c>
      <c r="AV881" s="3">
        <f>SUM(AJ881 - AN881 - AU881)</f>
        <v>91333</v>
      </c>
      <c r="AW881" s="11">
        <v>0</v>
      </c>
      <c r="AX881" s="11">
        <v>0</v>
      </c>
      <c r="AY881" s="11">
        <v>0</v>
      </c>
      <c r="AZ881" s="11">
        <v>0</v>
      </c>
      <c r="BA881" s="3">
        <f t="shared" si="123"/>
        <v>91333</v>
      </c>
    </row>
    <row r="882" spans="1:53" x14ac:dyDescent="0.25">
      <c r="A882" s="1" t="s">
        <v>880</v>
      </c>
      <c r="B882" s="9" t="s">
        <v>2064</v>
      </c>
      <c r="C882" s="9" t="s">
        <v>2717</v>
      </c>
      <c r="D882" s="9" t="s">
        <v>2718</v>
      </c>
      <c r="E882" s="9" t="s">
        <v>1012</v>
      </c>
      <c r="F882" s="10">
        <v>43909</v>
      </c>
      <c r="G882" s="9" t="s">
        <v>1013</v>
      </c>
      <c r="I882" s="9" t="s">
        <v>1042</v>
      </c>
      <c r="J882" s="9" t="s">
        <v>1048</v>
      </c>
      <c r="K882" s="8" t="s">
        <v>1006</v>
      </c>
      <c r="L882" s="8" t="s">
        <v>1007</v>
      </c>
      <c r="M882" s="8" t="s">
        <v>2933</v>
      </c>
      <c r="N882" s="8" t="s">
        <v>2937</v>
      </c>
      <c r="O882" s="1" t="s">
        <v>2934</v>
      </c>
      <c r="P882">
        <v>30</v>
      </c>
      <c r="Q882">
        <v>30</v>
      </c>
      <c r="R882">
        <v>0</v>
      </c>
      <c r="S882">
        <f t="shared" si="125"/>
        <v>30</v>
      </c>
      <c r="T882" s="1" t="s">
        <v>2935</v>
      </c>
      <c r="U882" s="1" t="s">
        <v>2932</v>
      </c>
      <c r="V882" s="3">
        <f t="shared" si="126"/>
        <v>40000</v>
      </c>
      <c r="W882" s="3">
        <f t="shared" si="127"/>
        <v>16000</v>
      </c>
      <c r="X882" s="3">
        <f t="shared" si="119"/>
        <v>1250</v>
      </c>
      <c r="Y882" s="3">
        <f t="shared" si="120"/>
        <v>1600</v>
      </c>
      <c r="Z882" s="3">
        <f t="shared" si="121"/>
        <v>1800</v>
      </c>
      <c r="AA882" s="3">
        <v>0</v>
      </c>
      <c r="AB882" s="3">
        <f>ROUND(U882 - (V882+W882+X882+Y882) - (U882/Q882 * 2),0)</f>
        <v>34483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f>SUM(V882+W882+X882+Y882+AB882)</f>
        <v>93333</v>
      </c>
      <c r="AK882" s="3">
        <f>SUM(AJ882-AA882)</f>
        <v>93333</v>
      </c>
      <c r="AL882" s="3">
        <f>IF(V882&lt;=15000,V882*12%,1800)</f>
        <v>1800</v>
      </c>
      <c r="AM882" s="3">
        <v>0</v>
      </c>
      <c r="AN882" s="3">
        <f t="shared" si="122"/>
        <v>1800</v>
      </c>
      <c r="AO882" s="12">
        <v>200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3">
        <f t="shared" si="124"/>
        <v>200</v>
      </c>
      <c r="AV882" s="3">
        <f>SUM(AJ882 - AN882 - AU882)</f>
        <v>91333</v>
      </c>
      <c r="AW882" s="11">
        <v>0</v>
      </c>
      <c r="AX882" s="11">
        <v>0</v>
      </c>
      <c r="AY882" s="11">
        <v>0</v>
      </c>
      <c r="AZ882" s="11">
        <v>0</v>
      </c>
      <c r="BA882" s="3">
        <f t="shared" si="123"/>
        <v>91333</v>
      </c>
    </row>
    <row r="883" spans="1:53" x14ac:dyDescent="0.25">
      <c r="A883" s="1" t="s">
        <v>881</v>
      </c>
      <c r="B883" s="9" t="s">
        <v>2539</v>
      </c>
      <c r="C883" s="9" t="s">
        <v>2715</v>
      </c>
      <c r="D883" s="9" t="s">
        <v>2716</v>
      </c>
      <c r="E883" s="9" t="s">
        <v>1008</v>
      </c>
      <c r="F883" s="10">
        <v>42468</v>
      </c>
      <c r="G883" s="9" t="s">
        <v>1019</v>
      </c>
      <c r="I883" s="9" t="s">
        <v>1014</v>
      </c>
      <c r="J883" s="9" t="s">
        <v>1021</v>
      </c>
      <c r="K883" s="8" t="s">
        <v>1006</v>
      </c>
      <c r="L883" s="8" t="s">
        <v>1007</v>
      </c>
      <c r="M883" s="8" t="s">
        <v>2933</v>
      </c>
      <c r="N883" s="8" t="s">
        <v>2937</v>
      </c>
      <c r="O883" s="1" t="s">
        <v>2934</v>
      </c>
      <c r="P883">
        <v>30</v>
      </c>
      <c r="Q883">
        <v>30</v>
      </c>
      <c r="R883">
        <v>0</v>
      </c>
      <c r="S883">
        <f t="shared" si="125"/>
        <v>30</v>
      </c>
      <c r="T883" s="1" t="s">
        <v>2935</v>
      </c>
      <c r="U883" s="1" t="s">
        <v>2932</v>
      </c>
      <c r="V883" s="3">
        <f t="shared" si="126"/>
        <v>40000</v>
      </c>
      <c r="W883" s="3">
        <f t="shared" si="127"/>
        <v>16000</v>
      </c>
      <c r="X883" s="3">
        <f t="shared" si="119"/>
        <v>1250</v>
      </c>
      <c r="Y883" s="3">
        <f t="shared" si="120"/>
        <v>1600</v>
      </c>
      <c r="Z883" s="3">
        <f t="shared" si="121"/>
        <v>1800</v>
      </c>
      <c r="AA883" s="3">
        <v>0</v>
      </c>
      <c r="AB883" s="3">
        <f>ROUND(U883 - (V883+W883+X883+Y883) - (U883/Q883 * 2),0)</f>
        <v>34483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f>SUM(V883+W883+X883+Y883+AB883)</f>
        <v>93333</v>
      </c>
      <c r="AK883" s="3">
        <f>SUM(AJ883-AA883)</f>
        <v>93333</v>
      </c>
      <c r="AL883" s="3">
        <f>IF(V883&lt;=15000,V883*12%,1800)</f>
        <v>1800</v>
      </c>
      <c r="AM883" s="3">
        <v>0</v>
      </c>
      <c r="AN883" s="3">
        <f t="shared" si="122"/>
        <v>1800</v>
      </c>
      <c r="AO883" s="12">
        <v>200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3">
        <f t="shared" si="124"/>
        <v>200</v>
      </c>
      <c r="AV883" s="3">
        <f>SUM(AJ883 - AN883 - AU883)</f>
        <v>91333</v>
      </c>
      <c r="AW883" s="11">
        <v>0</v>
      </c>
      <c r="AX883" s="11">
        <v>0</v>
      </c>
      <c r="AY883" s="11">
        <v>0</v>
      </c>
      <c r="AZ883" s="11">
        <v>0</v>
      </c>
      <c r="BA883" s="3">
        <f t="shared" si="123"/>
        <v>91333</v>
      </c>
    </row>
    <row r="884" spans="1:53" x14ac:dyDescent="0.25">
      <c r="A884" s="1" t="s">
        <v>882</v>
      </c>
      <c r="B884" s="9" t="s">
        <v>2713</v>
      </c>
      <c r="C884" s="9" t="s">
        <v>1305</v>
      </c>
      <c r="D884" s="9" t="s">
        <v>2714</v>
      </c>
      <c r="E884" s="9" t="s">
        <v>1008</v>
      </c>
      <c r="F884" s="10">
        <v>42592</v>
      </c>
      <c r="G884" s="9" t="s">
        <v>1019</v>
      </c>
      <c r="I884" s="9" t="s">
        <v>1014</v>
      </c>
      <c r="J884" s="9" t="s">
        <v>1307</v>
      </c>
      <c r="K884" s="8" t="s">
        <v>1006</v>
      </c>
      <c r="L884" s="8" t="s">
        <v>1007</v>
      </c>
      <c r="M884" s="8" t="s">
        <v>2933</v>
      </c>
      <c r="N884" s="8" t="s">
        <v>2937</v>
      </c>
      <c r="O884" s="1" t="s">
        <v>2934</v>
      </c>
      <c r="P884">
        <v>30</v>
      </c>
      <c r="Q884">
        <v>30</v>
      </c>
      <c r="R884">
        <v>0</v>
      </c>
      <c r="S884">
        <f t="shared" si="125"/>
        <v>30</v>
      </c>
      <c r="T884" s="1" t="s">
        <v>2935</v>
      </c>
      <c r="U884" s="1" t="s">
        <v>2932</v>
      </c>
      <c r="V884" s="3">
        <f t="shared" si="126"/>
        <v>40000</v>
      </c>
      <c r="W884" s="3">
        <f t="shared" si="127"/>
        <v>16000</v>
      </c>
      <c r="X884" s="3">
        <f t="shared" si="119"/>
        <v>1250</v>
      </c>
      <c r="Y884" s="3">
        <f t="shared" si="120"/>
        <v>1600</v>
      </c>
      <c r="Z884" s="3">
        <f t="shared" si="121"/>
        <v>1800</v>
      </c>
      <c r="AA884" s="3">
        <v>0</v>
      </c>
      <c r="AB884" s="3">
        <f>ROUND(U884 - (V884+W884+X884+Y884) - (U884/Q884 * 2),0)</f>
        <v>34483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f>SUM(V884+W884+X884+Y884+AB884)</f>
        <v>93333</v>
      </c>
      <c r="AK884" s="3">
        <f>SUM(AJ884-AA884)</f>
        <v>93333</v>
      </c>
      <c r="AL884" s="3">
        <f>IF(V884&lt;=15000,V884*12%,1800)</f>
        <v>1800</v>
      </c>
      <c r="AM884" s="3">
        <v>0</v>
      </c>
      <c r="AN884" s="3">
        <f t="shared" si="122"/>
        <v>1800</v>
      </c>
      <c r="AO884" s="12">
        <v>200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3">
        <f t="shared" si="124"/>
        <v>200</v>
      </c>
      <c r="AV884" s="3">
        <f>SUM(AJ884 - AN884 - AU884)</f>
        <v>91333</v>
      </c>
      <c r="AW884" s="11">
        <v>0</v>
      </c>
      <c r="AX884" s="11">
        <v>0</v>
      </c>
      <c r="AY884" s="11">
        <v>0</v>
      </c>
      <c r="AZ884" s="11">
        <v>0</v>
      </c>
      <c r="BA884" s="3">
        <f t="shared" si="123"/>
        <v>91333</v>
      </c>
    </row>
    <row r="885" spans="1:53" x14ac:dyDescent="0.25">
      <c r="A885" s="1" t="s">
        <v>883</v>
      </c>
      <c r="B885" s="9" t="s">
        <v>2711</v>
      </c>
      <c r="C885" s="9" t="s">
        <v>2673</v>
      </c>
      <c r="D885" s="9" t="s">
        <v>2712</v>
      </c>
      <c r="E885" s="9" t="s">
        <v>1008</v>
      </c>
      <c r="F885" s="10">
        <v>42604</v>
      </c>
      <c r="G885" s="9" t="s">
        <v>1013</v>
      </c>
      <c r="I885" s="9" t="s">
        <v>1020</v>
      </c>
      <c r="J885" s="9" t="s">
        <v>1021</v>
      </c>
      <c r="K885" s="8" t="s">
        <v>1006</v>
      </c>
      <c r="L885" s="8" t="s">
        <v>1007</v>
      </c>
      <c r="M885" s="8" t="s">
        <v>2933</v>
      </c>
      <c r="N885" s="8" t="s">
        <v>2937</v>
      </c>
      <c r="O885" s="1" t="s">
        <v>2934</v>
      </c>
      <c r="P885">
        <v>30</v>
      </c>
      <c r="Q885">
        <v>30</v>
      </c>
      <c r="R885">
        <v>0</v>
      </c>
      <c r="S885">
        <f t="shared" si="125"/>
        <v>30</v>
      </c>
      <c r="T885" s="1" t="s">
        <v>2935</v>
      </c>
      <c r="U885" s="1" t="s">
        <v>2932</v>
      </c>
      <c r="V885" s="3">
        <f t="shared" si="126"/>
        <v>40000</v>
      </c>
      <c r="W885" s="3">
        <f t="shared" si="127"/>
        <v>16000</v>
      </c>
      <c r="X885" s="3">
        <f t="shared" si="119"/>
        <v>1250</v>
      </c>
      <c r="Y885" s="3">
        <f t="shared" si="120"/>
        <v>1600</v>
      </c>
      <c r="Z885" s="3">
        <f t="shared" si="121"/>
        <v>1800</v>
      </c>
      <c r="AA885" s="3">
        <v>0</v>
      </c>
      <c r="AB885" s="3">
        <f>ROUND(U885 - (V885+W885+X885+Y885) - (U885/Q885 * 2),0)</f>
        <v>34483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f>SUM(V885+W885+X885+Y885+AB885)</f>
        <v>93333</v>
      </c>
      <c r="AK885" s="3">
        <f>SUM(AJ885-AA885)</f>
        <v>93333</v>
      </c>
      <c r="AL885" s="3">
        <f>IF(V885&lt;=15000,V885*12%,1800)</f>
        <v>1800</v>
      </c>
      <c r="AM885" s="3">
        <v>0</v>
      </c>
      <c r="AN885" s="3">
        <f t="shared" si="122"/>
        <v>1800</v>
      </c>
      <c r="AO885" s="12">
        <v>200</v>
      </c>
      <c r="AP885" s="12">
        <v>0</v>
      </c>
      <c r="AQ885" s="12">
        <v>0</v>
      </c>
      <c r="AR885" s="12">
        <v>0</v>
      </c>
      <c r="AS885" s="12">
        <v>0</v>
      </c>
      <c r="AT885" s="12">
        <v>0</v>
      </c>
      <c r="AU885" s="3">
        <f t="shared" si="124"/>
        <v>200</v>
      </c>
      <c r="AV885" s="3">
        <f>SUM(AJ885 - AN885 - AU885)</f>
        <v>91333</v>
      </c>
      <c r="AW885" s="11">
        <v>0</v>
      </c>
      <c r="AX885" s="11">
        <v>0</v>
      </c>
      <c r="AY885" s="11">
        <v>0</v>
      </c>
      <c r="AZ885" s="11">
        <v>0</v>
      </c>
      <c r="BA885" s="3">
        <f t="shared" si="123"/>
        <v>91333</v>
      </c>
    </row>
    <row r="886" spans="1:53" x14ac:dyDescent="0.25">
      <c r="A886" s="1" t="s">
        <v>884</v>
      </c>
      <c r="B886" s="9" t="s">
        <v>2709</v>
      </c>
      <c r="C886" s="9" t="s">
        <v>1072</v>
      </c>
      <c r="D886" s="9" t="s">
        <v>2710</v>
      </c>
      <c r="E886" s="9" t="s">
        <v>1008</v>
      </c>
      <c r="F886" s="10">
        <v>42562</v>
      </c>
      <c r="G886" s="9" t="s">
        <v>1019</v>
      </c>
      <c r="I886" s="9" t="s">
        <v>1042</v>
      </c>
      <c r="J886" s="9" t="s">
        <v>1048</v>
      </c>
      <c r="K886" s="8" t="s">
        <v>1006</v>
      </c>
      <c r="L886" s="8" t="s">
        <v>1007</v>
      </c>
      <c r="M886" s="8" t="s">
        <v>2933</v>
      </c>
      <c r="N886" s="8" t="s">
        <v>2937</v>
      </c>
      <c r="O886" s="1" t="s">
        <v>2934</v>
      </c>
      <c r="P886">
        <v>30</v>
      </c>
      <c r="Q886">
        <v>30</v>
      </c>
      <c r="R886">
        <v>0</v>
      </c>
      <c r="S886">
        <f t="shared" si="125"/>
        <v>30</v>
      </c>
      <c r="T886" s="1" t="s">
        <v>2935</v>
      </c>
      <c r="U886" s="1" t="s">
        <v>2932</v>
      </c>
      <c r="V886" s="3">
        <f t="shared" si="126"/>
        <v>40000</v>
      </c>
      <c r="W886" s="3">
        <f t="shared" si="127"/>
        <v>16000</v>
      </c>
      <c r="X886" s="3">
        <f t="shared" si="119"/>
        <v>1250</v>
      </c>
      <c r="Y886" s="3">
        <f t="shared" si="120"/>
        <v>1600</v>
      </c>
      <c r="Z886" s="3">
        <f t="shared" si="121"/>
        <v>1800</v>
      </c>
      <c r="AA886" s="3">
        <v>0</v>
      </c>
      <c r="AB886" s="3">
        <f>ROUND(U886 - (V886+W886+X886+Y886) - (U886/Q886 * 2),0)</f>
        <v>34483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f>SUM(V886+W886+X886+Y886+AB886)</f>
        <v>93333</v>
      </c>
      <c r="AK886" s="3">
        <f>SUM(AJ886-AA886)</f>
        <v>93333</v>
      </c>
      <c r="AL886" s="3">
        <f>IF(V886&lt;=15000,V886*12%,1800)</f>
        <v>1800</v>
      </c>
      <c r="AM886" s="3">
        <v>0</v>
      </c>
      <c r="AN886" s="3">
        <f t="shared" si="122"/>
        <v>1800</v>
      </c>
      <c r="AO886" s="12">
        <v>200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3">
        <f t="shared" si="124"/>
        <v>200</v>
      </c>
      <c r="AV886" s="3">
        <f>SUM(AJ886 - AN886 - AU886)</f>
        <v>91333</v>
      </c>
      <c r="AW886" s="11">
        <v>0</v>
      </c>
      <c r="AX886" s="11">
        <v>0</v>
      </c>
      <c r="AY886" s="11">
        <v>0</v>
      </c>
      <c r="AZ886" s="11">
        <v>0</v>
      </c>
      <c r="BA886" s="3">
        <f t="shared" si="123"/>
        <v>91333</v>
      </c>
    </row>
    <row r="887" spans="1:53" x14ac:dyDescent="0.25">
      <c r="A887" s="1" t="s">
        <v>885</v>
      </c>
      <c r="B887" s="9" t="s">
        <v>2706</v>
      </c>
      <c r="C887" s="9" t="s">
        <v>2707</v>
      </c>
      <c r="D887" s="9" t="s">
        <v>2708</v>
      </c>
      <c r="E887" s="9" t="s">
        <v>1012</v>
      </c>
      <c r="F887" s="10">
        <v>42562</v>
      </c>
      <c r="G887" s="9" t="s">
        <v>1019</v>
      </c>
      <c r="I887" s="9" t="s">
        <v>1209</v>
      </c>
      <c r="J887" s="9" t="s">
        <v>1048</v>
      </c>
      <c r="K887" s="8" t="s">
        <v>1006</v>
      </c>
      <c r="L887" s="8" t="s">
        <v>1007</v>
      </c>
      <c r="M887" s="8" t="s">
        <v>2933</v>
      </c>
      <c r="N887" s="8" t="s">
        <v>2937</v>
      </c>
      <c r="O887" s="1" t="s">
        <v>2934</v>
      </c>
      <c r="P887">
        <v>30</v>
      </c>
      <c r="Q887">
        <v>30</v>
      </c>
      <c r="R887">
        <v>0</v>
      </c>
      <c r="S887">
        <f t="shared" si="125"/>
        <v>30</v>
      </c>
      <c r="T887" s="1" t="s">
        <v>2935</v>
      </c>
      <c r="U887" s="1" t="s">
        <v>2932</v>
      </c>
      <c r="V887" s="3">
        <f t="shared" si="126"/>
        <v>40000</v>
      </c>
      <c r="W887" s="3">
        <f t="shared" si="127"/>
        <v>16000</v>
      </c>
      <c r="X887" s="3">
        <f t="shared" si="119"/>
        <v>1250</v>
      </c>
      <c r="Y887" s="3">
        <f t="shared" si="120"/>
        <v>1600</v>
      </c>
      <c r="Z887" s="3">
        <f t="shared" si="121"/>
        <v>1800</v>
      </c>
      <c r="AA887" s="3">
        <v>0</v>
      </c>
      <c r="AB887" s="3">
        <f>ROUND(U887 - (V887+W887+X887+Y887) - (U887/Q887 * 2),0)</f>
        <v>34483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f>SUM(V887+W887+X887+Y887+AB887)</f>
        <v>93333</v>
      </c>
      <c r="AK887" s="3">
        <f>SUM(AJ887-AA887)</f>
        <v>93333</v>
      </c>
      <c r="AL887" s="3">
        <f>IF(V887&lt;=15000,V887*12%,1800)</f>
        <v>1800</v>
      </c>
      <c r="AM887" s="3">
        <v>0</v>
      </c>
      <c r="AN887" s="3">
        <f t="shared" si="122"/>
        <v>1800</v>
      </c>
      <c r="AO887" s="12">
        <v>200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3">
        <f t="shared" si="124"/>
        <v>200</v>
      </c>
      <c r="AV887" s="3">
        <f>SUM(AJ887 - AN887 - AU887)</f>
        <v>91333</v>
      </c>
      <c r="AW887" s="11">
        <v>0</v>
      </c>
      <c r="AX887" s="11">
        <v>0</v>
      </c>
      <c r="AY887" s="11">
        <v>0</v>
      </c>
      <c r="AZ887" s="11">
        <v>0</v>
      </c>
      <c r="BA887" s="3">
        <f t="shared" si="123"/>
        <v>91333</v>
      </c>
    </row>
    <row r="888" spans="1:53" x14ac:dyDescent="0.25">
      <c r="A888" s="1" t="s">
        <v>886</v>
      </c>
      <c r="B888" s="9" t="s">
        <v>1254</v>
      </c>
      <c r="C888" s="9" t="s">
        <v>2673</v>
      </c>
      <c r="D888" s="9" t="s">
        <v>2705</v>
      </c>
      <c r="E888" s="9" t="s">
        <v>1012</v>
      </c>
      <c r="F888" s="10">
        <v>42675</v>
      </c>
      <c r="G888" s="9" t="s">
        <v>1019</v>
      </c>
      <c r="I888" s="9" t="s">
        <v>1014</v>
      </c>
      <c r="J888" s="9" t="s">
        <v>1021</v>
      </c>
      <c r="K888" s="8" t="s">
        <v>1006</v>
      </c>
      <c r="L888" s="8" t="s">
        <v>1007</v>
      </c>
      <c r="M888" s="8" t="s">
        <v>2933</v>
      </c>
      <c r="N888" s="8" t="s">
        <v>2937</v>
      </c>
      <c r="O888" s="1" t="s">
        <v>2934</v>
      </c>
      <c r="P888">
        <v>30</v>
      </c>
      <c r="Q888">
        <v>30</v>
      </c>
      <c r="R888">
        <v>0</v>
      </c>
      <c r="S888">
        <f t="shared" si="125"/>
        <v>30</v>
      </c>
      <c r="T888" s="1" t="s">
        <v>2935</v>
      </c>
      <c r="U888" s="1" t="s">
        <v>2932</v>
      </c>
      <c r="V888" s="3">
        <f t="shared" si="126"/>
        <v>40000</v>
      </c>
      <c r="W888" s="3">
        <f t="shared" si="127"/>
        <v>16000</v>
      </c>
      <c r="X888" s="3">
        <f t="shared" si="119"/>
        <v>1250</v>
      </c>
      <c r="Y888" s="3">
        <f t="shared" si="120"/>
        <v>1600</v>
      </c>
      <c r="Z888" s="3">
        <f t="shared" si="121"/>
        <v>1800</v>
      </c>
      <c r="AA888" s="3">
        <v>0</v>
      </c>
      <c r="AB888" s="3">
        <f>ROUND(U888 - (V888+W888+X888+Y888) - (U888/Q888 * 2),0)</f>
        <v>34483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f>SUM(V888+W888+X888+Y888+AB888)</f>
        <v>93333</v>
      </c>
      <c r="AK888" s="3">
        <f>SUM(AJ888-AA888)</f>
        <v>93333</v>
      </c>
      <c r="AL888" s="3">
        <f>IF(V888&lt;=15000,V888*12%,1800)</f>
        <v>1800</v>
      </c>
      <c r="AM888" s="3">
        <v>0</v>
      </c>
      <c r="AN888" s="3">
        <f t="shared" si="122"/>
        <v>1800</v>
      </c>
      <c r="AO888" s="12">
        <v>200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3">
        <f t="shared" si="124"/>
        <v>200</v>
      </c>
      <c r="AV888" s="3">
        <f>SUM(AJ888 - AN888 - AU888)</f>
        <v>91333</v>
      </c>
      <c r="AW888" s="11">
        <v>0</v>
      </c>
      <c r="AX888" s="11">
        <v>0</v>
      </c>
      <c r="AY888" s="11">
        <v>0</v>
      </c>
      <c r="AZ888" s="11">
        <v>0</v>
      </c>
      <c r="BA888" s="3">
        <f t="shared" si="123"/>
        <v>91333</v>
      </c>
    </row>
    <row r="889" spans="1:53" x14ac:dyDescent="0.25">
      <c r="A889" s="1" t="s">
        <v>887</v>
      </c>
      <c r="B889" s="9" t="s">
        <v>1094</v>
      </c>
      <c r="C889" s="9" t="s">
        <v>1273</v>
      </c>
      <c r="D889" s="9" t="s">
        <v>2704</v>
      </c>
      <c r="E889" s="9" t="s">
        <v>1012</v>
      </c>
      <c r="F889" s="10">
        <v>42807</v>
      </c>
      <c r="G889" s="9" t="s">
        <v>1013</v>
      </c>
      <c r="I889" s="9" t="s">
        <v>1042</v>
      </c>
      <c r="J889" s="9" t="s">
        <v>1048</v>
      </c>
      <c r="K889" s="8" t="s">
        <v>1006</v>
      </c>
      <c r="L889" s="8" t="s">
        <v>1007</v>
      </c>
      <c r="M889" s="8" t="s">
        <v>2933</v>
      </c>
      <c r="N889" s="8" t="s">
        <v>2937</v>
      </c>
      <c r="O889" s="1" t="s">
        <v>2934</v>
      </c>
      <c r="P889">
        <v>30</v>
      </c>
      <c r="Q889">
        <v>30</v>
      </c>
      <c r="R889">
        <v>0</v>
      </c>
      <c r="S889">
        <f t="shared" si="125"/>
        <v>30</v>
      </c>
      <c r="T889" s="1" t="s">
        <v>2935</v>
      </c>
      <c r="U889" s="1" t="s">
        <v>2932</v>
      </c>
      <c r="V889" s="3">
        <f t="shared" si="126"/>
        <v>40000</v>
      </c>
      <c r="W889" s="3">
        <f t="shared" si="127"/>
        <v>16000</v>
      </c>
      <c r="X889" s="3">
        <f t="shared" si="119"/>
        <v>1250</v>
      </c>
      <c r="Y889" s="3">
        <f t="shared" si="120"/>
        <v>1600</v>
      </c>
      <c r="Z889" s="3">
        <f t="shared" si="121"/>
        <v>1800</v>
      </c>
      <c r="AA889" s="3">
        <v>0</v>
      </c>
      <c r="AB889" s="3">
        <f>ROUND(U889 - (V889+W889+X889+Y889) - (U889/Q889 * 2),0)</f>
        <v>34483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f>SUM(V889+W889+X889+Y889+AB889)</f>
        <v>93333</v>
      </c>
      <c r="AK889" s="3">
        <f>SUM(AJ889-AA889)</f>
        <v>93333</v>
      </c>
      <c r="AL889" s="3">
        <f>IF(V889&lt;=15000,V889*12%,1800)</f>
        <v>1800</v>
      </c>
      <c r="AM889" s="3">
        <v>0</v>
      </c>
      <c r="AN889" s="3">
        <f t="shared" si="122"/>
        <v>1800</v>
      </c>
      <c r="AO889" s="12">
        <v>200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3">
        <f t="shared" si="124"/>
        <v>200</v>
      </c>
      <c r="AV889" s="3">
        <f>SUM(AJ889 - AN889 - AU889)</f>
        <v>91333</v>
      </c>
      <c r="AW889" s="11">
        <v>0</v>
      </c>
      <c r="AX889" s="11">
        <v>0</v>
      </c>
      <c r="AY889" s="11">
        <v>0</v>
      </c>
      <c r="AZ889" s="11">
        <v>0</v>
      </c>
      <c r="BA889" s="3">
        <f t="shared" si="123"/>
        <v>91333</v>
      </c>
    </row>
    <row r="890" spans="1:53" x14ac:dyDescent="0.25">
      <c r="A890" s="1" t="s">
        <v>888</v>
      </c>
      <c r="B890" s="9" t="s">
        <v>2701</v>
      </c>
      <c r="C890" s="9" t="s">
        <v>2702</v>
      </c>
      <c r="D890" s="9" t="s">
        <v>2703</v>
      </c>
      <c r="E890" s="9" t="s">
        <v>1012</v>
      </c>
      <c r="F890" s="10">
        <v>42821</v>
      </c>
      <c r="G890" s="9" t="s">
        <v>1019</v>
      </c>
      <c r="I890" s="9" t="s">
        <v>1042</v>
      </c>
      <c r="J890" s="9" t="s">
        <v>1048</v>
      </c>
      <c r="K890" s="8" t="s">
        <v>1006</v>
      </c>
      <c r="L890" s="8" t="s">
        <v>1007</v>
      </c>
      <c r="M890" s="8" t="s">
        <v>2933</v>
      </c>
      <c r="N890" s="8" t="s">
        <v>2937</v>
      </c>
      <c r="O890" s="1" t="s">
        <v>2934</v>
      </c>
      <c r="P890">
        <v>30</v>
      </c>
      <c r="Q890">
        <v>30</v>
      </c>
      <c r="R890">
        <v>0</v>
      </c>
      <c r="S890">
        <f t="shared" si="125"/>
        <v>30</v>
      </c>
      <c r="T890" s="1" t="s">
        <v>2935</v>
      </c>
      <c r="U890" s="1" t="s">
        <v>2932</v>
      </c>
      <c r="V890" s="3">
        <f t="shared" si="126"/>
        <v>40000</v>
      </c>
      <c r="W890" s="3">
        <f t="shared" si="127"/>
        <v>16000</v>
      </c>
      <c r="X890" s="3">
        <f t="shared" si="119"/>
        <v>1250</v>
      </c>
      <c r="Y890" s="3">
        <f t="shared" si="120"/>
        <v>1600</v>
      </c>
      <c r="Z890" s="3">
        <f t="shared" si="121"/>
        <v>1800</v>
      </c>
      <c r="AA890" s="3">
        <v>0</v>
      </c>
      <c r="AB890" s="3">
        <f>ROUND(U890 - (V890+W890+X890+Y890) - (U890/Q890 * 2),0)</f>
        <v>34483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f>SUM(V890+W890+X890+Y890+AB890)</f>
        <v>93333</v>
      </c>
      <c r="AK890" s="3">
        <f>SUM(AJ890-AA890)</f>
        <v>93333</v>
      </c>
      <c r="AL890" s="3">
        <f>IF(V890&lt;=15000,V890*12%,1800)</f>
        <v>1800</v>
      </c>
      <c r="AM890" s="3">
        <v>0</v>
      </c>
      <c r="AN890" s="3">
        <f t="shared" si="122"/>
        <v>1800</v>
      </c>
      <c r="AO890" s="12">
        <v>200</v>
      </c>
      <c r="AP890" s="12">
        <v>0</v>
      </c>
      <c r="AQ890" s="12">
        <v>0</v>
      </c>
      <c r="AR890" s="12">
        <v>0</v>
      </c>
      <c r="AS890" s="12">
        <v>0</v>
      </c>
      <c r="AT890" s="12">
        <v>0</v>
      </c>
      <c r="AU890" s="3">
        <f t="shared" si="124"/>
        <v>200</v>
      </c>
      <c r="AV890" s="3">
        <f>SUM(AJ890 - AN890 - AU890)</f>
        <v>91333</v>
      </c>
      <c r="AW890" s="11">
        <v>0</v>
      </c>
      <c r="AX890" s="11">
        <v>0</v>
      </c>
      <c r="AY890" s="11">
        <v>0</v>
      </c>
      <c r="AZ890" s="11">
        <v>0</v>
      </c>
      <c r="BA890" s="3">
        <f t="shared" si="123"/>
        <v>91333</v>
      </c>
    </row>
    <row r="891" spans="1:53" x14ac:dyDescent="0.25">
      <c r="A891" s="1" t="s">
        <v>889</v>
      </c>
      <c r="B891" s="9" t="s">
        <v>1096</v>
      </c>
      <c r="C891" s="9" t="s">
        <v>2699</v>
      </c>
      <c r="D891" s="9" t="s">
        <v>2700</v>
      </c>
      <c r="E891" s="9" t="s">
        <v>1012</v>
      </c>
      <c r="F891" s="10">
        <v>42740</v>
      </c>
      <c r="G891" s="9" t="s">
        <v>1019</v>
      </c>
      <c r="I891" s="9" t="s">
        <v>1042</v>
      </c>
      <c r="J891" s="9" t="s">
        <v>1048</v>
      </c>
      <c r="K891" s="8" t="s">
        <v>1006</v>
      </c>
      <c r="L891" s="8" t="s">
        <v>1007</v>
      </c>
      <c r="M891" s="8" t="s">
        <v>2933</v>
      </c>
      <c r="N891" s="8" t="s">
        <v>2937</v>
      </c>
      <c r="O891" s="1" t="s">
        <v>2934</v>
      </c>
      <c r="P891">
        <v>30</v>
      </c>
      <c r="Q891">
        <v>30</v>
      </c>
      <c r="R891">
        <v>0</v>
      </c>
      <c r="S891">
        <f t="shared" si="125"/>
        <v>30</v>
      </c>
      <c r="T891" s="1" t="s">
        <v>2935</v>
      </c>
      <c r="U891" s="1" t="s">
        <v>2932</v>
      </c>
      <c r="V891" s="3">
        <f t="shared" si="126"/>
        <v>40000</v>
      </c>
      <c r="W891" s="3">
        <f t="shared" si="127"/>
        <v>16000</v>
      </c>
      <c r="X891" s="3">
        <f t="shared" si="119"/>
        <v>1250</v>
      </c>
      <c r="Y891" s="3">
        <f t="shared" si="120"/>
        <v>1600</v>
      </c>
      <c r="Z891" s="3">
        <f t="shared" si="121"/>
        <v>1800</v>
      </c>
      <c r="AA891" s="3">
        <v>0</v>
      </c>
      <c r="AB891" s="3">
        <f>ROUND(U891 - (V891+W891+X891+Y891) - (U891/Q891 * 2),0)</f>
        <v>34483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f>SUM(V891+W891+X891+Y891+AB891)</f>
        <v>93333</v>
      </c>
      <c r="AK891" s="3">
        <f>SUM(AJ891-AA891)</f>
        <v>93333</v>
      </c>
      <c r="AL891" s="3">
        <f>IF(V891&lt;=15000,V891*12%,1800)</f>
        <v>1800</v>
      </c>
      <c r="AM891" s="3">
        <v>0</v>
      </c>
      <c r="AN891" s="3">
        <f t="shared" si="122"/>
        <v>1800</v>
      </c>
      <c r="AO891" s="12">
        <v>200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3">
        <f t="shared" si="124"/>
        <v>200</v>
      </c>
      <c r="AV891" s="3">
        <f>SUM(AJ891 - AN891 - AU891)</f>
        <v>91333</v>
      </c>
      <c r="AW891" s="11">
        <v>0</v>
      </c>
      <c r="AX891" s="11">
        <v>0</v>
      </c>
      <c r="AY891" s="11">
        <v>0</v>
      </c>
      <c r="AZ891" s="11">
        <v>0</v>
      </c>
      <c r="BA891" s="3">
        <f t="shared" si="123"/>
        <v>91333</v>
      </c>
    </row>
    <row r="892" spans="1:53" x14ac:dyDescent="0.25">
      <c r="A892" s="1" t="s">
        <v>890</v>
      </c>
      <c r="B892" s="9" t="s">
        <v>2696</v>
      </c>
      <c r="C892" s="9" t="s">
        <v>2697</v>
      </c>
      <c r="D892" s="9" t="s">
        <v>2698</v>
      </c>
      <c r="E892" s="9" t="s">
        <v>1012</v>
      </c>
      <c r="F892" s="10">
        <v>42975</v>
      </c>
      <c r="G892" s="9" t="s">
        <v>1019</v>
      </c>
      <c r="I892" s="9" t="s">
        <v>1209</v>
      </c>
      <c r="J892" s="9" t="s">
        <v>1048</v>
      </c>
      <c r="K892" s="8" t="s">
        <v>1006</v>
      </c>
      <c r="L892" s="8" t="s">
        <v>1007</v>
      </c>
      <c r="M892" s="8" t="s">
        <v>2933</v>
      </c>
      <c r="N892" s="8" t="s">
        <v>2937</v>
      </c>
      <c r="O892" s="1" t="s">
        <v>2934</v>
      </c>
      <c r="P892">
        <v>30</v>
      </c>
      <c r="Q892">
        <v>30</v>
      </c>
      <c r="R892">
        <v>0</v>
      </c>
      <c r="S892">
        <f t="shared" si="125"/>
        <v>30</v>
      </c>
      <c r="T892" s="1" t="s">
        <v>2935</v>
      </c>
      <c r="U892" s="1" t="s">
        <v>2932</v>
      </c>
      <c r="V892" s="3">
        <f t="shared" si="126"/>
        <v>40000</v>
      </c>
      <c r="W892" s="3">
        <f t="shared" si="127"/>
        <v>16000</v>
      </c>
      <c r="X892" s="3">
        <f t="shared" si="119"/>
        <v>1250</v>
      </c>
      <c r="Y892" s="3">
        <f t="shared" si="120"/>
        <v>1600</v>
      </c>
      <c r="Z892" s="3">
        <f t="shared" si="121"/>
        <v>1800</v>
      </c>
      <c r="AA892" s="3">
        <v>0</v>
      </c>
      <c r="AB892" s="3">
        <f>ROUND(U892 - (V892+W892+X892+Y892) - (U892/Q892 * 2),0)</f>
        <v>34483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f>SUM(V892+W892+X892+Y892+AB892)</f>
        <v>93333</v>
      </c>
      <c r="AK892" s="3">
        <f>SUM(AJ892-AA892)</f>
        <v>93333</v>
      </c>
      <c r="AL892" s="3">
        <f>IF(V892&lt;=15000,V892*12%,1800)</f>
        <v>1800</v>
      </c>
      <c r="AM892" s="3">
        <v>0</v>
      </c>
      <c r="AN892" s="3">
        <f t="shared" si="122"/>
        <v>1800</v>
      </c>
      <c r="AO892" s="12">
        <v>200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3">
        <f t="shared" si="124"/>
        <v>200</v>
      </c>
      <c r="AV892" s="3">
        <f>SUM(AJ892 - AN892 - AU892)</f>
        <v>91333</v>
      </c>
      <c r="AW892" s="11">
        <v>0</v>
      </c>
      <c r="AX892" s="11">
        <v>0</v>
      </c>
      <c r="AY892" s="11">
        <v>0</v>
      </c>
      <c r="AZ892" s="11">
        <v>0</v>
      </c>
      <c r="BA892" s="3">
        <f t="shared" si="123"/>
        <v>91333</v>
      </c>
    </row>
    <row r="893" spans="1:53" x14ac:dyDescent="0.25">
      <c r="A893" s="1" t="s">
        <v>891</v>
      </c>
      <c r="B893" s="9" t="s">
        <v>2695</v>
      </c>
      <c r="C893" s="9" t="s">
        <v>1115</v>
      </c>
      <c r="D893" s="9">
        <v>0</v>
      </c>
      <c r="E893" s="9" t="s">
        <v>1012</v>
      </c>
      <c r="F893" s="10">
        <v>42975</v>
      </c>
      <c r="G893" s="9" t="s">
        <v>1013</v>
      </c>
      <c r="I893" s="9" t="s">
        <v>1042</v>
      </c>
      <c r="J893" s="9" t="s">
        <v>1048</v>
      </c>
      <c r="K893" s="8" t="s">
        <v>1006</v>
      </c>
      <c r="L893" s="8" t="s">
        <v>1007</v>
      </c>
      <c r="M893" s="8" t="s">
        <v>2933</v>
      </c>
      <c r="N893" s="8" t="s">
        <v>2937</v>
      </c>
      <c r="O893" s="1" t="s">
        <v>2934</v>
      </c>
      <c r="P893">
        <v>30</v>
      </c>
      <c r="Q893">
        <v>30</v>
      </c>
      <c r="R893">
        <v>0</v>
      </c>
      <c r="S893">
        <f t="shared" si="125"/>
        <v>30</v>
      </c>
      <c r="T893" s="1" t="s">
        <v>2935</v>
      </c>
      <c r="U893" s="1" t="s">
        <v>2932</v>
      </c>
      <c r="V893" s="3">
        <f t="shared" si="126"/>
        <v>40000</v>
      </c>
      <c r="W893" s="3">
        <f t="shared" si="127"/>
        <v>16000</v>
      </c>
      <c r="X893" s="3">
        <f t="shared" si="119"/>
        <v>1250</v>
      </c>
      <c r="Y893" s="3">
        <f t="shared" si="120"/>
        <v>1600</v>
      </c>
      <c r="Z893" s="3">
        <f t="shared" si="121"/>
        <v>1800</v>
      </c>
      <c r="AA893" s="3">
        <v>0</v>
      </c>
      <c r="AB893" s="3">
        <f>ROUND(U893 - (V893+W893+X893+Y893) - (U893/Q893 * 2),0)</f>
        <v>34483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f>SUM(V893+W893+X893+Y893+AB893)</f>
        <v>93333</v>
      </c>
      <c r="AK893" s="3">
        <f>SUM(AJ893-AA893)</f>
        <v>93333</v>
      </c>
      <c r="AL893" s="3">
        <f>IF(V893&lt;=15000,V893*12%,1800)</f>
        <v>1800</v>
      </c>
      <c r="AM893" s="3">
        <v>0</v>
      </c>
      <c r="AN893" s="3">
        <f t="shared" si="122"/>
        <v>1800</v>
      </c>
      <c r="AO893" s="12">
        <v>200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3">
        <f t="shared" si="124"/>
        <v>200</v>
      </c>
      <c r="AV893" s="3">
        <f>SUM(AJ893 - AN893 - AU893)</f>
        <v>91333</v>
      </c>
      <c r="AW893" s="11">
        <v>0</v>
      </c>
      <c r="AX893" s="11">
        <v>0</v>
      </c>
      <c r="AY893" s="11">
        <v>0</v>
      </c>
      <c r="AZ893" s="11">
        <v>0</v>
      </c>
      <c r="BA893" s="3">
        <f t="shared" si="123"/>
        <v>91333</v>
      </c>
    </row>
    <row r="894" spans="1:53" x14ac:dyDescent="0.25">
      <c r="A894" s="1" t="s">
        <v>892</v>
      </c>
      <c r="B894" s="9" t="s">
        <v>2057</v>
      </c>
      <c r="C894" s="9" t="s">
        <v>2693</v>
      </c>
      <c r="D894" s="9" t="s">
        <v>2694</v>
      </c>
      <c r="E894" s="9" t="s">
        <v>1012</v>
      </c>
      <c r="F894" s="10">
        <v>42982</v>
      </c>
      <c r="G894" s="9" t="s">
        <v>1013</v>
      </c>
      <c r="I894" s="9" t="s">
        <v>1042</v>
      </c>
      <c r="J894" s="9" t="s">
        <v>1052</v>
      </c>
      <c r="K894" s="8" t="s">
        <v>1006</v>
      </c>
      <c r="L894" s="8" t="s">
        <v>1007</v>
      </c>
      <c r="M894" s="8" t="s">
        <v>2933</v>
      </c>
      <c r="N894" s="8" t="s">
        <v>2937</v>
      </c>
      <c r="O894" s="1" t="s">
        <v>2934</v>
      </c>
      <c r="P894">
        <v>30</v>
      </c>
      <c r="Q894">
        <v>30</v>
      </c>
      <c r="R894">
        <v>0</v>
      </c>
      <c r="S894">
        <f t="shared" si="125"/>
        <v>30</v>
      </c>
      <c r="T894" s="1" t="s">
        <v>2935</v>
      </c>
      <c r="U894" s="1" t="s">
        <v>2932</v>
      </c>
      <c r="V894" s="3">
        <f t="shared" si="126"/>
        <v>40000</v>
      </c>
      <c r="W894" s="3">
        <f t="shared" si="127"/>
        <v>16000</v>
      </c>
      <c r="X894" s="3">
        <f t="shared" si="119"/>
        <v>1250</v>
      </c>
      <c r="Y894" s="3">
        <f t="shared" si="120"/>
        <v>1600</v>
      </c>
      <c r="Z894" s="3">
        <f t="shared" si="121"/>
        <v>1800</v>
      </c>
      <c r="AA894" s="3">
        <v>0</v>
      </c>
      <c r="AB894" s="3">
        <f>ROUND(U894 - (V894+W894+X894+Y894) - (U894/Q894 * 2),0)</f>
        <v>34483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f>SUM(V894+W894+X894+Y894+AB894)</f>
        <v>93333</v>
      </c>
      <c r="AK894" s="3">
        <f>SUM(AJ894-AA894)</f>
        <v>93333</v>
      </c>
      <c r="AL894" s="3">
        <f>IF(V894&lt;=15000,V894*12%,1800)</f>
        <v>1800</v>
      </c>
      <c r="AM894" s="3">
        <v>0</v>
      </c>
      <c r="AN894" s="3">
        <f t="shared" si="122"/>
        <v>1800</v>
      </c>
      <c r="AO894" s="12">
        <v>200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3">
        <f t="shared" si="124"/>
        <v>200</v>
      </c>
      <c r="AV894" s="3">
        <f>SUM(AJ894 - AN894 - AU894)</f>
        <v>91333</v>
      </c>
      <c r="AW894" s="11">
        <v>0</v>
      </c>
      <c r="AX894" s="11">
        <v>0</v>
      </c>
      <c r="AY894" s="11">
        <v>0</v>
      </c>
      <c r="AZ894" s="11">
        <v>0</v>
      </c>
      <c r="BA894" s="3">
        <f t="shared" si="123"/>
        <v>91333</v>
      </c>
    </row>
    <row r="895" spans="1:53" x14ac:dyDescent="0.25">
      <c r="A895" s="1" t="s">
        <v>893</v>
      </c>
      <c r="B895" s="9" t="s">
        <v>2755</v>
      </c>
      <c r="C895" s="9" t="s">
        <v>1017</v>
      </c>
      <c r="D895" s="9" t="s">
        <v>2756</v>
      </c>
      <c r="E895" s="9" t="s">
        <v>1012</v>
      </c>
      <c r="F895" s="10">
        <v>42786</v>
      </c>
      <c r="G895" s="9" t="s">
        <v>1019</v>
      </c>
      <c r="I895" s="9" t="s">
        <v>1014</v>
      </c>
      <c r="J895" s="9" t="s">
        <v>1021</v>
      </c>
      <c r="K895" s="8" t="s">
        <v>1006</v>
      </c>
      <c r="L895" s="8" t="s">
        <v>1007</v>
      </c>
      <c r="M895" s="8" t="s">
        <v>2933</v>
      </c>
      <c r="N895" s="8" t="s">
        <v>2937</v>
      </c>
      <c r="O895" s="1" t="s">
        <v>2934</v>
      </c>
      <c r="P895">
        <v>30</v>
      </c>
      <c r="Q895">
        <v>30</v>
      </c>
      <c r="R895">
        <v>0</v>
      </c>
      <c r="S895">
        <f t="shared" si="125"/>
        <v>30</v>
      </c>
      <c r="T895" s="1" t="s">
        <v>2935</v>
      </c>
      <c r="U895" s="1" t="s">
        <v>2932</v>
      </c>
      <c r="V895" s="3">
        <f t="shared" si="126"/>
        <v>40000</v>
      </c>
      <c r="W895" s="3">
        <f t="shared" si="127"/>
        <v>16000</v>
      </c>
      <c r="X895" s="3">
        <f t="shared" si="119"/>
        <v>1250</v>
      </c>
      <c r="Y895" s="3">
        <f t="shared" si="120"/>
        <v>1600</v>
      </c>
      <c r="Z895" s="3">
        <f t="shared" si="121"/>
        <v>1800</v>
      </c>
      <c r="AA895" s="3">
        <v>0</v>
      </c>
      <c r="AB895" s="3">
        <f>ROUND(U895 - (V895+W895+X895+Y895) - (U895/Q895 * 2),0)</f>
        <v>34483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f>SUM(V895+W895+X895+Y895+AB895)</f>
        <v>93333</v>
      </c>
      <c r="AK895" s="3">
        <f>SUM(AJ895-AA895)</f>
        <v>93333</v>
      </c>
      <c r="AL895" s="3">
        <f>IF(V895&lt;=15000,V895*12%,1800)</f>
        <v>1800</v>
      </c>
      <c r="AM895" s="3">
        <v>0</v>
      </c>
      <c r="AN895" s="3">
        <f t="shared" si="122"/>
        <v>1800</v>
      </c>
      <c r="AO895" s="12">
        <v>200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3">
        <f t="shared" si="124"/>
        <v>200</v>
      </c>
      <c r="AV895" s="3">
        <f>SUM(AJ895 - AN895 - AU895)</f>
        <v>91333</v>
      </c>
      <c r="AW895" s="11">
        <v>0</v>
      </c>
      <c r="AX895" s="11">
        <v>0</v>
      </c>
      <c r="AY895" s="11">
        <v>0</v>
      </c>
      <c r="AZ895" s="11">
        <v>0</v>
      </c>
      <c r="BA895" s="3">
        <f t="shared" si="123"/>
        <v>91333</v>
      </c>
    </row>
    <row r="896" spans="1:53" x14ac:dyDescent="0.25">
      <c r="A896" s="1" t="s">
        <v>894</v>
      </c>
      <c r="B896" s="9" t="s">
        <v>2754</v>
      </c>
      <c r="C896" s="9" t="s">
        <v>2697</v>
      </c>
      <c r="D896" s="9">
        <v>0</v>
      </c>
      <c r="E896" s="9" t="s">
        <v>1012</v>
      </c>
      <c r="F896" s="10">
        <v>42891</v>
      </c>
      <c r="G896" s="9" t="s">
        <v>1013</v>
      </c>
      <c r="I896" s="9" t="s">
        <v>1042</v>
      </c>
      <c r="J896" s="9" t="s">
        <v>1048</v>
      </c>
      <c r="K896" s="8" t="s">
        <v>1006</v>
      </c>
      <c r="L896" s="8" t="s">
        <v>1007</v>
      </c>
      <c r="M896" s="8" t="s">
        <v>2933</v>
      </c>
      <c r="N896" s="8" t="s">
        <v>2937</v>
      </c>
      <c r="O896" s="1" t="s">
        <v>2934</v>
      </c>
      <c r="P896">
        <v>30</v>
      </c>
      <c r="Q896">
        <v>30</v>
      </c>
      <c r="R896">
        <v>0</v>
      </c>
      <c r="S896">
        <f t="shared" si="125"/>
        <v>30</v>
      </c>
      <c r="T896" s="1" t="s">
        <v>2935</v>
      </c>
      <c r="U896" s="1" t="s">
        <v>2932</v>
      </c>
      <c r="V896" s="3">
        <f t="shared" si="126"/>
        <v>40000</v>
      </c>
      <c r="W896" s="3">
        <f t="shared" si="127"/>
        <v>16000</v>
      </c>
      <c r="X896" s="3">
        <f t="shared" si="119"/>
        <v>1250</v>
      </c>
      <c r="Y896" s="3">
        <f t="shared" si="120"/>
        <v>1600</v>
      </c>
      <c r="Z896" s="3">
        <f t="shared" si="121"/>
        <v>1800</v>
      </c>
      <c r="AA896" s="3">
        <v>0</v>
      </c>
      <c r="AB896" s="3">
        <f>ROUND(U896 - (V896+W896+X896+Y896) - (U896/Q896 * 2),0)</f>
        <v>34483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f>SUM(V896+W896+X896+Y896+AB896)</f>
        <v>93333</v>
      </c>
      <c r="AK896" s="3">
        <f>SUM(AJ896-AA896)</f>
        <v>93333</v>
      </c>
      <c r="AL896" s="3">
        <f>IF(V896&lt;=15000,V896*12%,1800)</f>
        <v>1800</v>
      </c>
      <c r="AM896" s="3">
        <v>0</v>
      </c>
      <c r="AN896" s="3">
        <f t="shared" si="122"/>
        <v>1800</v>
      </c>
      <c r="AO896" s="12">
        <v>200</v>
      </c>
      <c r="AP896" s="12">
        <v>0</v>
      </c>
      <c r="AQ896" s="12">
        <v>0</v>
      </c>
      <c r="AR896" s="12">
        <v>0</v>
      </c>
      <c r="AS896" s="12">
        <v>0</v>
      </c>
      <c r="AT896" s="12">
        <v>0</v>
      </c>
      <c r="AU896" s="3">
        <f t="shared" si="124"/>
        <v>200</v>
      </c>
      <c r="AV896" s="3">
        <f>SUM(AJ896 - AN896 - AU896)</f>
        <v>91333</v>
      </c>
      <c r="AW896" s="11">
        <v>0</v>
      </c>
      <c r="AX896" s="11">
        <v>0</v>
      </c>
      <c r="AY896" s="11">
        <v>0</v>
      </c>
      <c r="AZ896" s="11">
        <v>0</v>
      </c>
      <c r="BA896" s="3">
        <f t="shared" si="123"/>
        <v>91333</v>
      </c>
    </row>
    <row r="897" spans="1:53" x14ac:dyDescent="0.25">
      <c r="A897" s="1" t="s">
        <v>895</v>
      </c>
      <c r="B897" s="9" t="s">
        <v>2752</v>
      </c>
      <c r="C897" s="9" t="s">
        <v>1839</v>
      </c>
      <c r="D897" s="9" t="s">
        <v>2753</v>
      </c>
      <c r="E897" s="9" t="s">
        <v>1008</v>
      </c>
      <c r="F897" s="10">
        <v>43097</v>
      </c>
      <c r="G897" s="9" t="s">
        <v>1019</v>
      </c>
      <c r="I897" s="9" t="s">
        <v>1042</v>
      </c>
      <c r="J897" s="9" t="s">
        <v>1595</v>
      </c>
      <c r="K897" s="8" t="s">
        <v>1006</v>
      </c>
      <c r="L897" s="8" t="s">
        <v>1007</v>
      </c>
      <c r="M897" s="8" t="s">
        <v>2933</v>
      </c>
      <c r="N897" s="8" t="s">
        <v>2937</v>
      </c>
      <c r="O897" s="1" t="s">
        <v>2934</v>
      </c>
      <c r="P897">
        <v>30</v>
      </c>
      <c r="Q897">
        <v>30</v>
      </c>
      <c r="R897">
        <v>0</v>
      </c>
      <c r="S897">
        <f t="shared" si="125"/>
        <v>30</v>
      </c>
      <c r="T897" s="1" t="s">
        <v>2935</v>
      </c>
      <c r="U897" s="1" t="s">
        <v>2932</v>
      </c>
      <c r="V897" s="3">
        <f t="shared" si="126"/>
        <v>40000</v>
      </c>
      <c r="W897" s="3">
        <f t="shared" si="127"/>
        <v>16000</v>
      </c>
      <c r="X897" s="3">
        <f t="shared" si="119"/>
        <v>1250</v>
      </c>
      <c r="Y897" s="3">
        <f t="shared" si="120"/>
        <v>1600</v>
      </c>
      <c r="Z897" s="3">
        <f t="shared" si="121"/>
        <v>1800</v>
      </c>
      <c r="AA897" s="3">
        <v>0</v>
      </c>
      <c r="AB897" s="3">
        <f>ROUND(U897 - (V897+W897+X897+Y897) - (U897/Q897 * 2),0)</f>
        <v>34483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f>SUM(V897+W897+X897+Y897+AB897)</f>
        <v>93333</v>
      </c>
      <c r="AK897" s="3">
        <f>SUM(AJ897-AA897)</f>
        <v>93333</v>
      </c>
      <c r="AL897" s="3">
        <f>IF(V897&lt;=15000,V897*12%,1800)</f>
        <v>1800</v>
      </c>
      <c r="AM897" s="3">
        <v>0</v>
      </c>
      <c r="AN897" s="3">
        <f t="shared" si="122"/>
        <v>1800</v>
      </c>
      <c r="AO897" s="12">
        <v>200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3">
        <f t="shared" si="124"/>
        <v>200</v>
      </c>
      <c r="AV897" s="3">
        <f>SUM(AJ897 - AN897 - AU897)</f>
        <v>91333</v>
      </c>
      <c r="AW897" s="11">
        <v>0</v>
      </c>
      <c r="AX897" s="11">
        <v>0</v>
      </c>
      <c r="AY897" s="11">
        <v>0</v>
      </c>
      <c r="AZ897" s="11">
        <v>0</v>
      </c>
      <c r="BA897" s="3">
        <f t="shared" si="123"/>
        <v>91333</v>
      </c>
    </row>
    <row r="898" spans="1:53" x14ac:dyDescent="0.25">
      <c r="A898" s="1" t="s">
        <v>896</v>
      </c>
      <c r="B898" s="9" t="s">
        <v>1272</v>
      </c>
      <c r="C898" s="9" t="s">
        <v>1115</v>
      </c>
      <c r="D898" s="9" t="s">
        <v>2751</v>
      </c>
      <c r="E898" s="9" t="s">
        <v>1012</v>
      </c>
      <c r="F898" s="10">
        <v>43195</v>
      </c>
      <c r="G898" s="9" t="s">
        <v>1013</v>
      </c>
      <c r="I898" s="9" t="s">
        <v>1209</v>
      </c>
      <c r="J898" s="9" t="s">
        <v>1048</v>
      </c>
      <c r="K898" s="8" t="s">
        <v>1006</v>
      </c>
      <c r="L898" s="8" t="s">
        <v>1007</v>
      </c>
      <c r="M898" s="8" t="s">
        <v>2933</v>
      </c>
      <c r="N898" s="8" t="s">
        <v>2937</v>
      </c>
      <c r="O898" s="1" t="s">
        <v>2934</v>
      </c>
      <c r="P898">
        <v>30</v>
      </c>
      <c r="Q898">
        <v>30</v>
      </c>
      <c r="R898">
        <v>0</v>
      </c>
      <c r="S898">
        <f t="shared" si="125"/>
        <v>30</v>
      </c>
      <c r="T898" s="1" t="s">
        <v>2935</v>
      </c>
      <c r="U898" s="1" t="s">
        <v>2932</v>
      </c>
      <c r="V898" s="3">
        <f t="shared" si="126"/>
        <v>40000</v>
      </c>
      <c r="W898" s="3">
        <f t="shared" si="127"/>
        <v>16000</v>
      </c>
      <c r="X898" s="3">
        <f t="shared" si="119"/>
        <v>1250</v>
      </c>
      <c r="Y898" s="3">
        <f t="shared" si="120"/>
        <v>1600</v>
      </c>
      <c r="Z898" s="3">
        <f t="shared" si="121"/>
        <v>1800</v>
      </c>
      <c r="AA898" s="3">
        <v>0</v>
      </c>
      <c r="AB898" s="3">
        <f>ROUND(U898 - (V898+W898+X898+Y898) - (U898/Q898 * 2),0)</f>
        <v>34483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f>SUM(V898+W898+X898+Y898+AB898)</f>
        <v>93333</v>
      </c>
      <c r="AK898" s="3">
        <f>SUM(AJ898-AA898)</f>
        <v>93333</v>
      </c>
      <c r="AL898" s="3">
        <f>IF(V898&lt;=15000,V898*12%,1800)</f>
        <v>1800</v>
      </c>
      <c r="AM898" s="3">
        <v>0</v>
      </c>
      <c r="AN898" s="3">
        <f t="shared" si="122"/>
        <v>1800</v>
      </c>
      <c r="AO898" s="12">
        <v>200</v>
      </c>
      <c r="AP898" s="12">
        <v>0</v>
      </c>
      <c r="AQ898" s="12">
        <v>0</v>
      </c>
      <c r="AR898" s="12">
        <v>0</v>
      </c>
      <c r="AS898" s="12">
        <v>0</v>
      </c>
      <c r="AT898" s="12">
        <v>0</v>
      </c>
      <c r="AU898" s="3">
        <f t="shared" si="124"/>
        <v>200</v>
      </c>
      <c r="AV898" s="3">
        <f>SUM(AJ898 - AN898 - AU898)</f>
        <v>91333</v>
      </c>
      <c r="AW898" s="11">
        <v>0</v>
      </c>
      <c r="AX898" s="11">
        <v>0</v>
      </c>
      <c r="AY898" s="11">
        <v>0</v>
      </c>
      <c r="AZ898" s="11">
        <v>0</v>
      </c>
      <c r="BA898" s="3">
        <f t="shared" si="123"/>
        <v>91333</v>
      </c>
    </row>
    <row r="899" spans="1:53" x14ac:dyDescent="0.25">
      <c r="A899" s="1" t="s">
        <v>897</v>
      </c>
      <c r="B899" s="9" t="s">
        <v>2220</v>
      </c>
      <c r="C899" s="9" t="s">
        <v>1072</v>
      </c>
      <c r="D899" s="9" t="s">
        <v>2750</v>
      </c>
      <c r="E899" s="9" t="s">
        <v>1008</v>
      </c>
      <c r="F899" s="10">
        <v>43222</v>
      </c>
      <c r="G899" s="9" t="s">
        <v>1019</v>
      </c>
      <c r="I899" s="9" t="s">
        <v>1042</v>
      </c>
      <c r="J899" s="9" t="s">
        <v>1048</v>
      </c>
      <c r="K899" s="8" t="s">
        <v>1006</v>
      </c>
      <c r="L899" s="8" t="s">
        <v>1007</v>
      </c>
      <c r="M899" s="8" t="s">
        <v>2933</v>
      </c>
      <c r="N899" s="8" t="s">
        <v>2937</v>
      </c>
      <c r="O899" s="1" t="s">
        <v>2934</v>
      </c>
      <c r="P899">
        <v>30</v>
      </c>
      <c r="Q899">
        <v>30</v>
      </c>
      <c r="R899">
        <v>0</v>
      </c>
      <c r="S899">
        <f t="shared" si="125"/>
        <v>30</v>
      </c>
      <c r="T899" s="1" t="s">
        <v>2935</v>
      </c>
      <c r="U899" s="1" t="s">
        <v>2932</v>
      </c>
      <c r="V899" s="3">
        <f t="shared" si="126"/>
        <v>40000</v>
      </c>
      <c r="W899" s="3">
        <f t="shared" si="127"/>
        <v>16000</v>
      </c>
      <c r="X899" s="3">
        <f t="shared" ref="X899:X962" si="128">ROUND(1250 - ((1250/Q899)*R899),0)</f>
        <v>1250</v>
      </c>
      <c r="Y899" s="3">
        <f t="shared" ref="Y899:Y962" si="129">ROUND(1600 - (1600/Q899) *R899,0)</f>
        <v>1600</v>
      </c>
      <c r="Z899" s="3">
        <f t="shared" ref="Z899:Z962" si="130">IF(V899&lt;=15000,V899*12%,1800)</f>
        <v>1800</v>
      </c>
      <c r="AA899" s="3">
        <v>0</v>
      </c>
      <c r="AB899" s="3">
        <f>ROUND(U899 - (V899+W899+X899+Y899) - (U899/Q899 * 2),0)</f>
        <v>34483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f>SUM(V899+W899+X899+Y899+AB899)</f>
        <v>93333</v>
      </c>
      <c r="AK899" s="3">
        <f>SUM(AJ899-AA899)</f>
        <v>93333</v>
      </c>
      <c r="AL899" s="3">
        <f>IF(V899&lt;=15000,V899*12%,1800)</f>
        <v>1800</v>
      </c>
      <c r="AM899" s="3">
        <v>0</v>
      </c>
      <c r="AN899" s="3">
        <f t="shared" ref="AN899:AN962" si="131">SUM(AL899+AM899)</f>
        <v>1800</v>
      </c>
      <c r="AO899" s="12">
        <v>200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3">
        <f t="shared" si="124"/>
        <v>200</v>
      </c>
      <c r="AV899" s="3">
        <f>SUM(AJ899 - AN899 - AU899)</f>
        <v>91333</v>
      </c>
      <c r="AW899" s="11">
        <v>0</v>
      </c>
      <c r="AX899" s="11">
        <v>0</v>
      </c>
      <c r="AY899" s="11">
        <v>0</v>
      </c>
      <c r="AZ899" s="11">
        <v>0</v>
      </c>
      <c r="BA899" s="3">
        <f t="shared" ref="BA899:BA962" si="132">AV899+AW899+AX899+AZ899</f>
        <v>91333</v>
      </c>
    </row>
    <row r="900" spans="1:53" x14ac:dyDescent="0.25">
      <c r="A900" s="1" t="s">
        <v>898</v>
      </c>
      <c r="B900" s="9" t="s">
        <v>2748</v>
      </c>
      <c r="C900" s="9" t="s">
        <v>1075</v>
      </c>
      <c r="D900" s="9" t="s">
        <v>2749</v>
      </c>
      <c r="E900" s="9" t="s">
        <v>1012</v>
      </c>
      <c r="F900" s="10">
        <v>42856</v>
      </c>
      <c r="G900" s="9" t="s">
        <v>1019</v>
      </c>
      <c r="I900" s="9" t="s">
        <v>1014</v>
      </c>
      <c r="J900" s="9" t="s">
        <v>1021</v>
      </c>
      <c r="K900" s="8" t="s">
        <v>1006</v>
      </c>
      <c r="L900" s="8" t="s">
        <v>1007</v>
      </c>
      <c r="M900" s="8" t="s">
        <v>2933</v>
      </c>
      <c r="N900" s="8" t="s">
        <v>2937</v>
      </c>
      <c r="O900" s="1" t="s">
        <v>2934</v>
      </c>
      <c r="P900">
        <v>30</v>
      </c>
      <c r="Q900">
        <v>30</v>
      </c>
      <c r="R900">
        <v>0</v>
      </c>
      <c r="S900">
        <f t="shared" si="125"/>
        <v>30</v>
      </c>
      <c r="T900" s="1" t="s">
        <v>2935</v>
      </c>
      <c r="U900" s="1" t="s">
        <v>2932</v>
      </c>
      <c r="V900" s="3">
        <f t="shared" si="126"/>
        <v>40000</v>
      </c>
      <c r="W900" s="3">
        <f t="shared" si="127"/>
        <v>16000</v>
      </c>
      <c r="X900" s="3">
        <f t="shared" si="128"/>
        <v>1250</v>
      </c>
      <c r="Y900" s="3">
        <f t="shared" si="129"/>
        <v>1600</v>
      </c>
      <c r="Z900" s="3">
        <f t="shared" si="130"/>
        <v>1800</v>
      </c>
      <c r="AA900" s="3">
        <v>0</v>
      </c>
      <c r="AB900" s="3">
        <f>ROUND(U900 - (V900+W900+X900+Y900) - (U900/Q900 * 2),0)</f>
        <v>34483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f>SUM(V900+W900+X900+Y900+AB900)</f>
        <v>93333</v>
      </c>
      <c r="AK900" s="3">
        <f>SUM(AJ900-AA900)</f>
        <v>93333</v>
      </c>
      <c r="AL900" s="3">
        <f>IF(V900&lt;=15000,V900*12%,1800)</f>
        <v>1800</v>
      </c>
      <c r="AM900" s="3">
        <v>0</v>
      </c>
      <c r="AN900" s="3">
        <f t="shared" si="131"/>
        <v>1800</v>
      </c>
      <c r="AO900" s="12">
        <v>200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3">
        <f t="shared" ref="AU900:AU963" si="133">SUM(AO900:AT900)</f>
        <v>200</v>
      </c>
      <c r="AV900" s="3">
        <f>SUM(AJ900 - AN900 - AU900)</f>
        <v>91333</v>
      </c>
      <c r="AW900" s="11">
        <v>0</v>
      </c>
      <c r="AX900" s="11">
        <v>0</v>
      </c>
      <c r="AY900" s="11">
        <v>0</v>
      </c>
      <c r="AZ900" s="11">
        <v>0</v>
      </c>
      <c r="BA900" s="3">
        <f t="shared" si="132"/>
        <v>91333</v>
      </c>
    </row>
    <row r="901" spans="1:53" x14ac:dyDescent="0.25">
      <c r="A901" s="1" t="s">
        <v>899</v>
      </c>
      <c r="B901" s="9" t="s">
        <v>2745</v>
      </c>
      <c r="C901" s="9" t="s">
        <v>2746</v>
      </c>
      <c r="D901" s="9" t="s">
        <v>2747</v>
      </c>
      <c r="E901" s="9" t="s">
        <v>1012</v>
      </c>
      <c r="F901" s="10">
        <v>43269</v>
      </c>
      <c r="G901" s="9" t="s">
        <v>1013</v>
      </c>
      <c r="I901" s="9" t="s">
        <v>1042</v>
      </c>
      <c r="J901" s="9" t="s">
        <v>1031</v>
      </c>
      <c r="K901" s="8" t="s">
        <v>1006</v>
      </c>
      <c r="L901" s="8" t="s">
        <v>1007</v>
      </c>
      <c r="M901" s="8" t="s">
        <v>2933</v>
      </c>
      <c r="N901" s="8" t="s">
        <v>2937</v>
      </c>
      <c r="O901" s="1" t="s">
        <v>2934</v>
      </c>
      <c r="P901">
        <v>30</v>
      </c>
      <c r="Q901">
        <v>30</v>
      </c>
      <c r="R901">
        <v>0</v>
      </c>
      <c r="S901">
        <f t="shared" ref="S901:S964" si="134">SUM(Q901-R901)</f>
        <v>30</v>
      </c>
      <c r="T901" s="1" t="s">
        <v>2935</v>
      </c>
      <c r="U901" s="1" t="s">
        <v>2932</v>
      </c>
      <c r="V901" s="3">
        <f t="shared" ref="V901:V964" si="135">ROUND((U901*40%) / Q901  * S901,0)</f>
        <v>40000</v>
      </c>
      <c r="W901" s="3">
        <f t="shared" ref="W901:W964" si="136">ROUND((U901*16%) / Q901  * S901,0)</f>
        <v>16000</v>
      </c>
      <c r="X901" s="3">
        <f t="shared" si="128"/>
        <v>1250</v>
      </c>
      <c r="Y901" s="3">
        <f t="shared" si="129"/>
        <v>1600</v>
      </c>
      <c r="Z901" s="3">
        <f t="shared" si="130"/>
        <v>1800</v>
      </c>
      <c r="AA901" s="3">
        <v>0</v>
      </c>
      <c r="AB901" s="3">
        <f>ROUND(U901 - (V901+W901+X901+Y901) - (U901/Q901 * 2),0)</f>
        <v>34483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f>SUM(V901+W901+X901+Y901+AB901)</f>
        <v>93333</v>
      </c>
      <c r="AK901" s="3">
        <f>SUM(AJ901-AA901)</f>
        <v>93333</v>
      </c>
      <c r="AL901" s="3">
        <f>IF(V901&lt;=15000,V901*12%,1800)</f>
        <v>1800</v>
      </c>
      <c r="AM901" s="3">
        <v>0</v>
      </c>
      <c r="AN901" s="3">
        <f t="shared" si="131"/>
        <v>1800</v>
      </c>
      <c r="AO901" s="12">
        <v>200</v>
      </c>
      <c r="AP901" s="12">
        <v>0</v>
      </c>
      <c r="AQ901" s="12">
        <v>0</v>
      </c>
      <c r="AR901" s="12">
        <v>0</v>
      </c>
      <c r="AS901" s="12">
        <v>0</v>
      </c>
      <c r="AT901" s="12">
        <v>0</v>
      </c>
      <c r="AU901" s="3">
        <f t="shared" si="133"/>
        <v>200</v>
      </c>
      <c r="AV901" s="3">
        <f>SUM(AJ901 - AN901 - AU901)</f>
        <v>91333</v>
      </c>
      <c r="AW901" s="11">
        <v>0</v>
      </c>
      <c r="AX901" s="11">
        <v>0</v>
      </c>
      <c r="AY901" s="11">
        <v>0</v>
      </c>
      <c r="AZ901" s="11">
        <v>0</v>
      </c>
      <c r="BA901" s="3">
        <f t="shared" si="132"/>
        <v>91333</v>
      </c>
    </row>
    <row r="902" spans="1:53" x14ac:dyDescent="0.25">
      <c r="A902" s="1" t="s">
        <v>900</v>
      </c>
      <c r="B902" s="9" t="s">
        <v>2742</v>
      </c>
      <c r="C902" s="9" t="s">
        <v>2743</v>
      </c>
      <c r="D902" s="9" t="s">
        <v>2744</v>
      </c>
      <c r="E902" s="9" t="s">
        <v>1012</v>
      </c>
      <c r="F902" s="10">
        <v>43283</v>
      </c>
      <c r="G902" s="9" t="s">
        <v>1019</v>
      </c>
      <c r="I902" s="9" t="s">
        <v>1042</v>
      </c>
      <c r="J902" s="9" t="s">
        <v>1048</v>
      </c>
      <c r="K902" s="8" t="s">
        <v>1006</v>
      </c>
      <c r="L902" s="8" t="s">
        <v>1007</v>
      </c>
      <c r="M902" s="8" t="s">
        <v>2933</v>
      </c>
      <c r="N902" s="8" t="s">
        <v>2937</v>
      </c>
      <c r="O902" s="1" t="s">
        <v>2934</v>
      </c>
      <c r="P902">
        <v>30</v>
      </c>
      <c r="Q902">
        <v>30</v>
      </c>
      <c r="R902">
        <v>0</v>
      </c>
      <c r="S902">
        <f t="shared" si="134"/>
        <v>30</v>
      </c>
      <c r="T902" s="1" t="s">
        <v>2935</v>
      </c>
      <c r="U902" s="1" t="s">
        <v>2932</v>
      </c>
      <c r="V902" s="3">
        <f t="shared" si="135"/>
        <v>40000</v>
      </c>
      <c r="W902" s="3">
        <f t="shared" si="136"/>
        <v>16000</v>
      </c>
      <c r="X902" s="3">
        <f t="shared" si="128"/>
        <v>1250</v>
      </c>
      <c r="Y902" s="3">
        <f t="shared" si="129"/>
        <v>1600</v>
      </c>
      <c r="Z902" s="3">
        <f t="shared" si="130"/>
        <v>1800</v>
      </c>
      <c r="AA902" s="3">
        <v>0</v>
      </c>
      <c r="AB902" s="3">
        <f>ROUND(U902 - (V902+W902+X902+Y902) - (U902/Q902 * 2),0)</f>
        <v>34483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f>SUM(V902+W902+X902+Y902+AB902)</f>
        <v>93333</v>
      </c>
      <c r="AK902" s="3">
        <f>SUM(AJ902-AA902)</f>
        <v>93333</v>
      </c>
      <c r="AL902" s="3">
        <f>IF(V902&lt;=15000,V902*12%,1800)</f>
        <v>1800</v>
      </c>
      <c r="AM902" s="3">
        <v>0</v>
      </c>
      <c r="AN902" s="3">
        <f t="shared" si="131"/>
        <v>1800</v>
      </c>
      <c r="AO902" s="12">
        <v>200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3">
        <f t="shared" si="133"/>
        <v>200</v>
      </c>
      <c r="AV902" s="3">
        <f>SUM(AJ902 - AN902 - AU902)</f>
        <v>91333</v>
      </c>
      <c r="AW902" s="11">
        <v>0</v>
      </c>
      <c r="AX902" s="11">
        <v>0</v>
      </c>
      <c r="AY902" s="11">
        <v>0</v>
      </c>
      <c r="AZ902" s="11">
        <v>0</v>
      </c>
      <c r="BA902" s="3">
        <f t="shared" si="132"/>
        <v>91333</v>
      </c>
    </row>
    <row r="903" spans="1:53" x14ac:dyDescent="0.25">
      <c r="A903" s="1" t="s">
        <v>901</v>
      </c>
      <c r="B903" s="9" t="s">
        <v>2739</v>
      </c>
      <c r="C903" s="9" t="s">
        <v>2740</v>
      </c>
      <c r="D903" s="9" t="s">
        <v>2741</v>
      </c>
      <c r="E903" s="9" t="s">
        <v>1012</v>
      </c>
      <c r="F903" s="10">
        <v>43292</v>
      </c>
      <c r="G903" s="9" t="s">
        <v>1019</v>
      </c>
      <c r="I903" s="9" t="s">
        <v>1209</v>
      </c>
      <c r="J903" s="9" t="s">
        <v>1048</v>
      </c>
      <c r="K903" s="8" t="s">
        <v>1006</v>
      </c>
      <c r="L903" s="8" t="s">
        <v>1007</v>
      </c>
      <c r="M903" s="8" t="s">
        <v>2933</v>
      </c>
      <c r="N903" s="8" t="s">
        <v>2937</v>
      </c>
      <c r="O903" s="1" t="s">
        <v>2934</v>
      </c>
      <c r="P903">
        <v>30</v>
      </c>
      <c r="Q903">
        <v>30</v>
      </c>
      <c r="R903">
        <v>0</v>
      </c>
      <c r="S903">
        <f t="shared" si="134"/>
        <v>30</v>
      </c>
      <c r="T903" s="1" t="s">
        <v>2935</v>
      </c>
      <c r="U903" s="1" t="s">
        <v>2932</v>
      </c>
      <c r="V903" s="3">
        <f t="shared" si="135"/>
        <v>40000</v>
      </c>
      <c r="W903" s="3">
        <f t="shared" si="136"/>
        <v>16000</v>
      </c>
      <c r="X903" s="3">
        <f t="shared" si="128"/>
        <v>1250</v>
      </c>
      <c r="Y903" s="3">
        <f t="shared" si="129"/>
        <v>1600</v>
      </c>
      <c r="Z903" s="3">
        <f t="shared" si="130"/>
        <v>1800</v>
      </c>
      <c r="AA903" s="3">
        <v>0</v>
      </c>
      <c r="AB903" s="3">
        <f>ROUND(U903 - (V903+W903+X903+Y903) - (U903/Q903 * 2),0)</f>
        <v>34483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f>SUM(V903+W903+X903+Y903+AB903)</f>
        <v>93333</v>
      </c>
      <c r="AK903" s="3">
        <f>SUM(AJ903-AA903)</f>
        <v>93333</v>
      </c>
      <c r="AL903" s="3">
        <f>IF(V903&lt;=15000,V903*12%,1800)</f>
        <v>1800</v>
      </c>
      <c r="AM903" s="3">
        <v>0</v>
      </c>
      <c r="AN903" s="3">
        <f t="shared" si="131"/>
        <v>1800</v>
      </c>
      <c r="AO903" s="12">
        <v>200</v>
      </c>
      <c r="AP903" s="12">
        <v>0</v>
      </c>
      <c r="AQ903" s="12">
        <v>0</v>
      </c>
      <c r="AR903" s="12">
        <v>0</v>
      </c>
      <c r="AS903" s="12">
        <v>0</v>
      </c>
      <c r="AT903" s="12">
        <v>0</v>
      </c>
      <c r="AU903" s="3">
        <f t="shared" si="133"/>
        <v>200</v>
      </c>
      <c r="AV903" s="3">
        <f>SUM(AJ903 - AN903 - AU903)</f>
        <v>91333</v>
      </c>
      <c r="AW903" s="11">
        <v>0</v>
      </c>
      <c r="AX903" s="11">
        <v>0</v>
      </c>
      <c r="AY903" s="11">
        <v>0</v>
      </c>
      <c r="AZ903" s="11">
        <v>0</v>
      </c>
      <c r="BA903" s="3">
        <f t="shared" si="132"/>
        <v>91333</v>
      </c>
    </row>
    <row r="904" spans="1:53" x14ac:dyDescent="0.25">
      <c r="A904" s="1" t="s">
        <v>902</v>
      </c>
      <c r="B904" s="9" t="s">
        <v>2737</v>
      </c>
      <c r="C904" s="9" t="s">
        <v>1273</v>
      </c>
      <c r="D904" s="9" t="s">
        <v>2738</v>
      </c>
      <c r="E904" s="9" t="s">
        <v>1012</v>
      </c>
      <c r="F904" s="10">
        <v>43292</v>
      </c>
      <c r="G904" s="9" t="s">
        <v>1013</v>
      </c>
      <c r="I904" s="9" t="s">
        <v>1042</v>
      </c>
      <c r="J904" s="9" t="s">
        <v>1048</v>
      </c>
      <c r="K904" s="8" t="s">
        <v>1006</v>
      </c>
      <c r="L904" s="8" t="s">
        <v>1007</v>
      </c>
      <c r="M904" s="8" t="s">
        <v>2933</v>
      </c>
      <c r="N904" s="8" t="s">
        <v>2937</v>
      </c>
      <c r="O904" s="1" t="s">
        <v>2934</v>
      </c>
      <c r="P904">
        <v>30</v>
      </c>
      <c r="Q904">
        <v>30</v>
      </c>
      <c r="R904">
        <v>0</v>
      </c>
      <c r="S904">
        <f t="shared" si="134"/>
        <v>30</v>
      </c>
      <c r="T904" s="1" t="s">
        <v>2935</v>
      </c>
      <c r="U904" s="1" t="s">
        <v>2932</v>
      </c>
      <c r="V904" s="3">
        <f t="shared" si="135"/>
        <v>40000</v>
      </c>
      <c r="W904" s="3">
        <f t="shared" si="136"/>
        <v>16000</v>
      </c>
      <c r="X904" s="3">
        <f t="shared" si="128"/>
        <v>1250</v>
      </c>
      <c r="Y904" s="3">
        <f t="shared" si="129"/>
        <v>1600</v>
      </c>
      <c r="Z904" s="3">
        <f t="shared" si="130"/>
        <v>1800</v>
      </c>
      <c r="AA904" s="3">
        <v>0</v>
      </c>
      <c r="AB904" s="3">
        <f>ROUND(U904 - (V904+W904+X904+Y904) - (U904/Q904 * 2),0)</f>
        <v>34483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f>SUM(V904+W904+X904+Y904+AB904)</f>
        <v>93333</v>
      </c>
      <c r="AK904" s="3">
        <f>SUM(AJ904-AA904)</f>
        <v>93333</v>
      </c>
      <c r="AL904" s="3">
        <f>IF(V904&lt;=15000,V904*12%,1800)</f>
        <v>1800</v>
      </c>
      <c r="AM904" s="3">
        <v>0</v>
      </c>
      <c r="AN904" s="3">
        <f t="shared" si="131"/>
        <v>1800</v>
      </c>
      <c r="AO904" s="12">
        <v>200</v>
      </c>
      <c r="AP904" s="12">
        <v>0</v>
      </c>
      <c r="AQ904" s="12">
        <v>0</v>
      </c>
      <c r="AR904" s="12">
        <v>0</v>
      </c>
      <c r="AS904" s="12">
        <v>0</v>
      </c>
      <c r="AT904" s="12">
        <v>0</v>
      </c>
      <c r="AU904" s="3">
        <f t="shared" si="133"/>
        <v>200</v>
      </c>
      <c r="AV904" s="3">
        <f>SUM(AJ904 - AN904 - AU904)</f>
        <v>91333</v>
      </c>
      <c r="AW904" s="11">
        <v>0</v>
      </c>
      <c r="AX904" s="11">
        <v>0</v>
      </c>
      <c r="AY904" s="11">
        <v>0</v>
      </c>
      <c r="AZ904" s="11">
        <v>0</v>
      </c>
      <c r="BA904" s="3">
        <f t="shared" si="132"/>
        <v>91333</v>
      </c>
    </row>
    <row r="905" spans="1:53" x14ac:dyDescent="0.25">
      <c r="A905" s="1" t="s">
        <v>903</v>
      </c>
      <c r="B905" s="9" t="s">
        <v>2735</v>
      </c>
      <c r="C905" s="9" t="s">
        <v>1023</v>
      </c>
      <c r="D905" s="9" t="s">
        <v>2736</v>
      </c>
      <c r="E905" s="9" t="s">
        <v>1012</v>
      </c>
      <c r="F905" s="10">
        <v>43908</v>
      </c>
      <c r="G905" s="9" t="s">
        <v>1019</v>
      </c>
      <c r="I905" s="9" t="s">
        <v>2009</v>
      </c>
      <c r="J905" s="9" t="s">
        <v>1021</v>
      </c>
      <c r="K905" s="8" t="s">
        <v>1006</v>
      </c>
      <c r="L905" s="8" t="s">
        <v>1007</v>
      </c>
      <c r="M905" s="8" t="s">
        <v>2933</v>
      </c>
      <c r="N905" s="8" t="s">
        <v>2937</v>
      </c>
      <c r="O905" s="1" t="s">
        <v>2934</v>
      </c>
      <c r="P905">
        <v>30</v>
      </c>
      <c r="Q905">
        <v>30</v>
      </c>
      <c r="R905">
        <v>0</v>
      </c>
      <c r="S905">
        <f t="shared" si="134"/>
        <v>30</v>
      </c>
      <c r="T905" s="1" t="s">
        <v>2935</v>
      </c>
      <c r="U905" s="1" t="s">
        <v>2932</v>
      </c>
      <c r="V905" s="3">
        <f t="shared" si="135"/>
        <v>40000</v>
      </c>
      <c r="W905" s="3">
        <f t="shared" si="136"/>
        <v>16000</v>
      </c>
      <c r="X905" s="3">
        <f t="shared" si="128"/>
        <v>1250</v>
      </c>
      <c r="Y905" s="3">
        <f t="shared" si="129"/>
        <v>1600</v>
      </c>
      <c r="Z905" s="3">
        <f t="shared" si="130"/>
        <v>1800</v>
      </c>
      <c r="AA905" s="3">
        <v>0</v>
      </c>
      <c r="AB905" s="3">
        <f>ROUND(U905 - (V905+W905+X905+Y905) - (U905/Q905 * 2),0)</f>
        <v>34483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f>SUM(V905+W905+X905+Y905+AB905)</f>
        <v>93333</v>
      </c>
      <c r="AK905" s="3">
        <f>SUM(AJ905-AA905)</f>
        <v>93333</v>
      </c>
      <c r="AL905" s="3">
        <f>IF(V905&lt;=15000,V905*12%,1800)</f>
        <v>1800</v>
      </c>
      <c r="AM905" s="3">
        <v>0</v>
      </c>
      <c r="AN905" s="3">
        <f t="shared" si="131"/>
        <v>1800</v>
      </c>
      <c r="AO905" s="12">
        <v>200</v>
      </c>
      <c r="AP905" s="12">
        <v>0</v>
      </c>
      <c r="AQ905" s="12">
        <v>0</v>
      </c>
      <c r="AR905" s="12">
        <v>0</v>
      </c>
      <c r="AS905" s="12">
        <v>0</v>
      </c>
      <c r="AT905" s="12">
        <v>0</v>
      </c>
      <c r="AU905" s="3">
        <f t="shared" si="133"/>
        <v>200</v>
      </c>
      <c r="AV905" s="3">
        <f>SUM(AJ905 - AN905 - AU905)</f>
        <v>91333</v>
      </c>
      <c r="AW905" s="11">
        <v>0</v>
      </c>
      <c r="AX905" s="11">
        <v>0</v>
      </c>
      <c r="AY905" s="11">
        <v>0</v>
      </c>
      <c r="AZ905" s="11">
        <v>0</v>
      </c>
      <c r="BA905" s="3">
        <f t="shared" si="132"/>
        <v>91333</v>
      </c>
    </row>
    <row r="906" spans="1:53" x14ac:dyDescent="0.25">
      <c r="A906" s="1" t="s">
        <v>904</v>
      </c>
      <c r="B906" s="9" t="s">
        <v>2733</v>
      </c>
      <c r="C906" s="9" t="s">
        <v>1115</v>
      </c>
      <c r="D906" s="9" t="s">
        <v>2734</v>
      </c>
      <c r="E906" s="9" t="s">
        <v>1012</v>
      </c>
      <c r="F906" s="10">
        <v>43292</v>
      </c>
      <c r="G906" s="9" t="s">
        <v>1013</v>
      </c>
      <c r="I906" s="9" t="s">
        <v>1035</v>
      </c>
      <c r="J906" s="9" t="s">
        <v>1048</v>
      </c>
      <c r="K906" s="8" t="s">
        <v>1006</v>
      </c>
      <c r="L906" s="8" t="s">
        <v>1007</v>
      </c>
      <c r="M906" s="8" t="s">
        <v>2933</v>
      </c>
      <c r="N906" s="8" t="s">
        <v>2937</v>
      </c>
      <c r="O906" s="1" t="s">
        <v>2934</v>
      </c>
      <c r="P906">
        <v>30</v>
      </c>
      <c r="Q906">
        <v>30</v>
      </c>
      <c r="R906">
        <v>0</v>
      </c>
      <c r="S906">
        <f t="shared" si="134"/>
        <v>30</v>
      </c>
      <c r="T906" s="1" t="s">
        <v>2935</v>
      </c>
      <c r="U906" s="1" t="s">
        <v>2932</v>
      </c>
      <c r="V906" s="3">
        <f t="shared" si="135"/>
        <v>40000</v>
      </c>
      <c r="W906" s="3">
        <f t="shared" si="136"/>
        <v>16000</v>
      </c>
      <c r="X906" s="3">
        <f t="shared" si="128"/>
        <v>1250</v>
      </c>
      <c r="Y906" s="3">
        <f t="shared" si="129"/>
        <v>1600</v>
      </c>
      <c r="Z906" s="3">
        <f t="shared" si="130"/>
        <v>1800</v>
      </c>
      <c r="AA906" s="3">
        <v>0</v>
      </c>
      <c r="AB906" s="3">
        <f>ROUND(U906 - (V906+W906+X906+Y906) - (U906/Q906 * 2),0)</f>
        <v>34483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f>SUM(V906+W906+X906+Y906+AB906)</f>
        <v>93333</v>
      </c>
      <c r="AK906" s="3">
        <f>SUM(AJ906-AA906)</f>
        <v>93333</v>
      </c>
      <c r="AL906" s="3">
        <f>IF(V906&lt;=15000,V906*12%,1800)</f>
        <v>1800</v>
      </c>
      <c r="AM906" s="3">
        <v>0</v>
      </c>
      <c r="AN906" s="3">
        <f t="shared" si="131"/>
        <v>1800</v>
      </c>
      <c r="AO906" s="12">
        <v>200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3">
        <f t="shared" si="133"/>
        <v>200</v>
      </c>
      <c r="AV906" s="3">
        <f>SUM(AJ906 - AN906 - AU906)</f>
        <v>91333</v>
      </c>
      <c r="AW906" s="11">
        <v>0</v>
      </c>
      <c r="AX906" s="11">
        <v>0</v>
      </c>
      <c r="AY906" s="11">
        <v>0</v>
      </c>
      <c r="AZ906" s="11">
        <v>0</v>
      </c>
      <c r="BA906" s="3">
        <f t="shared" si="132"/>
        <v>91333</v>
      </c>
    </row>
    <row r="907" spans="1:53" x14ac:dyDescent="0.25">
      <c r="A907" s="1" t="s">
        <v>905</v>
      </c>
      <c r="B907" s="9" t="s">
        <v>2731</v>
      </c>
      <c r="C907" s="9" t="s">
        <v>1115</v>
      </c>
      <c r="D907" s="9" t="s">
        <v>2732</v>
      </c>
      <c r="E907" s="9" t="s">
        <v>1012</v>
      </c>
      <c r="F907" s="10">
        <v>43292</v>
      </c>
      <c r="G907" s="9" t="s">
        <v>1013</v>
      </c>
      <c r="I907" s="9" t="s">
        <v>1209</v>
      </c>
      <c r="J907" s="9" t="s">
        <v>1048</v>
      </c>
      <c r="K907" s="8" t="s">
        <v>1006</v>
      </c>
      <c r="L907" s="8" t="s">
        <v>1007</v>
      </c>
      <c r="M907" s="8" t="s">
        <v>2933</v>
      </c>
      <c r="N907" s="8" t="s">
        <v>2937</v>
      </c>
      <c r="O907" s="1" t="s">
        <v>2934</v>
      </c>
      <c r="P907">
        <v>30</v>
      </c>
      <c r="Q907">
        <v>30</v>
      </c>
      <c r="R907">
        <v>0</v>
      </c>
      <c r="S907">
        <f t="shared" si="134"/>
        <v>30</v>
      </c>
      <c r="T907" s="1" t="s">
        <v>2935</v>
      </c>
      <c r="U907" s="1" t="s">
        <v>2932</v>
      </c>
      <c r="V907" s="3">
        <f t="shared" si="135"/>
        <v>40000</v>
      </c>
      <c r="W907" s="3">
        <f t="shared" si="136"/>
        <v>16000</v>
      </c>
      <c r="X907" s="3">
        <f t="shared" si="128"/>
        <v>1250</v>
      </c>
      <c r="Y907" s="3">
        <f t="shared" si="129"/>
        <v>1600</v>
      </c>
      <c r="Z907" s="3">
        <f t="shared" si="130"/>
        <v>1800</v>
      </c>
      <c r="AA907" s="3">
        <v>0</v>
      </c>
      <c r="AB907" s="3">
        <f>ROUND(U907 - (V907+W907+X907+Y907) - (U907/Q907 * 2),0)</f>
        <v>34483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f>SUM(V907+W907+X907+Y907+AB907)</f>
        <v>93333</v>
      </c>
      <c r="AK907" s="3">
        <f>SUM(AJ907-AA907)</f>
        <v>93333</v>
      </c>
      <c r="AL907" s="3">
        <f>IF(V907&lt;=15000,V907*12%,1800)</f>
        <v>1800</v>
      </c>
      <c r="AM907" s="3">
        <v>0</v>
      </c>
      <c r="AN907" s="3">
        <f t="shared" si="131"/>
        <v>1800</v>
      </c>
      <c r="AO907" s="12">
        <v>200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3">
        <f t="shared" si="133"/>
        <v>200</v>
      </c>
      <c r="AV907" s="3">
        <f>SUM(AJ907 - AN907 - AU907)</f>
        <v>91333</v>
      </c>
      <c r="AW907" s="11">
        <v>0</v>
      </c>
      <c r="AX907" s="11">
        <v>0</v>
      </c>
      <c r="AY907" s="11">
        <v>0</v>
      </c>
      <c r="AZ907" s="11">
        <v>0</v>
      </c>
      <c r="BA907" s="3">
        <f t="shared" si="132"/>
        <v>91333</v>
      </c>
    </row>
    <row r="908" spans="1:53" x14ac:dyDescent="0.25">
      <c r="A908" s="1" t="s">
        <v>906</v>
      </c>
      <c r="B908" s="9" t="s">
        <v>2729</v>
      </c>
      <c r="C908" s="9" t="s">
        <v>1262</v>
      </c>
      <c r="D908" s="9" t="s">
        <v>2730</v>
      </c>
      <c r="E908" s="9" t="s">
        <v>1008</v>
      </c>
      <c r="F908" s="10">
        <v>43300</v>
      </c>
      <c r="G908" s="9" t="s">
        <v>1019</v>
      </c>
      <c r="I908" s="9" t="s">
        <v>1042</v>
      </c>
      <c r="J908" s="9" t="s">
        <v>1264</v>
      </c>
      <c r="K908" s="8" t="s">
        <v>1006</v>
      </c>
      <c r="L908" s="8" t="s">
        <v>1007</v>
      </c>
      <c r="M908" s="8" t="s">
        <v>2933</v>
      </c>
      <c r="N908" s="8" t="s">
        <v>2937</v>
      </c>
      <c r="O908" s="1" t="s">
        <v>2934</v>
      </c>
      <c r="P908">
        <v>30</v>
      </c>
      <c r="Q908">
        <v>30</v>
      </c>
      <c r="R908">
        <v>0</v>
      </c>
      <c r="S908">
        <f t="shared" si="134"/>
        <v>30</v>
      </c>
      <c r="T908" s="1" t="s">
        <v>2935</v>
      </c>
      <c r="U908" s="1" t="s">
        <v>2932</v>
      </c>
      <c r="V908" s="3">
        <f t="shared" si="135"/>
        <v>40000</v>
      </c>
      <c r="W908" s="3">
        <f t="shared" si="136"/>
        <v>16000</v>
      </c>
      <c r="X908" s="3">
        <f t="shared" si="128"/>
        <v>1250</v>
      </c>
      <c r="Y908" s="3">
        <f t="shared" si="129"/>
        <v>1600</v>
      </c>
      <c r="Z908" s="3">
        <f t="shared" si="130"/>
        <v>1800</v>
      </c>
      <c r="AA908" s="3">
        <v>0</v>
      </c>
      <c r="AB908" s="3">
        <f>ROUND(U908 - (V908+W908+X908+Y908) - (U908/Q908 * 2),0)</f>
        <v>34483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f>SUM(V908+W908+X908+Y908+AB908)</f>
        <v>93333</v>
      </c>
      <c r="AK908" s="3">
        <f>SUM(AJ908-AA908)</f>
        <v>93333</v>
      </c>
      <c r="AL908" s="3">
        <f>IF(V908&lt;=15000,V908*12%,1800)</f>
        <v>1800</v>
      </c>
      <c r="AM908" s="3">
        <v>0</v>
      </c>
      <c r="AN908" s="3">
        <f t="shared" si="131"/>
        <v>1800</v>
      </c>
      <c r="AO908" s="12">
        <v>200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3">
        <f t="shared" si="133"/>
        <v>200</v>
      </c>
      <c r="AV908" s="3">
        <f>SUM(AJ908 - AN908 - AU908)</f>
        <v>91333</v>
      </c>
      <c r="AW908" s="11">
        <v>0</v>
      </c>
      <c r="AX908" s="11">
        <v>0</v>
      </c>
      <c r="AY908" s="11">
        <v>0</v>
      </c>
      <c r="AZ908" s="11">
        <v>0</v>
      </c>
      <c r="BA908" s="3">
        <f t="shared" si="132"/>
        <v>91333</v>
      </c>
    </row>
    <row r="909" spans="1:53" x14ac:dyDescent="0.25">
      <c r="A909" s="1" t="s">
        <v>907</v>
      </c>
      <c r="B909" s="9" t="s">
        <v>2728</v>
      </c>
      <c r="C909" s="9" t="s">
        <v>1305</v>
      </c>
      <c r="D909" s="9">
        <v>0</v>
      </c>
      <c r="E909" s="9" t="s">
        <v>1012</v>
      </c>
      <c r="F909" s="10">
        <v>43304</v>
      </c>
      <c r="G909" s="9" t="s">
        <v>1013</v>
      </c>
      <c r="I909" s="9" t="s">
        <v>1035</v>
      </c>
      <c r="J909" s="9" t="s">
        <v>1056</v>
      </c>
      <c r="K909" s="8" t="s">
        <v>1006</v>
      </c>
      <c r="L909" s="8" t="s">
        <v>1007</v>
      </c>
      <c r="M909" s="8" t="s">
        <v>2933</v>
      </c>
      <c r="N909" s="8" t="s">
        <v>2937</v>
      </c>
      <c r="O909" s="1" t="s">
        <v>2934</v>
      </c>
      <c r="P909">
        <v>30</v>
      </c>
      <c r="Q909">
        <v>30</v>
      </c>
      <c r="R909">
        <v>0</v>
      </c>
      <c r="S909">
        <f t="shared" si="134"/>
        <v>30</v>
      </c>
      <c r="T909" s="1" t="s">
        <v>2935</v>
      </c>
      <c r="U909" s="1" t="s">
        <v>2932</v>
      </c>
      <c r="V909" s="3">
        <f t="shared" si="135"/>
        <v>40000</v>
      </c>
      <c r="W909" s="3">
        <f t="shared" si="136"/>
        <v>16000</v>
      </c>
      <c r="X909" s="3">
        <f t="shared" si="128"/>
        <v>1250</v>
      </c>
      <c r="Y909" s="3">
        <f t="shared" si="129"/>
        <v>1600</v>
      </c>
      <c r="Z909" s="3">
        <f t="shared" si="130"/>
        <v>1800</v>
      </c>
      <c r="AA909" s="3">
        <v>0</v>
      </c>
      <c r="AB909" s="3">
        <f>ROUND(U909 - (V909+W909+X909+Y909) - (U909/Q909 * 2),0)</f>
        <v>34483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f>SUM(V909+W909+X909+Y909+AB909)</f>
        <v>93333</v>
      </c>
      <c r="AK909" s="3">
        <f>SUM(AJ909-AA909)</f>
        <v>93333</v>
      </c>
      <c r="AL909" s="3">
        <f>IF(V909&lt;=15000,V909*12%,1800)</f>
        <v>1800</v>
      </c>
      <c r="AM909" s="3">
        <v>0</v>
      </c>
      <c r="AN909" s="3">
        <f t="shared" si="131"/>
        <v>1800</v>
      </c>
      <c r="AO909" s="12">
        <v>200</v>
      </c>
      <c r="AP909" s="12">
        <v>0</v>
      </c>
      <c r="AQ909" s="12">
        <v>0</v>
      </c>
      <c r="AR909" s="12">
        <v>0</v>
      </c>
      <c r="AS909" s="12">
        <v>0</v>
      </c>
      <c r="AT909" s="12">
        <v>0</v>
      </c>
      <c r="AU909" s="3">
        <f t="shared" si="133"/>
        <v>200</v>
      </c>
      <c r="AV909" s="3">
        <f>SUM(AJ909 - AN909 - AU909)</f>
        <v>91333</v>
      </c>
      <c r="AW909" s="11">
        <v>0</v>
      </c>
      <c r="AX909" s="11">
        <v>0</v>
      </c>
      <c r="AY909" s="11">
        <v>0</v>
      </c>
      <c r="AZ909" s="11">
        <v>0</v>
      </c>
      <c r="BA909" s="3">
        <f t="shared" si="132"/>
        <v>91333</v>
      </c>
    </row>
    <row r="910" spans="1:53" x14ac:dyDescent="0.25">
      <c r="A910" s="1" t="s">
        <v>908</v>
      </c>
      <c r="B910" s="9" t="s">
        <v>2726</v>
      </c>
      <c r="C910" s="9" t="s">
        <v>2707</v>
      </c>
      <c r="D910" s="9" t="s">
        <v>2727</v>
      </c>
      <c r="E910" s="9" t="s">
        <v>1012</v>
      </c>
      <c r="F910" s="10">
        <v>44287</v>
      </c>
      <c r="G910" s="9" t="s">
        <v>1019</v>
      </c>
      <c r="I910" s="9" t="s">
        <v>1042</v>
      </c>
      <c r="J910" s="9" t="s">
        <v>1048</v>
      </c>
      <c r="K910" s="8" t="s">
        <v>1006</v>
      </c>
      <c r="L910" s="8" t="s">
        <v>1007</v>
      </c>
      <c r="M910" s="8" t="s">
        <v>2933</v>
      </c>
      <c r="N910" s="8" t="s">
        <v>2937</v>
      </c>
      <c r="O910" s="1" t="s">
        <v>2934</v>
      </c>
      <c r="P910">
        <v>30</v>
      </c>
      <c r="Q910">
        <v>30</v>
      </c>
      <c r="R910">
        <v>0</v>
      </c>
      <c r="S910">
        <f t="shared" si="134"/>
        <v>30</v>
      </c>
      <c r="T910" s="1" t="s">
        <v>2935</v>
      </c>
      <c r="U910" s="1" t="s">
        <v>2932</v>
      </c>
      <c r="V910" s="3">
        <f t="shared" si="135"/>
        <v>40000</v>
      </c>
      <c r="W910" s="3">
        <f t="shared" si="136"/>
        <v>16000</v>
      </c>
      <c r="X910" s="3">
        <f t="shared" si="128"/>
        <v>1250</v>
      </c>
      <c r="Y910" s="3">
        <f t="shared" si="129"/>
        <v>1600</v>
      </c>
      <c r="Z910" s="3">
        <f t="shared" si="130"/>
        <v>1800</v>
      </c>
      <c r="AA910" s="3">
        <v>0</v>
      </c>
      <c r="AB910" s="3">
        <f>ROUND(U910 - (V910+W910+X910+Y910) - (U910/Q910 * 2),0)</f>
        <v>34483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f>SUM(V910+W910+X910+Y910+AB910)</f>
        <v>93333</v>
      </c>
      <c r="AK910" s="3">
        <f>SUM(AJ910-AA910)</f>
        <v>93333</v>
      </c>
      <c r="AL910" s="3">
        <f>IF(V910&lt;=15000,V910*12%,1800)</f>
        <v>1800</v>
      </c>
      <c r="AM910" s="3">
        <v>0</v>
      </c>
      <c r="AN910" s="3">
        <f t="shared" si="131"/>
        <v>1800</v>
      </c>
      <c r="AO910" s="12">
        <v>200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3">
        <f t="shared" si="133"/>
        <v>200</v>
      </c>
      <c r="AV910" s="3">
        <f>SUM(AJ910 - AN910 - AU910)</f>
        <v>91333</v>
      </c>
      <c r="AW910" s="11">
        <v>0</v>
      </c>
      <c r="AX910" s="11">
        <v>0</v>
      </c>
      <c r="AY910" s="11">
        <v>0</v>
      </c>
      <c r="AZ910" s="11">
        <v>0</v>
      </c>
      <c r="BA910" s="3">
        <f t="shared" si="132"/>
        <v>91333</v>
      </c>
    </row>
    <row r="911" spans="1:53" x14ac:dyDescent="0.25">
      <c r="A911" s="1" t="s">
        <v>909</v>
      </c>
      <c r="B911" s="9" t="s">
        <v>2786</v>
      </c>
      <c r="C911" s="9" t="s">
        <v>1431</v>
      </c>
      <c r="D911" s="9" t="s">
        <v>2787</v>
      </c>
      <c r="E911" s="9" t="s">
        <v>1012</v>
      </c>
      <c r="F911" s="10">
        <v>43535</v>
      </c>
      <c r="G911" s="9" t="s">
        <v>1019</v>
      </c>
      <c r="I911" s="9" t="s">
        <v>1014</v>
      </c>
      <c r="J911" s="9" t="s">
        <v>1015</v>
      </c>
      <c r="K911" s="8" t="s">
        <v>1006</v>
      </c>
      <c r="L911" s="8" t="s">
        <v>1007</v>
      </c>
      <c r="M911" s="8" t="s">
        <v>2933</v>
      </c>
      <c r="N911" s="8" t="s">
        <v>2937</v>
      </c>
      <c r="O911" s="1" t="s">
        <v>2934</v>
      </c>
      <c r="P911">
        <v>30</v>
      </c>
      <c r="Q911">
        <v>30</v>
      </c>
      <c r="R911">
        <v>0</v>
      </c>
      <c r="S911">
        <f t="shared" si="134"/>
        <v>30</v>
      </c>
      <c r="T911" s="1" t="s">
        <v>2935</v>
      </c>
      <c r="U911" s="1" t="s">
        <v>2932</v>
      </c>
      <c r="V911" s="3">
        <f t="shared" si="135"/>
        <v>40000</v>
      </c>
      <c r="W911" s="3">
        <f t="shared" si="136"/>
        <v>16000</v>
      </c>
      <c r="X911" s="3">
        <f t="shared" si="128"/>
        <v>1250</v>
      </c>
      <c r="Y911" s="3">
        <f t="shared" si="129"/>
        <v>1600</v>
      </c>
      <c r="Z911" s="3">
        <f t="shared" si="130"/>
        <v>1800</v>
      </c>
      <c r="AA911" s="3">
        <v>0</v>
      </c>
      <c r="AB911" s="3">
        <f>ROUND(U911 - (V911+W911+X911+Y911) - (U911/Q911 * 2),0)</f>
        <v>34483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f>SUM(V911+W911+X911+Y911+AB911)</f>
        <v>93333</v>
      </c>
      <c r="AK911" s="3">
        <f>SUM(AJ911-AA911)</f>
        <v>93333</v>
      </c>
      <c r="AL911" s="3">
        <f>IF(V911&lt;=15000,V911*12%,1800)</f>
        <v>1800</v>
      </c>
      <c r="AM911" s="3">
        <v>0</v>
      </c>
      <c r="AN911" s="3">
        <f t="shared" si="131"/>
        <v>1800</v>
      </c>
      <c r="AO911" s="12">
        <v>200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3">
        <f t="shared" si="133"/>
        <v>200</v>
      </c>
      <c r="AV911" s="3">
        <f>SUM(AJ911 - AN911 - AU911)</f>
        <v>91333</v>
      </c>
      <c r="AW911" s="11">
        <v>0</v>
      </c>
      <c r="AX911" s="11">
        <v>0</v>
      </c>
      <c r="AY911" s="11">
        <v>0</v>
      </c>
      <c r="AZ911" s="11">
        <v>0</v>
      </c>
      <c r="BA911" s="3">
        <f t="shared" si="132"/>
        <v>91333</v>
      </c>
    </row>
    <row r="912" spans="1:53" x14ac:dyDescent="0.25">
      <c r="A912" s="1" t="s">
        <v>910</v>
      </c>
      <c r="B912" s="9" t="s">
        <v>2784</v>
      </c>
      <c r="C912" s="9" t="s">
        <v>2702</v>
      </c>
      <c r="D912" s="9" t="s">
        <v>2785</v>
      </c>
      <c r="E912" s="9" t="s">
        <v>1008</v>
      </c>
      <c r="F912" s="10">
        <v>43416</v>
      </c>
      <c r="G912" s="9" t="s">
        <v>1019</v>
      </c>
      <c r="I912" s="9" t="s">
        <v>1042</v>
      </c>
      <c r="J912" s="9" t="s">
        <v>1048</v>
      </c>
      <c r="K912" s="8" t="s">
        <v>1006</v>
      </c>
      <c r="L912" s="8" t="s">
        <v>1007</v>
      </c>
      <c r="M912" s="8" t="s">
        <v>2933</v>
      </c>
      <c r="N912" s="8" t="s">
        <v>2937</v>
      </c>
      <c r="O912" s="1" t="s">
        <v>2934</v>
      </c>
      <c r="P912">
        <v>30</v>
      </c>
      <c r="Q912">
        <v>30</v>
      </c>
      <c r="R912">
        <v>0</v>
      </c>
      <c r="S912">
        <f t="shared" si="134"/>
        <v>30</v>
      </c>
      <c r="T912" s="1" t="s">
        <v>2935</v>
      </c>
      <c r="U912" s="1" t="s">
        <v>2932</v>
      </c>
      <c r="V912" s="3">
        <f t="shared" si="135"/>
        <v>40000</v>
      </c>
      <c r="W912" s="3">
        <f t="shared" si="136"/>
        <v>16000</v>
      </c>
      <c r="X912" s="3">
        <f t="shared" si="128"/>
        <v>1250</v>
      </c>
      <c r="Y912" s="3">
        <f t="shared" si="129"/>
        <v>1600</v>
      </c>
      <c r="Z912" s="3">
        <f t="shared" si="130"/>
        <v>1800</v>
      </c>
      <c r="AA912" s="3">
        <v>0</v>
      </c>
      <c r="AB912" s="3">
        <f>ROUND(U912 - (V912+W912+X912+Y912) - (U912/Q912 * 2),0)</f>
        <v>34483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f>SUM(V912+W912+X912+Y912+AB912)</f>
        <v>93333</v>
      </c>
      <c r="AK912" s="3">
        <f>SUM(AJ912-AA912)</f>
        <v>93333</v>
      </c>
      <c r="AL912" s="3">
        <f>IF(V912&lt;=15000,V912*12%,1800)</f>
        <v>1800</v>
      </c>
      <c r="AM912" s="3">
        <v>0</v>
      </c>
      <c r="AN912" s="3">
        <f t="shared" si="131"/>
        <v>1800</v>
      </c>
      <c r="AO912" s="12">
        <v>200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3">
        <f t="shared" si="133"/>
        <v>200</v>
      </c>
      <c r="AV912" s="3">
        <f>SUM(AJ912 - AN912 - AU912)</f>
        <v>91333</v>
      </c>
      <c r="AW912" s="11">
        <v>0</v>
      </c>
      <c r="AX912" s="11">
        <v>0</v>
      </c>
      <c r="AY912" s="11">
        <v>0</v>
      </c>
      <c r="AZ912" s="11">
        <v>0</v>
      </c>
      <c r="BA912" s="3">
        <f t="shared" si="132"/>
        <v>91333</v>
      </c>
    </row>
    <row r="913" spans="1:53" x14ac:dyDescent="0.25">
      <c r="A913" s="1" t="s">
        <v>911</v>
      </c>
      <c r="B913" s="9" t="s">
        <v>2781</v>
      </c>
      <c r="C913" s="9" t="s">
        <v>2782</v>
      </c>
      <c r="D913" s="9" t="s">
        <v>2783</v>
      </c>
      <c r="E913" s="9" t="s">
        <v>1008</v>
      </c>
      <c r="F913" s="10">
        <v>42177</v>
      </c>
      <c r="G913" s="9" t="s">
        <v>1019</v>
      </c>
      <c r="I913" s="9" t="s">
        <v>1042</v>
      </c>
      <c r="J913" s="9" t="s">
        <v>1031</v>
      </c>
      <c r="K913" s="8" t="s">
        <v>1006</v>
      </c>
      <c r="L913" s="8" t="s">
        <v>1007</v>
      </c>
      <c r="M913" s="8" t="s">
        <v>2933</v>
      </c>
      <c r="N913" s="8" t="s">
        <v>2937</v>
      </c>
      <c r="O913" s="1" t="s">
        <v>2934</v>
      </c>
      <c r="P913">
        <v>30</v>
      </c>
      <c r="Q913">
        <v>30</v>
      </c>
      <c r="R913">
        <v>0</v>
      </c>
      <c r="S913">
        <f t="shared" si="134"/>
        <v>30</v>
      </c>
      <c r="T913" s="1" t="s">
        <v>2935</v>
      </c>
      <c r="U913" s="1" t="s">
        <v>2932</v>
      </c>
      <c r="V913" s="3">
        <f t="shared" si="135"/>
        <v>40000</v>
      </c>
      <c r="W913" s="3">
        <f t="shared" si="136"/>
        <v>16000</v>
      </c>
      <c r="X913" s="3">
        <f t="shared" si="128"/>
        <v>1250</v>
      </c>
      <c r="Y913" s="3">
        <f t="shared" si="129"/>
        <v>1600</v>
      </c>
      <c r="Z913" s="3">
        <f t="shared" si="130"/>
        <v>1800</v>
      </c>
      <c r="AA913" s="3">
        <v>0</v>
      </c>
      <c r="AB913" s="3">
        <f>ROUND(U913 - (V913+W913+X913+Y913) - (U913/Q913 * 2),0)</f>
        <v>34483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f>SUM(V913+W913+X913+Y913+AB913)</f>
        <v>93333</v>
      </c>
      <c r="AK913" s="3">
        <f>SUM(AJ913-AA913)</f>
        <v>93333</v>
      </c>
      <c r="AL913" s="3">
        <f>IF(V913&lt;=15000,V913*12%,1800)</f>
        <v>1800</v>
      </c>
      <c r="AM913" s="3">
        <v>0</v>
      </c>
      <c r="AN913" s="3">
        <f t="shared" si="131"/>
        <v>1800</v>
      </c>
      <c r="AO913" s="12">
        <v>200</v>
      </c>
      <c r="AP913" s="12">
        <v>0</v>
      </c>
      <c r="AQ913" s="12">
        <v>0</v>
      </c>
      <c r="AR913" s="12">
        <v>0</v>
      </c>
      <c r="AS913" s="12">
        <v>0</v>
      </c>
      <c r="AT913" s="12">
        <v>0</v>
      </c>
      <c r="AU913" s="3">
        <f t="shared" si="133"/>
        <v>200</v>
      </c>
      <c r="AV913" s="3">
        <f>SUM(AJ913 - AN913 - AU913)</f>
        <v>91333</v>
      </c>
      <c r="AW913" s="11">
        <v>0</v>
      </c>
      <c r="AX913" s="11">
        <v>0</v>
      </c>
      <c r="AY913" s="11">
        <v>0</v>
      </c>
      <c r="AZ913" s="11">
        <v>0</v>
      </c>
      <c r="BA913" s="3">
        <f t="shared" si="132"/>
        <v>91333</v>
      </c>
    </row>
    <row r="914" spans="1:53" x14ac:dyDescent="0.25">
      <c r="A914" s="1" t="s">
        <v>912</v>
      </c>
      <c r="B914" s="9" t="s">
        <v>1989</v>
      </c>
      <c r="C914" s="9" t="s">
        <v>1216</v>
      </c>
      <c r="D914" s="9" t="s">
        <v>2780</v>
      </c>
      <c r="E914" s="9" t="s">
        <v>1012</v>
      </c>
      <c r="F914" s="10">
        <v>43542</v>
      </c>
      <c r="G914" s="9" t="s">
        <v>1013</v>
      </c>
      <c r="I914" s="9" t="s">
        <v>1014</v>
      </c>
      <c r="J914" s="9" t="s">
        <v>1021</v>
      </c>
      <c r="K914" s="8" t="s">
        <v>1006</v>
      </c>
      <c r="L914" s="8" t="s">
        <v>1007</v>
      </c>
      <c r="M914" s="8" t="s">
        <v>2933</v>
      </c>
      <c r="N914" s="8" t="s">
        <v>2937</v>
      </c>
      <c r="O914" s="1" t="s">
        <v>2934</v>
      </c>
      <c r="P914">
        <v>30</v>
      </c>
      <c r="Q914">
        <v>30</v>
      </c>
      <c r="R914">
        <v>0</v>
      </c>
      <c r="S914">
        <f t="shared" si="134"/>
        <v>30</v>
      </c>
      <c r="T914" s="1" t="s">
        <v>2935</v>
      </c>
      <c r="U914" s="1" t="s">
        <v>2932</v>
      </c>
      <c r="V914" s="3">
        <f t="shared" si="135"/>
        <v>40000</v>
      </c>
      <c r="W914" s="3">
        <f t="shared" si="136"/>
        <v>16000</v>
      </c>
      <c r="X914" s="3">
        <f t="shared" si="128"/>
        <v>1250</v>
      </c>
      <c r="Y914" s="3">
        <f t="shared" si="129"/>
        <v>1600</v>
      </c>
      <c r="Z914" s="3">
        <f t="shared" si="130"/>
        <v>1800</v>
      </c>
      <c r="AA914" s="3">
        <v>0</v>
      </c>
      <c r="AB914" s="3">
        <f>ROUND(U914 - (V914+W914+X914+Y914) - (U914/Q914 * 2),0)</f>
        <v>34483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f>SUM(V914+W914+X914+Y914+AB914)</f>
        <v>93333</v>
      </c>
      <c r="AK914" s="3">
        <f>SUM(AJ914-AA914)</f>
        <v>93333</v>
      </c>
      <c r="AL914" s="3">
        <f>IF(V914&lt;=15000,V914*12%,1800)</f>
        <v>1800</v>
      </c>
      <c r="AM914" s="3">
        <v>0</v>
      </c>
      <c r="AN914" s="3">
        <f t="shared" si="131"/>
        <v>1800</v>
      </c>
      <c r="AO914" s="12">
        <v>200</v>
      </c>
      <c r="AP914" s="12">
        <v>0</v>
      </c>
      <c r="AQ914" s="12">
        <v>0</v>
      </c>
      <c r="AR914" s="12">
        <v>0</v>
      </c>
      <c r="AS914" s="12">
        <v>0</v>
      </c>
      <c r="AT914" s="12">
        <v>0</v>
      </c>
      <c r="AU914" s="3">
        <f t="shared" si="133"/>
        <v>200</v>
      </c>
      <c r="AV914" s="3">
        <f>SUM(AJ914 - AN914 - AU914)</f>
        <v>91333</v>
      </c>
      <c r="AW914" s="11">
        <v>0</v>
      </c>
      <c r="AX914" s="11">
        <v>0</v>
      </c>
      <c r="AY914" s="11">
        <v>0</v>
      </c>
      <c r="AZ914" s="11">
        <v>0</v>
      </c>
      <c r="BA914" s="3">
        <f t="shared" si="132"/>
        <v>91333</v>
      </c>
    </row>
    <row r="915" spans="1:53" x14ac:dyDescent="0.25">
      <c r="A915" s="1" t="s">
        <v>913</v>
      </c>
      <c r="B915" s="9" t="s">
        <v>2778</v>
      </c>
      <c r="C915" s="9" t="s">
        <v>2720</v>
      </c>
      <c r="D915" s="9" t="s">
        <v>2779</v>
      </c>
      <c r="E915" s="9" t="s">
        <v>1012</v>
      </c>
      <c r="F915" s="10">
        <v>43474</v>
      </c>
      <c r="G915" s="9" t="s">
        <v>1013</v>
      </c>
      <c r="I915" s="9" t="s">
        <v>1042</v>
      </c>
      <c r="J915" s="9" t="s">
        <v>1031</v>
      </c>
      <c r="K915" s="8" t="s">
        <v>1006</v>
      </c>
      <c r="L915" s="8" t="s">
        <v>1007</v>
      </c>
      <c r="M915" s="8" t="s">
        <v>2933</v>
      </c>
      <c r="N915" s="8" t="s">
        <v>2937</v>
      </c>
      <c r="O915" s="1" t="s">
        <v>2934</v>
      </c>
      <c r="P915">
        <v>30</v>
      </c>
      <c r="Q915">
        <v>30</v>
      </c>
      <c r="R915">
        <v>0</v>
      </c>
      <c r="S915">
        <f t="shared" si="134"/>
        <v>30</v>
      </c>
      <c r="T915" s="1" t="s">
        <v>2935</v>
      </c>
      <c r="U915" s="1" t="s">
        <v>2932</v>
      </c>
      <c r="V915" s="3">
        <f t="shared" si="135"/>
        <v>40000</v>
      </c>
      <c r="W915" s="3">
        <f t="shared" si="136"/>
        <v>16000</v>
      </c>
      <c r="X915" s="3">
        <f t="shared" si="128"/>
        <v>1250</v>
      </c>
      <c r="Y915" s="3">
        <f t="shared" si="129"/>
        <v>1600</v>
      </c>
      <c r="Z915" s="3">
        <f t="shared" si="130"/>
        <v>1800</v>
      </c>
      <c r="AA915" s="3">
        <v>0</v>
      </c>
      <c r="AB915" s="3">
        <f>ROUND(U915 - (V915+W915+X915+Y915) - (U915/Q915 * 2),0)</f>
        <v>34483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f>SUM(V915+W915+X915+Y915+AB915)</f>
        <v>93333</v>
      </c>
      <c r="AK915" s="3">
        <f>SUM(AJ915-AA915)</f>
        <v>93333</v>
      </c>
      <c r="AL915" s="3">
        <f>IF(V915&lt;=15000,V915*12%,1800)</f>
        <v>1800</v>
      </c>
      <c r="AM915" s="3">
        <v>0</v>
      </c>
      <c r="AN915" s="3">
        <f t="shared" si="131"/>
        <v>1800</v>
      </c>
      <c r="AO915" s="12">
        <v>200</v>
      </c>
      <c r="AP915" s="12">
        <v>0</v>
      </c>
      <c r="AQ915" s="12">
        <v>0</v>
      </c>
      <c r="AR915" s="12">
        <v>0</v>
      </c>
      <c r="AS915" s="12">
        <v>0</v>
      </c>
      <c r="AT915" s="12">
        <v>0</v>
      </c>
      <c r="AU915" s="3">
        <f t="shared" si="133"/>
        <v>200</v>
      </c>
      <c r="AV915" s="3">
        <f>SUM(AJ915 - AN915 - AU915)</f>
        <v>91333</v>
      </c>
      <c r="AW915" s="11">
        <v>0</v>
      </c>
      <c r="AX915" s="11">
        <v>0</v>
      </c>
      <c r="AY915" s="11">
        <v>0</v>
      </c>
      <c r="AZ915" s="11">
        <v>0</v>
      </c>
      <c r="BA915" s="3">
        <f t="shared" si="132"/>
        <v>91333</v>
      </c>
    </row>
    <row r="916" spans="1:53" x14ac:dyDescent="0.25">
      <c r="A916" s="1" t="s">
        <v>914</v>
      </c>
      <c r="B916" s="9" t="s">
        <v>2776</v>
      </c>
      <c r="C916" s="9" t="s">
        <v>1115</v>
      </c>
      <c r="D916" s="9" t="s">
        <v>2777</v>
      </c>
      <c r="E916" s="9" t="s">
        <v>1012</v>
      </c>
      <c r="F916" s="10">
        <v>43482</v>
      </c>
      <c r="G916" s="9" t="s">
        <v>1019</v>
      </c>
      <c r="I916" s="9" t="s">
        <v>1209</v>
      </c>
      <c r="J916" s="9" t="s">
        <v>1048</v>
      </c>
      <c r="K916" s="8" t="s">
        <v>1006</v>
      </c>
      <c r="L916" s="8" t="s">
        <v>1007</v>
      </c>
      <c r="M916" s="8" t="s">
        <v>2933</v>
      </c>
      <c r="N916" s="8" t="s">
        <v>2937</v>
      </c>
      <c r="O916" s="1" t="s">
        <v>2934</v>
      </c>
      <c r="P916">
        <v>30</v>
      </c>
      <c r="Q916">
        <v>30</v>
      </c>
      <c r="R916">
        <v>0</v>
      </c>
      <c r="S916">
        <f t="shared" si="134"/>
        <v>30</v>
      </c>
      <c r="T916" s="1" t="s">
        <v>2935</v>
      </c>
      <c r="U916" s="1" t="s">
        <v>2932</v>
      </c>
      <c r="V916" s="3">
        <f t="shared" si="135"/>
        <v>40000</v>
      </c>
      <c r="W916" s="3">
        <f t="shared" si="136"/>
        <v>16000</v>
      </c>
      <c r="X916" s="3">
        <f t="shared" si="128"/>
        <v>1250</v>
      </c>
      <c r="Y916" s="3">
        <f t="shared" si="129"/>
        <v>1600</v>
      </c>
      <c r="Z916" s="3">
        <f t="shared" si="130"/>
        <v>1800</v>
      </c>
      <c r="AA916" s="3">
        <v>0</v>
      </c>
      <c r="AB916" s="3">
        <f>ROUND(U916 - (V916+W916+X916+Y916) - (U916/Q916 * 2),0)</f>
        <v>34483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f>SUM(V916+W916+X916+Y916+AB916)</f>
        <v>93333</v>
      </c>
      <c r="AK916" s="3">
        <f>SUM(AJ916-AA916)</f>
        <v>93333</v>
      </c>
      <c r="AL916" s="3">
        <f>IF(V916&lt;=15000,V916*12%,1800)</f>
        <v>1800</v>
      </c>
      <c r="AM916" s="3">
        <v>0</v>
      </c>
      <c r="AN916" s="3">
        <f t="shared" si="131"/>
        <v>1800</v>
      </c>
      <c r="AO916" s="12">
        <v>200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3">
        <f t="shared" si="133"/>
        <v>200</v>
      </c>
      <c r="AV916" s="3">
        <f>SUM(AJ916 - AN916 - AU916)</f>
        <v>91333</v>
      </c>
      <c r="AW916" s="11">
        <v>0</v>
      </c>
      <c r="AX916" s="11">
        <v>0</v>
      </c>
      <c r="AY916" s="11">
        <v>0</v>
      </c>
      <c r="AZ916" s="11">
        <v>0</v>
      </c>
      <c r="BA916" s="3">
        <f t="shared" si="132"/>
        <v>91333</v>
      </c>
    </row>
    <row r="917" spans="1:53" x14ac:dyDescent="0.25">
      <c r="A917" s="1" t="s">
        <v>915</v>
      </c>
      <c r="B917" s="9" t="s">
        <v>2773</v>
      </c>
      <c r="C917" s="9" t="s">
        <v>2774</v>
      </c>
      <c r="D917" s="9" t="s">
        <v>2775</v>
      </c>
      <c r="E917" s="9" t="s">
        <v>1012</v>
      </c>
      <c r="F917" s="10">
        <v>43551</v>
      </c>
      <c r="G917" s="9" t="s">
        <v>1019</v>
      </c>
      <c r="I917" s="9" t="s">
        <v>1042</v>
      </c>
      <c r="J917" s="9" t="s">
        <v>1048</v>
      </c>
      <c r="K917" s="8" t="s">
        <v>1006</v>
      </c>
      <c r="L917" s="8" t="s">
        <v>1007</v>
      </c>
      <c r="M917" s="8" t="s">
        <v>2933</v>
      </c>
      <c r="N917" s="8" t="s">
        <v>2937</v>
      </c>
      <c r="O917" s="1" t="s">
        <v>2934</v>
      </c>
      <c r="P917">
        <v>30</v>
      </c>
      <c r="Q917">
        <v>30</v>
      </c>
      <c r="R917">
        <v>0</v>
      </c>
      <c r="S917">
        <f t="shared" si="134"/>
        <v>30</v>
      </c>
      <c r="T917" s="1" t="s">
        <v>2935</v>
      </c>
      <c r="U917" s="1" t="s">
        <v>2932</v>
      </c>
      <c r="V917" s="3">
        <f t="shared" si="135"/>
        <v>40000</v>
      </c>
      <c r="W917" s="3">
        <f t="shared" si="136"/>
        <v>16000</v>
      </c>
      <c r="X917" s="3">
        <f t="shared" si="128"/>
        <v>1250</v>
      </c>
      <c r="Y917" s="3">
        <f t="shared" si="129"/>
        <v>1600</v>
      </c>
      <c r="Z917" s="3">
        <f t="shared" si="130"/>
        <v>1800</v>
      </c>
      <c r="AA917" s="3">
        <v>0</v>
      </c>
      <c r="AB917" s="3">
        <f>ROUND(U917 - (V917+W917+X917+Y917) - (U917/Q917 * 2),0)</f>
        <v>34483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f>SUM(V917+W917+X917+Y917+AB917)</f>
        <v>93333</v>
      </c>
      <c r="AK917" s="3">
        <f>SUM(AJ917-AA917)</f>
        <v>93333</v>
      </c>
      <c r="AL917" s="3">
        <f>IF(V917&lt;=15000,V917*12%,1800)</f>
        <v>1800</v>
      </c>
      <c r="AM917" s="3">
        <v>0</v>
      </c>
      <c r="AN917" s="3">
        <f t="shared" si="131"/>
        <v>1800</v>
      </c>
      <c r="AO917" s="12">
        <v>200</v>
      </c>
      <c r="AP917" s="12">
        <v>0</v>
      </c>
      <c r="AQ917" s="12">
        <v>0</v>
      </c>
      <c r="AR917" s="12">
        <v>0</v>
      </c>
      <c r="AS917" s="12">
        <v>0</v>
      </c>
      <c r="AT917" s="12">
        <v>0</v>
      </c>
      <c r="AU917" s="3">
        <f t="shared" si="133"/>
        <v>200</v>
      </c>
      <c r="AV917" s="3">
        <f>SUM(AJ917 - AN917 - AU917)</f>
        <v>91333</v>
      </c>
      <c r="AW917" s="11">
        <v>0</v>
      </c>
      <c r="AX917" s="11">
        <v>0</v>
      </c>
      <c r="AY917" s="11">
        <v>0</v>
      </c>
      <c r="AZ917" s="11">
        <v>0</v>
      </c>
      <c r="BA917" s="3">
        <f t="shared" si="132"/>
        <v>91333</v>
      </c>
    </row>
    <row r="918" spans="1:53" x14ac:dyDescent="0.25">
      <c r="A918" s="1" t="s">
        <v>916</v>
      </c>
      <c r="B918" s="9" t="s">
        <v>2771</v>
      </c>
      <c r="C918" s="9" t="s">
        <v>2702</v>
      </c>
      <c r="D918" s="9" t="s">
        <v>2772</v>
      </c>
      <c r="E918" s="9" t="s">
        <v>1012</v>
      </c>
      <c r="F918" s="10">
        <v>43563</v>
      </c>
      <c r="G918" s="9" t="s">
        <v>1013</v>
      </c>
      <c r="I918" s="9" t="s">
        <v>1035</v>
      </c>
      <c r="J918" s="9" t="s">
        <v>1048</v>
      </c>
      <c r="K918" s="8" t="s">
        <v>1006</v>
      </c>
      <c r="L918" s="8" t="s">
        <v>1007</v>
      </c>
      <c r="M918" s="8" t="s">
        <v>2933</v>
      </c>
      <c r="N918" s="8" t="s">
        <v>2937</v>
      </c>
      <c r="O918" s="1" t="s">
        <v>2934</v>
      </c>
      <c r="P918">
        <v>30</v>
      </c>
      <c r="Q918">
        <v>30</v>
      </c>
      <c r="R918">
        <v>0</v>
      </c>
      <c r="S918">
        <f t="shared" si="134"/>
        <v>30</v>
      </c>
      <c r="T918" s="1" t="s">
        <v>2935</v>
      </c>
      <c r="U918" s="1" t="s">
        <v>2932</v>
      </c>
      <c r="V918" s="3">
        <f t="shared" si="135"/>
        <v>40000</v>
      </c>
      <c r="W918" s="3">
        <f t="shared" si="136"/>
        <v>16000</v>
      </c>
      <c r="X918" s="3">
        <f t="shared" si="128"/>
        <v>1250</v>
      </c>
      <c r="Y918" s="3">
        <f t="shared" si="129"/>
        <v>1600</v>
      </c>
      <c r="Z918" s="3">
        <f t="shared" si="130"/>
        <v>1800</v>
      </c>
      <c r="AA918" s="3">
        <v>0</v>
      </c>
      <c r="AB918" s="3">
        <f>ROUND(U918 - (V918+W918+X918+Y918) - (U918/Q918 * 2),0)</f>
        <v>34483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f>SUM(V918+W918+X918+Y918+AB918)</f>
        <v>93333</v>
      </c>
      <c r="AK918" s="3">
        <f>SUM(AJ918-AA918)</f>
        <v>93333</v>
      </c>
      <c r="AL918" s="3">
        <f>IF(V918&lt;=15000,V918*12%,1800)</f>
        <v>1800</v>
      </c>
      <c r="AM918" s="3">
        <v>0</v>
      </c>
      <c r="AN918" s="3">
        <f t="shared" si="131"/>
        <v>1800</v>
      </c>
      <c r="AO918" s="12">
        <v>200</v>
      </c>
      <c r="AP918" s="12">
        <v>0</v>
      </c>
      <c r="AQ918" s="12">
        <v>0</v>
      </c>
      <c r="AR918" s="12">
        <v>0</v>
      </c>
      <c r="AS918" s="12">
        <v>0</v>
      </c>
      <c r="AT918" s="12">
        <v>0</v>
      </c>
      <c r="AU918" s="3">
        <f t="shared" si="133"/>
        <v>200</v>
      </c>
      <c r="AV918" s="3">
        <f>SUM(AJ918 - AN918 - AU918)</f>
        <v>91333</v>
      </c>
      <c r="AW918" s="11">
        <v>0</v>
      </c>
      <c r="AX918" s="11">
        <v>0</v>
      </c>
      <c r="AY918" s="11">
        <v>0</v>
      </c>
      <c r="AZ918" s="11">
        <v>0</v>
      </c>
      <c r="BA918" s="3">
        <f t="shared" si="132"/>
        <v>91333</v>
      </c>
    </row>
    <row r="919" spans="1:53" x14ac:dyDescent="0.25">
      <c r="A919" s="1" t="s">
        <v>917</v>
      </c>
      <c r="B919" s="9" t="s">
        <v>2769</v>
      </c>
      <c r="C919" s="9" t="s">
        <v>1273</v>
      </c>
      <c r="D919" s="9" t="s">
        <v>2770</v>
      </c>
      <c r="E919" s="9" t="s">
        <v>1012</v>
      </c>
      <c r="F919" s="10">
        <v>43598</v>
      </c>
      <c r="G919" s="9" t="s">
        <v>1013</v>
      </c>
      <c r="I919" s="9" t="s">
        <v>1042</v>
      </c>
      <c r="J919" s="9" t="s">
        <v>1048</v>
      </c>
      <c r="K919" s="8" t="s">
        <v>1006</v>
      </c>
      <c r="L919" s="8" t="s">
        <v>1007</v>
      </c>
      <c r="M919" s="8" t="s">
        <v>2933</v>
      </c>
      <c r="N919" s="8" t="s">
        <v>2937</v>
      </c>
      <c r="O919" s="1" t="s">
        <v>2934</v>
      </c>
      <c r="P919">
        <v>30</v>
      </c>
      <c r="Q919">
        <v>30</v>
      </c>
      <c r="R919">
        <v>0</v>
      </c>
      <c r="S919">
        <f t="shared" si="134"/>
        <v>30</v>
      </c>
      <c r="T919" s="1" t="s">
        <v>2935</v>
      </c>
      <c r="U919" s="1" t="s">
        <v>2932</v>
      </c>
      <c r="V919" s="3">
        <f t="shared" si="135"/>
        <v>40000</v>
      </c>
      <c r="W919" s="3">
        <f t="shared" si="136"/>
        <v>16000</v>
      </c>
      <c r="X919" s="3">
        <f t="shared" si="128"/>
        <v>1250</v>
      </c>
      <c r="Y919" s="3">
        <f t="shared" si="129"/>
        <v>1600</v>
      </c>
      <c r="Z919" s="3">
        <f t="shared" si="130"/>
        <v>1800</v>
      </c>
      <c r="AA919" s="3">
        <v>0</v>
      </c>
      <c r="AB919" s="3">
        <f>ROUND(U919 - (V919+W919+X919+Y919) - (U919/Q919 * 2),0)</f>
        <v>34483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f>SUM(V919+W919+X919+Y919+AB919)</f>
        <v>93333</v>
      </c>
      <c r="AK919" s="3">
        <f>SUM(AJ919-AA919)</f>
        <v>93333</v>
      </c>
      <c r="AL919" s="3">
        <f>IF(V919&lt;=15000,V919*12%,1800)</f>
        <v>1800</v>
      </c>
      <c r="AM919" s="3">
        <v>0</v>
      </c>
      <c r="AN919" s="3">
        <f t="shared" si="131"/>
        <v>1800</v>
      </c>
      <c r="AO919" s="12">
        <v>200</v>
      </c>
      <c r="AP919" s="12">
        <v>0</v>
      </c>
      <c r="AQ919" s="12">
        <v>0</v>
      </c>
      <c r="AR919" s="12">
        <v>0</v>
      </c>
      <c r="AS919" s="12">
        <v>0</v>
      </c>
      <c r="AT919" s="12">
        <v>0</v>
      </c>
      <c r="AU919" s="3">
        <f t="shared" si="133"/>
        <v>200</v>
      </c>
      <c r="AV919" s="3">
        <f>SUM(AJ919 - AN919 - AU919)</f>
        <v>91333</v>
      </c>
      <c r="AW919" s="11">
        <v>0</v>
      </c>
      <c r="AX919" s="11">
        <v>0</v>
      </c>
      <c r="AY919" s="11">
        <v>0</v>
      </c>
      <c r="AZ919" s="11">
        <v>0</v>
      </c>
      <c r="BA919" s="3">
        <f t="shared" si="132"/>
        <v>91333</v>
      </c>
    </row>
    <row r="920" spans="1:53" x14ac:dyDescent="0.25">
      <c r="A920" s="1" t="s">
        <v>918</v>
      </c>
      <c r="B920" s="9" t="s">
        <v>2437</v>
      </c>
      <c r="C920" s="9" t="s">
        <v>1434</v>
      </c>
      <c r="D920" s="9" t="s">
        <v>2768</v>
      </c>
      <c r="E920" s="9" t="s">
        <v>1012</v>
      </c>
      <c r="F920" s="10">
        <v>43677</v>
      </c>
      <c r="G920" s="9" t="s">
        <v>1019</v>
      </c>
      <c r="I920" s="9" t="s">
        <v>1065</v>
      </c>
      <c r="J920" s="9" t="s">
        <v>1015</v>
      </c>
      <c r="K920" s="8" t="s">
        <v>1006</v>
      </c>
      <c r="L920" s="8" t="s">
        <v>1007</v>
      </c>
      <c r="M920" s="8" t="s">
        <v>2933</v>
      </c>
      <c r="N920" s="8" t="s">
        <v>2937</v>
      </c>
      <c r="O920" s="1" t="s">
        <v>2934</v>
      </c>
      <c r="P920">
        <v>30</v>
      </c>
      <c r="Q920">
        <v>30</v>
      </c>
      <c r="R920">
        <v>0</v>
      </c>
      <c r="S920">
        <f t="shared" si="134"/>
        <v>30</v>
      </c>
      <c r="T920" s="1" t="s">
        <v>2935</v>
      </c>
      <c r="U920" s="1" t="s">
        <v>2932</v>
      </c>
      <c r="V920" s="3">
        <f t="shared" si="135"/>
        <v>40000</v>
      </c>
      <c r="W920" s="3">
        <f t="shared" si="136"/>
        <v>16000</v>
      </c>
      <c r="X920" s="3">
        <f t="shared" si="128"/>
        <v>1250</v>
      </c>
      <c r="Y920" s="3">
        <f t="shared" si="129"/>
        <v>1600</v>
      </c>
      <c r="Z920" s="3">
        <f t="shared" si="130"/>
        <v>1800</v>
      </c>
      <c r="AA920" s="3">
        <v>0</v>
      </c>
      <c r="AB920" s="3">
        <f>ROUND(U920 - (V920+W920+X920+Y920) - (U920/Q920 * 2),0)</f>
        <v>34483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f>SUM(V920+W920+X920+Y920+AB920)</f>
        <v>93333</v>
      </c>
      <c r="AK920" s="3">
        <f>SUM(AJ920-AA920)</f>
        <v>93333</v>
      </c>
      <c r="AL920" s="3">
        <f>IF(V920&lt;=15000,V920*12%,1800)</f>
        <v>1800</v>
      </c>
      <c r="AM920" s="3">
        <v>0</v>
      </c>
      <c r="AN920" s="3">
        <f t="shared" si="131"/>
        <v>1800</v>
      </c>
      <c r="AO920" s="12">
        <v>200</v>
      </c>
      <c r="AP920" s="12">
        <v>0</v>
      </c>
      <c r="AQ920" s="12">
        <v>0</v>
      </c>
      <c r="AR920" s="12">
        <v>0</v>
      </c>
      <c r="AS920" s="12">
        <v>0</v>
      </c>
      <c r="AT920" s="12">
        <v>0</v>
      </c>
      <c r="AU920" s="3">
        <f t="shared" si="133"/>
        <v>200</v>
      </c>
      <c r="AV920" s="3">
        <f>SUM(AJ920 - AN920 - AU920)</f>
        <v>91333</v>
      </c>
      <c r="AW920" s="11">
        <v>0</v>
      </c>
      <c r="AX920" s="11">
        <v>0</v>
      </c>
      <c r="AY920" s="11">
        <v>0</v>
      </c>
      <c r="AZ920" s="11">
        <v>0</v>
      </c>
      <c r="BA920" s="3">
        <f t="shared" si="132"/>
        <v>91333</v>
      </c>
    </row>
    <row r="921" spans="1:53" x14ac:dyDescent="0.25">
      <c r="A921" s="1" t="s">
        <v>919</v>
      </c>
      <c r="B921" s="9" t="s">
        <v>1477</v>
      </c>
      <c r="C921" s="9" t="s">
        <v>1273</v>
      </c>
      <c r="D921" s="9" t="s">
        <v>2767</v>
      </c>
      <c r="E921" s="9" t="s">
        <v>1008</v>
      </c>
      <c r="F921" s="10">
        <v>43614</v>
      </c>
      <c r="G921" s="9" t="s">
        <v>1013</v>
      </c>
      <c r="I921" s="9" t="s">
        <v>1042</v>
      </c>
      <c r="J921" s="9" t="s">
        <v>1048</v>
      </c>
      <c r="K921" s="8" t="s">
        <v>1006</v>
      </c>
      <c r="L921" s="8" t="s">
        <v>1007</v>
      </c>
      <c r="M921" s="8" t="s">
        <v>2933</v>
      </c>
      <c r="N921" s="8" t="s">
        <v>2937</v>
      </c>
      <c r="O921" s="1" t="s">
        <v>2934</v>
      </c>
      <c r="P921">
        <v>30</v>
      </c>
      <c r="Q921">
        <v>30</v>
      </c>
      <c r="R921">
        <v>0</v>
      </c>
      <c r="S921">
        <f t="shared" si="134"/>
        <v>30</v>
      </c>
      <c r="T921" s="1" t="s">
        <v>2935</v>
      </c>
      <c r="U921" s="1" t="s">
        <v>2932</v>
      </c>
      <c r="V921" s="3">
        <f t="shared" si="135"/>
        <v>40000</v>
      </c>
      <c r="W921" s="3">
        <f t="shared" si="136"/>
        <v>16000</v>
      </c>
      <c r="X921" s="3">
        <f t="shared" si="128"/>
        <v>1250</v>
      </c>
      <c r="Y921" s="3">
        <f t="shared" si="129"/>
        <v>1600</v>
      </c>
      <c r="Z921" s="3">
        <f t="shared" si="130"/>
        <v>1800</v>
      </c>
      <c r="AA921" s="3">
        <v>0</v>
      </c>
      <c r="AB921" s="3">
        <f>ROUND(U921 - (V921+W921+X921+Y921) - (U921/Q921 * 2),0)</f>
        <v>34483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f>SUM(V921+W921+X921+Y921+AB921)</f>
        <v>93333</v>
      </c>
      <c r="AK921" s="3">
        <f>SUM(AJ921-AA921)</f>
        <v>93333</v>
      </c>
      <c r="AL921" s="3">
        <f>IF(V921&lt;=15000,V921*12%,1800)</f>
        <v>1800</v>
      </c>
      <c r="AM921" s="3">
        <v>0</v>
      </c>
      <c r="AN921" s="3">
        <f t="shared" si="131"/>
        <v>1800</v>
      </c>
      <c r="AO921" s="12">
        <v>200</v>
      </c>
      <c r="AP921" s="12">
        <v>0</v>
      </c>
      <c r="AQ921" s="12">
        <v>0</v>
      </c>
      <c r="AR921" s="12">
        <v>0</v>
      </c>
      <c r="AS921" s="12">
        <v>0</v>
      </c>
      <c r="AT921" s="12">
        <v>0</v>
      </c>
      <c r="AU921" s="3">
        <f t="shared" si="133"/>
        <v>200</v>
      </c>
      <c r="AV921" s="3">
        <f>SUM(AJ921 - AN921 - AU921)</f>
        <v>91333</v>
      </c>
      <c r="AW921" s="11">
        <v>0</v>
      </c>
      <c r="AX921" s="11">
        <v>0</v>
      </c>
      <c r="AY921" s="11">
        <v>0</v>
      </c>
      <c r="AZ921" s="11">
        <v>0</v>
      </c>
      <c r="BA921" s="3">
        <f t="shared" si="132"/>
        <v>91333</v>
      </c>
    </row>
    <row r="922" spans="1:53" x14ac:dyDescent="0.25">
      <c r="A922" s="1" t="s">
        <v>920</v>
      </c>
      <c r="B922" s="9" t="s">
        <v>1682</v>
      </c>
      <c r="C922" s="9" t="s">
        <v>1320</v>
      </c>
      <c r="D922" s="9" t="s">
        <v>2766</v>
      </c>
      <c r="E922" s="9" t="s">
        <v>1012</v>
      </c>
      <c r="F922" s="10">
        <v>43682</v>
      </c>
      <c r="G922" s="9" t="s">
        <v>1019</v>
      </c>
      <c r="I922" s="9" t="s">
        <v>1014</v>
      </c>
      <c r="J922" s="9" t="s">
        <v>1015</v>
      </c>
      <c r="K922" s="8" t="s">
        <v>1006</v>
      </c>
      <c r="L922" s="8" t="s">
        <v>1007</v>
      </c>
      <c r="M922" s="8" t="s">
        <v>2933</v>
      </c>
      <c r="N922" s="8" t="s">
        <v>2937</v>
      </c>
      <c r="O922" s="1" t="s">
        <v>2934</v>
      </c>
      <c r="P922">
        <v>30</v>
      </c>
      <c r="Q922">
        <v>30</v>
      </c>
      <c r="R922">
        <v>0</v>
      </c>
      <c r="S922">
        <f t="shared" si="134"/>
        <v>30</v>
      </c>
      <c r="T922" s="1" t="s">
        <v>2935</v>
      </c>
      <c r="U922" s="1" t="s">
        <v>2932</v>
      </c>
      <c r="V922" s="3">
        <f t="shared" si="135"/>
        <v>40000</v>
      </c>
      <c r="W922" s="3">
        <f t="shared" si="136"/>
        <v>16000</v>
      </c>
      <c r="X922" s="3">
        <f t="shared" si="128"/>
        <v>1250</v>
      </c>
      <c r="Y922" s="3">
        <f t="shared" si="129"/>
        <v>1600</v>
      </c>
      <c r="Z922" s="3">
        <f t="shared" si="130"/>
        <v>1800</v>
      </c>
      <c r="AA922" s="3">
        <v>0</v>
      </c>
      <c r="AB922" s="3">
        <f>ROUND(U922 - (V922+W922+X922+Y922) - (U922/Q922 * 2),0)</f>
        <v>34483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f>SUM(V922+W922+X922+Y922+AB922)</f>
        <v>93333</v>
      </c>
      <c r="AK922" s="3">
        <f>SUM(AJ922-AA922)</f>
        <v>93333</v>
      </c>
      <c r="AL922" s="3">
        <f>IF(V922&lt;=15000,V922*12%,1800)</f>
        <v>1800</v>
      </c>
      <c r="AM922" s="3">
        <v>0</v>
      </c>
      <c r="AN922" s="3">
        <f t="shared" si="131"/>
        <v>1800</v>
      </c>
      <c r="AO922" s="12">
        <v>200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3">
        <f t="shared" si="133"/>
        <v>200</v>
      </c>
      <c r="AV922" s="3">
        <f>SUM(AJ922 - AN922 - AU922)</f>
        <v>91333</v>
      </c>
      <c r="AW922" s="11">
        <v>0</v>
      </c>
      <c r="AX922" s="11">
        <v>0</v>
      </c>
      <c r="AY922" s="11">
        <v>0</v>
      </c>
      <c r="AZ922" s="11">
        <v>0</v>
      </c>
      <c r="BA922" s="3">
        <f t="shared" si="132"/>
        <v>91333</v>
      </c>
    </row>
    <row r="923" spans="1:53" x14ac:dyDescent="0.25">
      <c r="A923" s="1" t="s">
        <v>921</v>
      </c>
      <c r="B923" s="9" t="s">
        <v>2764</v>
      </c>
      <c r="C923" s="9" t="s">
        <v>2760</v>
      </c>
      <c r="D923" s="9" t="s">
        <v>2765</v>
      </c>
      <c r="E923" s="9" t="s">
        <v>1012</v>
      </c>
      <c r="F923" s="10">
        <v>43619</v>
      </c>
      <c r="G923" s="9" t="s">
        <v>1019</v>
      </c>
      <c r="I923" s="9" t="s">
        <v>1209</v>
      </c>
      <c r="J923" s="9" t="s">
        <v>1048</v>
      </c>
      <c r="K923" s="8" t="s">
        <v>1006</v>
      </c>
      <c r="L923" s="8" t="s">
        <v>1007</v>
      </c>
      <c r="M923" s="8" t="s">
        <v>2933</v>
      </c>
      <c r="N923" s="8" t="s">
        <v>2937</v>
      </c>
      <c r="O923" s="1" t="s">
        <v>2934</v>
      </c>
      <c r="P923">
        <v>30</v>
      </c>
      <c r="Q923">
        <v>30</v>
      </c>
      <c r="R923">
        <v>0</v>
      </c>
      <c r="S923">
        <f t="shared" si="134"/>
        <v>30</v>
      </c>
      <c r="T923" s="1" t="s">
        <v>2935</v>
      </c>
      <c r="U923" s="1" t="s">
        <v>2932</v>
      </c>
      <c r="V923" s="3">
        <f t="shared" si="135"/>
        <v>40000</v>
      </c>
      <c r="W923" s="3">
        <f t="shared" si="136"/>
        <v>16000</v>
      </c>
      <c r="X923" s="3">
        <f t="shared" si="128"/>
        <v>1250</v>
      </c>
      <c r="Y923" s="3">
        <f t="shared" si="129"/>
        <v>1600</v>
      </c>
      <c r="Z923" s="3">
        <f t="shared" si="130"/>
        <v>1800</v>
      </c>
      <c r="AA923" s="3">
        <v>0</v>
      </c>
      <c r="AB923" s="3">
        <f>ROUND(U923 - (V923+W923+X923+Y923) - (U923/Q923 * 2),0)</f>
        <v>34483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f>SUM(V923+W923+X923+Y923+AB923)</f>
        <v>93333</v>
      </c>
      <c r="AK923" s="3">
        <f>SUM(AJ923-AA923)</f>
        <v>93333</v>
      </c>
      <c r="AL923" s="3">
        <f>IF(V923&lt;=15000,V923*12%,1800)</f>
        <v>1800</v>
      </c>
      <c r="AM923" s="3">
        <v>0</v>
      </c>
      <c r="AN923" s="3">
        <f t="shared" si="131"/>
        <v>1800</v>
      </c>
      <c r="AO923" s="12">
        <v>200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3">
        <f t="shared" si="133"/>
        <v>200</v>
      </c>
      <c r="AV923" s="3">
        <f>SUM(AJ923 - AN923 - AU923)</f>
        <v>91333</v>
      </c>
      <c r="AW923" s="11">
        <v>0</v>
      </c>
      <c r="AX923" s="11">
        <v>0</v>
      </c>
      <c r="AY923" s="11">
        <v>0</v>
      </c>
      <c r="AZ923" s="11">
        <v>0</v>
      </c>
      <c r="BA923" s="3">
        <f t="shared" si="132"/>
        <v>91333</v>
      </c>
    </row>
    <row r="924" spans="1:53" x14ac:dyDescent="0.25">
      <c r="A924" s="1" t="s">
        <v>922</v>
      </c>
      <c r="B924" s="9" t="s">
        <v>1244</v>
      </c>
      <c r="C924" s="9" t="s">
        <v>2762</v>
      </c>
      <c r="D924" s="9" t="s">
        <v>2763</v>
      </c>
      <c r="E924" s="9" t="s">
        <v>1008</v>
      </c>
      <c r="F924" s="10">
        <v>43689</v>
      </c>
      <c r="G924" s="9" t="s">
        <v>1019</v>
      </c>
      <c r="I924" s="9" t="s">
        <v>1014</v>
      </c>
      <c r="J924" s="9" t="s">
        <v>1015</v>
      </c>
      <c r="K924" s="8" t="s">
        <v>1006</v>
      </c>
      <c r="L924" s="8" t="s">
        <v>1007</v>
      </c>
      <c r="M924" s="8" t="s">
        <v>2933</v>
      </c>
      <c r="N924" s="8" t="s">
        <v>2937</v>
      </c>
      <c r="O924" s="1" t="s">
        <v>2934</v>
      </c>
      <c r="P924">
        <v>30</v>
      </c>
      <c r="Q924">
        <v>30</v>
      </c>
      <c r="R924">
        <v>0</v>
      </c>
      <c r="S924">
        <f t="shared" si="134"/>
        <v>30</v>
      </c>
      <c r="T924" s="1" t="s">
        <v>2935</v>
      </c>
      <c r="U924" s="1" t="s">
        <v>2932</v>
      </c>
      <c r="V924" s="3">
        <f t="shared" si="135"/>
        <v>40000</v>
      </c>
      <c r="W924" s="3">
        <f t="shared" si="136"/>
        <v>16000</v>
      </c>
      <c r="X924" s="3">
        <f t="shared" si="128"/>
        <v>1250</v>
      </c>
      <c r="Y924" s="3">
        <f t="shared" si="129"/>
        <v>1600</v>
      </c>
      <c r="Z924" s="3">
        <f t="shared" si="130"/>
        <v>1800</v>
      </c>
      <c r="AA924" s="3">
        <v>0</v>
      </c>
      <c r="AB924" s="3">
        <f>ROUND(U924 - (V924+W924+X924+Y924) - (U924/Q924 * 2),0)</f>
        <v>34483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f>SUM(V924+W924+X924+Y924+AB924)</f>
        <v>93333</v>
      </c>
      <c r="AK924" s="3">
        <f>SUM(AJ924-AA924)</f>
        <v>93333</v>
      </c>
      <c r="AL924" s="3">
        <f>IF(V924&lt;=15000,V924*12%,1800)</f>
        <v>1800</v>
      </c>
      <c r="AM924" s="3">
        <v>0</v>
      </c>
      <c r="AN924" s="3">
        <f t="shared" si="131"/>
        <v>1800</v>
      </c>
      <c r="AO924" s="12">
        <v>200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3">
        <f t="shared" si="133"/>
        <v>200</v>
      </c>
      <c r="AV924" s="3">
        <f>SUM(AJ924 - AN924 - AU924)</f>
        <v>91333</v>
      </c>
      <c r="AW924" s="11">
        <v>0</v>
      </c>
      <c r="AX924" s="11">
        <v>0</v>
      </c>
      <c r="AY924" s="11">
        <v>0</v>
      </c>
      <c r="AZ924" s="11">
        <v>0</v>
      </c>
      <c r="BA924" s="3">
        <f t="shared" si="132"/>
        <v>91333</v>
      </c>
    </row>
    <row r="925" spans="1:53" x14ac:dyDescent="0.25">
      <c r="A925" s="1" t="s">
        <v>923</v>
      </c>
      <c r="B925" s="9" t="s">
        <v>2759</v>
      </c>
      <c r="C925" s="9" t="s">
        <v>2760</v>
      </c>
      <c r="D925" s="9" t="s">
        <v>2761</v>
      </c>
      <c r="E925" s="9" t="s">
        <v>1012</v>
      </c>
      <c r="F925" s="10">
        <v>43619</v>
      </c>
      <c r="G925" s="9" t="s">
        <v>1013</v>
      </c>
      <c r="I925" s="9" t="s">
        <v>1209</v>
      </c>
      <c r="J925" s="9" t="s">
        <v>1048</v>
      </c>
      <c r="K925" s="8" t="s">
        <v>1006</v>
      </c>
      <c r="L925" s="8" t="s">
        <v>1007</v>
      </c>
      <c r="M925" s="8" t="s">
        <v>2933</v>
      </c>
      <c r="N925" s="8" t="s">
        <v>2937</v>
      </c>
      <c r="O925" s="1" t="s">
        <v>2934</v>
      </c>
      <c r="P925">
        <v>30</v>
      </c>
      <c r="Q925">
        <v>30</v>
      </c>
      <c r="R925">
        <v>0</v>
      </c>
      <c r="S925">
        <f t="shared" si="134"/>
        <v>30</v>
      </c>
      <c r="T925" s="1" t="s">
        <v>2935</v>
      </c>
      <c r="U925" s="1" t="s">
        <v>2932</v>
      </c>
      <c r="V925" s="3">
        <f t="shared" si="135"/>
        <v>40000</v>
      </c>
      <c r="W925" s="3">
        <f t="shared" si="136"/>
        <v>16000</v>
      </c>
      <c r="X925" s="3">
        <f t="shared" si="128"/>
        <v>1250</v>
      </c>
      <c r="Y925" s="3">
        <f t="shared" si="129"/>
        <v>1600</v>
      </c>
      <c r="Z925" s="3">
        <f t="shared" si="130"/>
        <v>1800</v>
      </c>
      <c r="AA925" s="3">
        <v>0</v>
      </c>
      <c r="AB925" s="3">
        <f>ROUND(U925 - (V925+W925+X925+Y925) - (U925/Q925 * 2),0)</f>
        <v>34483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f>SUM(V925+W925+X925+Y925+AB925)</f>
        <v>93333</v>
      </c>
      <c r="AK925" s="3">
        <f>SUM(AJ925-AA925)</f>
        <v>93333</v>
      </c>
      <c r="AL925" s="3">
        <f>IF(V925&lt;=15000,V925*12%,1800)</f>
        <v>1800</v>
      </c>
      <c r="AM925" s="3">
        <v>0</v>
      </c>
      <c r="AN925" s="3">
        <f t="shared" si="131"/>
        <v>1800</v>
      </c>
      <c r="AO925" s="12">
        <v>200</v>
      </c>
      <c r="AP925" s="12">
        <v>0</v>
      </c>
      <c r="AQ925" s="12">
        <v>0</v>
      </c>
      <c r="AR925" s="12">
        <v>0</v>
      </c>
      <c r="AS925" s="12">
        <v>0</v>
      </c>
      <c r="AT925" s="12">
        <v>0</v>
      </c>
      <c r="AU925" s="3">
        <f t="shared" si="133"/>
        <v>200</v>
      </c>
      <c r="AV925" s="3">
        <f>SUM(AJ925 - AN925 - AU925)</f>
        <v>91333</v>
      </c>
      <c r="AW925" s="11">
        <v>0</v>
      </c>
      <c r="AX925" s="11">
        <v>0</v>
      </c>
      <c r="AY925" s="11">
        <v>0</v>
      </c>
      <c r="AZ925" s="11">
        <v>0</v>
      </c>
      <c r="BA925" s="3">
        <f t="shared" si="132"/>
        <v>91333</v>
      </c>
    </row>
    <row r="926" spans="1:53" x14ac:dyDescent="0.25">
      <c r="A926" s="1" t="s">
        <v>924</v>
      </c>
      <c r="B926" s="9" t="s">
        <v>2757</v>
      </c>
      <c r="C926" s="9" t="s">
        <v>2743</v>
      </c>
      <c r="D926" s="9" t="s">
        <v>2758</v>
      </c>
      <c r="E926" s="9" t="s">
        <v>1012</v>
      </c>
      <c r="F926" s="10">
        <v>43619</v>
      </c>
      <c r="G926" s="9" t="s">
        <v>1013</v>
      </c>
      <c r="I926" s="9" t="s">
        <v>1042</v>
      </c>
      <c r="J926" s="9" t="s">
        <v>1048</v>
      </c>
      <c r="K926" s="8" t="s">
        <v>1006</v>
      </c>
      <c r="L926" s="8" t="s">
        <v>1007</v>
      </c>
      <c r="M926" s="8" t="s">
        <v>2933</v>
      </c>
      <c r="N926" s="8" t="s">
        <v>2937</v>
      </c>
      <c r="O926" s="1" t="s">
        <v>2934</v>
      </c>
      <c r="P926">
        <v>30</v>
      </c>
      <c r="Q926">
        <v>30</v>
      </c>
      <c r="R926">
        <v>0</v>
      </c>
      <c r="S926">
        <f t="shared" si="134"/>
        <v>30</v>
      </c>
      <c r="T926" s="1" t="s">
        <v>2935</v>
      </c>
      <c r="U926" s="1" t="s">
        <v>2932</v>
      </c>
      <c r="V926" s="3">
        <f t="shared" si="135"/>
        <v>40000</v>
      </c>
      <c r="W926" s="3">
        <f t="shared" si="136"/>
        <v>16000</v>
      </c>
      <c r="X926" s="3">
        <f t="shared" si="128"/>
        <v>1250</v>
      </c>
      <c r="Y926" s="3">
        <f t="shared" si="129"/>
        <v>1600</v>
      </c>
      <c r="Z926" s="3">
        <f t="shared" si="130"/>
        <v>1800</v>
      </c>
      <c r="AA926" s="3">
        <v>0</v>
      </c>
      <c r="AB926" s="3">
        <f>ROUND(U926 - (V926+W926+X926+Y926) - (U926/Q926 * 2),0)</f>
        <v>34483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f>SUM(V926+W926+X926+Y926+AB926)</f>
        <v>93333</v>
      </c>
      <c r="AK926" s="3">
        <f>SUM(AJ926-AA926)</f>
        <v>93333</v>
      </c>
      <c r="AL926" s="3">
        <f>IF(V926&lt;=15000,V926*12%,1800)</f>
        <v>1800</v>
      </c>
      <c r="AM926" s="3">
        <v>0</v>
      </c>
      <c r="AN926" s="3">
        <f t="shared" si="131"/>
        <v>1800</v>
      </c>
      <c r="AO926" s="12">
        <v>200</v>
      </c>
      <c r="AP926" s="12">
        <v>0</v>
      </c>
      <c r="AQ926" s="12">
        <v>0</v>
      </c>
      <c r="AR926" s="12">
        <v>0</v>
      </c>
      <c r="AS926" s="12">
        <v>0</v>
      </c>
      <c r="AT926" s="12">
        <v>0</v>
      </c>
      <c r="AU926" s="3">
        <f t="shared" si="133"/>
        <v>200</v>
      </c>
      <c r="AV926" s="3">
        <f>SUM(AJ926 - AN926 - AU926)</f>
        <v>91333</v>
      </c>
      <c r="AW926" s="11">
        <v>0</v>
      </c>
      <c r="AX926" s="11">
        <v>0</v>
      </c>
      <c r="AY926" s="11">
        <v>0</v>
      </c>
      <c r="AZ926" s="11">
        <v>0</v>
      </c>
      <c r="BA926" s="3">
        <f t="shared" si="132"/>
        <v>91333</v>
      </c>
    </row>
    <row r="927" spans="1:53" x14ac:dyDescent="0.25">
      <c r="A927" s="1" t="s">
        <v>925</v>
      </c>
      <c r="B927" s="9" t="s">
        <v>2814</v>
      </c>
      <c r="C927" s="9" t="s">
        <v>1434</v>
      </c>
      <c r="D927" s="9" t="s">
        <v>2815</v>
      </c>
      <c r="E927" s="9" t="s">
        <v>1008</v>
      </c>
      <c r="F927" s="10">
        <v>43763</v>
      </c>
      <c r="G927" s="9" t="s">
        <v>1013</v>
      </c>
      <c r="I927" s="9" t="s">
        <v>1014</v>
      </c>
      <c r="J927" s="9" t="s">
        <v>1015</v>
      </c>
      <c r="K927" s="8" t="s">
        <v>1006</v>
      </c>
      <c r="L927" s="8" t="s">
        <v>1007</v>
      </c>
      <c r="M927" s="8" t="s">
        <v>2933</v>
      </c>
      <c r="N927" s="8" t="s">
        <v>2937</v>
      </c>
      <c r="O927" s="1" t="s">
        <v>2934</v>
      </c>
      <c r="P927">
        <v>30</v>
      </c>
      <c r="Q927">
        <v>30</v>
      </c>
      <c r="R927">
        <v>0</v>
      </c>
      <c r="S927">
        <f t="shared" si="134"/>
        <v>30</v>
      </c>
      <c r="T927" s="1" t="s">
        <v>2935</v>
      </c>
      <c r="U927" s="1" t="s">
        <v>2932</v>
      </c>
      <c r="V927" s="3">
        <f t="shared" si="135"/>
        <v>40000</v>
      </c>
      <c r="W927" s="3">
        <f t="shared" si="136"/>
        <v>16000</v>
      </c>
      <c r="X927" s="3">
        <f t="shared" si="128"/>
        <v>1250</v>
      </c>
      <c r="Y927" s="3">
        <f t="shared" si="129"/>
        <v>1600</v>
      </c>
      <c r="Z927" s="3">
        <f t="shared" si="130"/>
        <v>1800</v>
      </c>
      <c r="AA927" s="3">
        <v>0</v>
      </c>
      <c r="AB927" s="3">
        <f>ROUND(U927 - (V927+W927+X927+Y927) - (U927/Q927 * 2),0)</f>
        <v>34483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f>SUM(V927+W927+X927+Y927+AB927)</f>
        <v>93333</v>
      </c>
      <c r="AK927" s="3">
        <f>SUM(AJ927-AA927)</f>
        <v>93333</v>
      </c>
      <c r="AL927" s="3">
        <f>IF(V927&lt;=15000,V927*12%,1800)</f>
        <v>1800</v>
      </c>
      <c r="AM927" s="3">
        <v>0</v>
      </c>
      <c r="AN927" s="3">
        <f t="shared" si="131"/>
        <v>1800</v>
      </c>
      <c r="AO927" s="12">
        <v>200</v>
      </c>
      <c r="AP927" s="12">
        <v>0</v>
      </c>
      <c r="AQ927" s="12">
        <v>0</v>
      </c>
      <c r="AR927" s="12">
        <v>0</v>
      </c>
      <c r="AS927" s="12">
        <v>0</v>
      </c>
      <c r="AT927" s="12">
        <v>0</v>
      </c>
      <c r="AU927" s="3">
        <f t="shared" si="133"/>
        <v>200</v>
      </c>
      <c r="AV927" s="3">
        <f>SUM(AJ927 - AN927 - AU927)</f>
        <v>91333</v>
      </c>
      <c r="AW927" s="11">
        <v>0</v>
      </c>
      <c r="AX927" s="11">
        <v>0</v>
      </c>
      <c r="AY927" s="11">
        <v>0</v>
      </c>
      <c r="AZ927" s="11">
        <v>0</v>
      </c>
      <c r="BA927" s="3">
        <f t="shared" si="132"/>
        <v>91333</v>
      </c>
    </row>
    <row r="928" spans="1:53" x14ac:dyDescent="0.25">
      <c r="A928" s="1" t="s">
        <v>926</v>
      </c>
      <c r="B928" s="9" t="s">
        <v>2812</v>
      </c>
      <c r="C928" s="9" t="s">
        <v>1128</v>
      </c>
      <c r="D928" s="9" t="s">
        <v>2813</v>
      </c>
      <c r="E928" s="9" t="s">
        <v>1012</v>
      </c>
      <c r="F928" s="10">
        <v>43661</v>
      </c>
      <c r="G928" s="9" t="s">
        <v>1013</v>
      </c>
      <c r="I928" s="9" t="s">
        <v>1042</v>
      </c>
      <c r="J928" s="9" t="s">
        <v>1048</v>
      </c>
      <c r="K928" s="8" t="s">
        <v>1006</v>
      </c>
      <c r="L928" s="8" t="s">
        <v>1007</v>
      </c>
      <c r="M928" s="8" t="s">
        <v>2933</v>
      </c>
      <c r="N928" s="8" t="s">
        <v>2937</v>
      </c>
      <c r="O928" s="1" t="s">
        <v>2934</v>
      </c>
      <c r="P928">
        <v>30</v>
      </c>
      <c r="Q928">
        <v>30</v>
      </c>
      <c r="R928">
        <v>0</v>
      </c>
      <c r="S928">
        <f t="shared" si="134"/>
        <v>30</v>
      </c>
      <c r="T928" s="1" t="s">
        <v>2935</v>
      </c>
      <c r="U928" s="1" t="s">
        <v>2932</v>
      </c>
      <c r="V928" s="3">
        <f t="shared" si="135"/>
        <v>40000</v>
      </c>
      <c r="W928" s="3">
        <f t="shared" si="136"/>
        <v>16000</v>
      </c>
      <c r="X928" s="3">
        <f t="shared" si="128"/>
        <v>1250</v>
      </c>
      <c r="Y928" s="3">
        <f t="shared" si="129"/>
        <v>1600</v>
      </c>
      <c r="Z928" s="3">
        <f t="shared" si="130"/>
        <v>1800</v>
      </c>
      <c r="AA928" s="3">
        <v>0</v>
      </c>
      <c r="AB928" s="3">
        <f>ROUND(U928 - (V928+W928+X928+Y928) - (U928/Q928 * 2),0)</f>
        <v>34483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f>SUM(V928+W928+X928+Y928+AB928)</f>
        <v>93333</v>
      </c>
      <c r="AK928" s="3">
        <f>SUM(AJ928-AA928)</f>
        <v>93333</v>
      </c>
      <c r="AL928" s="3">
        <f>IF(V928&lt;=15000,V928*12%,1800)</f>
        <v>1800</v>
      </c>
      <c r="AM928" s="3">
        <v>0</v>
      </c>
      <c r="AN928" s="3">
        <f t="shared" si="131"/>
        <v>1800</v>
      </c>
      <c r="AO928" s="12">
        <v>200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3">
        <f t="shared" si="133"/>
        <v>200</v>
      </c>
      <c r="AV928" s="3">
        <f>SUM(AJ928 - AN928 - AU928)</f>
        <v>91333</v>
      </c>
      <c r="AW928" s="11">
        <v>0</v>
      </c>
      <c r="AX928" s="11">
        <v>0</v>
      </c>
      <c r="AY928" s="11">
        <v>0</v>
      </c>
      <c r="AZ928" s="11">
        <v>0</v>
      </c>
      <c r="BA928" s="3">
        <f t="shared" si="132"/>
        <v>91333</v>
      </c>
    </row>
    <row r="929" spans="1:53" x14ac:dyDescent="0.25">
      <c r="A929" s="1" t="s">
        <v>927</v>
      </c>
      <c r="B929" s="9" t="s">
        <v>1261</v>
      </c>
      <c r="C929" s="9" t="s">
        <v>1320</v>
      </c>
      <c r="D929" s="9" t="s">
        <v>2811</v>
      </c>
      <c r="E929" s="9" t="s">
        <v>1008</v>
      </c>
      <c r="F929" s="10">
        <v>43788</v>
      </c>
      <c r="G929" s="9" t="s">
        <v>1019</v>
      </c>
      <c r="I929" s="9" t="s">
        <v>1014</v>
      </c>
      <c r="J929" s="9" t="s">
        <v>1015</v>
      </c>
      <c r="K929" s="8" t="s">
        <v>1006</v>
      </c>
      <c r="L929" s="8" t="s">
        <v>1007</v>
      </c>
      <c r="M929" s="8" t="s">
        <v>2933</v>
      </c>
      <c r="N929" s="8" t="s">
        <v>2937</v>
      </c>
      <c r="O929" s="1" t="s">
        <v>2934</v>
      </c>
      <c r="P929">
        <v>30</v>
      </c>
      <c r="Q929">
        <v>30</v>
      </c>
      <c r="R929">
        <v>0</v>
      </c>
      <c r="S929">
        <f t="shared" si="134"/>
        <v>30</v>
      </c>
      <c r="T929" s="1" t="s">
        <v>2935</v>
      </c>
      <c r="U929" s="1" t="s">
        <v>2932</v>
      </c>
      <c r="V929" s="3">
        <f t="shared" si="135"/>
        <v>40000</v>
      </c>
      <c r="W929" s="3">
        <f t="shared" si="136"/>
        <v>16000</v>
      </c>
      <c r="X929" s="3">
        <f t="shared" si="128"/>
        <v>1250</v>
      </c>
      <c r="Y929" s="3">
        <f t="shared" si="129"/>
        <v>1600</v>
      </c>
      <c r="Z929" s="3">
        <f t="shared" si="130"/>
        <v>1800</v>
      </c>
      <c r="AA929" s="3">
        <v>0</v>
      </c>
      <c r="AB929" s="3">
        <f>ROUND(U929 - (V929+W929+X929+Y929) - (U929/Q929 * 2),0)</f>
        <v>34483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f>SUM(V929+W929+X929+Y929+AB929)</f>
        <v>93333</v>
      </c>
      <c r="AK929" s="3">
        <f>SUM(AJ929-AA929)</f>
        <v>93333</v>
      </c>
      <c r="AL929" s="3">
        <f>IF(V929&lt;=15000,V929*12%,1800)</f>
        <v>1800</v>
      </c>
      <c r="AM929" s="3">
        <v>0</v>
      </c>
      <c r="AN929" s="3">
        <f t="shared" si="131"/>
        <v>1800</v>
      </c>
      <c r="AO929" s="12">
        <v>200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3">
        <f t="shared" si="133"/>
        <v>200</v>
      </c>
      <c r="AV929" s="3">
        <f>SUM(AJ929 - AN929 - AU929)</f>
        <v>91333</v>
      </c>
      <c r="AW929" s="11">
        <v>0</v>
      </c>
      <c r="AX929" s="11">
        <v>0</v>
      </c>
      <c r="AY929" s="11">
        <v>0</v>
      </c>
      <c r="AZ929" s="11">
        <v>0</v>
      </c>
      <c r="BA929" s="3">
        <f t="shared" si="132"/>
        <v>91333</v>
      </c>
    </row>
    <row r="930" spans="1:53" x14ac:dyDescent="0.25">
      <c r="A930" s="1" t="s">
        <v>928</v>
      </c>
      <c r="B930" s="9" t="s">
        <v>2810</v>
      </c>
      <c r="C930" s="9" t="s">
        <v>1075</v>
      </c>
      <c r="D930" s="9">
        <v>0</v>
      </c>
      <c r="E930" s="9" t="s">
        <v>1012</v>
      </c>
      <c r="F930" s="10">
        <v>43790</v>
      </c>
      <c r="G930" s="9" t="s">
        <v>1019</v>
      </c>
      <c r="I930" s="9" t="s">
        <v>1014</v>
      </c>
      <c r="J930" s="9" t="s">
        <v>1015</v>
      </c>
      <c r="K930" s="8" t="s">
        <v>1006</v>
      </c>
      <c r="L930" s="8" t="s">
        <v>1007</v>
      </c>
      <c r="M930" s="8" t="s">
        <v>2933</v>
      </c>
      <c r="N930" s="8" t="s">
        <v>2937</v>
      </c>
      <c r="O930" s="1" t="s">
        <v>2934</v>
      </c>
      <c r="P930">
        <v>30</v>
      </c>
      <c r="Q930">
        <v>30</v>
      </c>
      <c r="R930">
        <v>0</v>
      </c>
      <c r="S930">
        <f t="shared" si="134"/>
        <v>30</v>
      </c>
      <c r="T930" s="1" t="s">
        <v>2935</v>
      </c>
      <c r="U930" s="1" t="s">
        <v>2932</v>
      </c>
      <c r="V930" s="3">
        <f t="shared" si="135"/>
        <v>40000</v>
      </c>
      <c r="W930" s="3">
        <f t="shared" si="136"/>
        <v>16000</v>
      </c>
      <c r="X930" s="3">
        <f t="shared" si="128"/>
        <v>1250</v>
      </c>
      <c r="Y930" s="3">
        <f t="shared" si="129"/>
        <v>1600</v>
      </c>
      <c r="Z930" s="3">
        <f t="shared" si="130"/>
        <v>1800</v>
      </c>
      <c r="AA930" s="3">
        <v>0</v>
      </c>
      <c r="AB930" s="3">
        <f>ROUND(U930 - (V930+W930+X930+Y930) - (U930/Q930 * 2),0)</f>
        <v>34483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f>SUM(V930+W930+X930+Y930+AB930)</f>
        <v>93333</v>
      </c>
      <c r="AK930" s="3">
        <f>SUM(AJ930-AA930)</f>
        <v>93333</v>
      </c>
      <c r="AL930" s="3">
        <f>IF(V930&lt;=15000,V930*12%,1800)</f>
        <v>1800</v>
      </c>
      <c r="AM930" s="3">
        <v>0</v>
      </c>
      <c r="AN930" s="3">
        <f t="shared" si="131"/>
        <v>1800</v>
      </c>
      <c r="AO930" s="12">
        <v>200</v>
      </c>
      <c r="AP930" s="12">
        <v>0</v>
      </c>
      <c r="AQ930" s="12">
        <v>0</v>
      </c>
      <c r="AR930" s="12">
        <v>0</v>
      </c>
      <c r="AS930" s="12">
        <v>0</v>
      </c>
      <c r="AT930" s="12">
        <v>0</v>
      </c>
      <c r="AU930" s="3">
        <f t="shared" si="133"/>
        <v>200</v>
      </c>
      <c r="AV930" s="3">
        <f>SUM(AJ930 - AN930 - AU930)</f>
        <v>91333</v>
      </c>
      <c r="AW930" s="11">
        <v>0</v>
      </c>
      <c r="AX930" s="11">
        <v>0</v>
      </c>
      <c r="AY930" s="11">
        <v>0</v>
      </c>
      <c r="AZ930" s="11">
        <v>0</v>
      </c>
      <c r="BA930" s="3">
        <f t="shared" si="132"/>
        <v>91333</v>
      </c>
    </row>
    <row r="931" spans="1:53" x14ac:dyDescent="0.25">
      <c r="A931" s="1" t="s">
        <v>929</v>
      </c>
      <c r="B931" s="9" t="s">
        <v>2808</v>
      </c>
      <c r="C931" s="9" t="s">
        <v>2809</v>
      </c>
      <c r="D931" s="9">
        <v>0</v>
      </c>
      <c r="E931" s="9" t="s">
        <v>1012</v>
      </c>
      <c r="F931" s="10">
        <v>43684</v>
      </c>
      <c r="G931" s="9" t="s">
        <v>1013</v>
      </c>
      <c r="I931" s="9" t="s">
        <v>1042</v>
      </c>
      <c r="J931" s="9" t="s">
        <v>1056</v>
      </c>
      <c r="K931" s="8" t="s">
        <v>1006</v>
      </c>
      <c r="L931" s="8" t="s">
        <v>1007</v>
      </c>
      <c r="M931" s="8" t="s">
        <v>2933</v>
      </c>
      <c r="N931" s="8" t="s">
        <v>2937</v>
      </c>
      <c r="O931" s="1" t="s">
        <v>2934</v>
      </c>
      <c r="P931">
        <v>30</v>
      </c>
      <c r="Q931">
        <v>30</v>
      </c>
      <c r="R931">
        <v>0</v>
      </c>
      <c r="S931">
        <f t="shared" si="134"/>
        <v>30</v>
      </c>
      <c r="T931" s="1" t="s">
        <v>2935</v>
      </c>
      <c r="U931" s="1" t="s">
        <v>2932</v>
      </c>
      <c r="V931" s="3">
        <f t="shared" si="135"/>
        <v>40000</v>
      </c>
      <c r="W931" s="3">
        <f t="shared" si="136"/>
        <v>16000</v>
      </c>
      <c r="X931" s="3">
        <f t="shared" si="128"/>
        <v>1250</v>
      </c>
      <c r="Y931" s="3">
        <f t="shared" si="129"/>
        <v>1600</v>
      </c>
      <c r="Z931" s="3">
        <f t="shared" si="130"/>
        <v>1800</v>
      </c>
      <c r="AA931" s="3">
        <v>0</v>
      </c>
      <c r="AB931" s="3">
        <f>ROUND(U931 - (V931+W931+X931+Y931) - (U931/Q931 * 2),0)</f>
        <v>34483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f>SUM(V931+W931+X931+Y931+AB931)</f>
        <v>93333</v>
      </c>
      <c r="AK931" s="3">
        <f>SUM(AJ931-AA931)</f>
        <v>93333</v>
      </c>
      <c r="AL931" s="3">
        <f>IF(V931&lt;=15000,V931*12%,1800)</f>
        <v>1800</v>
      </c>
      <c r="AM931" s="3">
        <v>0</v>
      </c>
      <c r="AN931" s="3">
        <f t="shared" si="131"/>
        <v>1800</v>
      </c>
      <c r="AO931" s="12">
        <v>200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3">
        <f t="shared" si="133"/>
        <v>200</v>
      </c>
      <c r="AV931" s="3">
        <f>SUM(AJ931 - AN931 - AU931)</f>
        <v>91333</v>
      </c>
      <c r="AW931" s="11">
        <v>0</v>
      </c>
      <c r="AX931" s="11">
        <v>0</v>
      </c>
      <c r="AY931" s="11">
        <v>0</v>
      </c>
      <c r="AZ931" s="11">
        <v>0</v>
      </c>
      <c r="BA931" s="3">
        <f t="shared" si="132"/>
        <v>91333</v>
      </c>
    </row>
    <row r="932" spans="1:53" x14ac:dyDescent="0.25">
      <c r="A932" s="1" t="s">
        <v>930</v>
      </c>
      <c r="B932" s="9" t="s">
        <v>2806</v>
      </c>
      <c r="C932" s="9" t="s">
        <v>1023</v>
      </c>
      <c r="D932" s="9" t="s">
        <v>2807</v>
      </c>
      <c r="E932" s="9" t="s">
        <v>1012</v>
      </c>
      <c r="F932" s="10">
        <v>43794</v>
      </c>
      <c r="G932" s="9" t="s">
        <v>1019</v>
      </c>
      <c r="I932" s="9" t="s">
        <v>1014</v>
      </c>
      <c r="J932" s="9" t="s">
        <v>1021</v>
      </c>
      <c r="K932" s="8" t="s">
        <v>1006</v>
      </c>
      <c r="L932" s="8" t="s">
        <v>1007</v>
      </c>
      <c r="M932" s="8" t="s">
        <v>2933</v>
      </c>
      <c r="N932" s="8" t="s">
        <v>2937</v>
      </c>
      <c r="O932" s="1" t="s">
        <v>2934</v>
      </c>
      <c r="P932">
        <v>30</v>
      </c>
      <c r="Q932">
        <v>30</v>
      </c>
      <c r="R932">
        <v>0</v>
      </c>
      <c r="S932">
        <f t="shared" si="134"/>
        <v>30</v>
      </c>
      <c r="T932" s="1" t="s">
        <v>2935</v>
      </c>
      <c r="U932" s="1" t="s">
        <v>2932</v>
      </c>
      <c r="V932" s="3">
        <f t="shared" si="135"/>
        <v>40000</v>
      </c>
      <c r="W932" s="3">
        <f t="shared" si="136"/>
        <v>16000</v>
      </c>
      <c r="X932" s="3">
        <f t="shared" si="128"/>
        <v>1250</v>
      </c>
      <c r="Y932" s="3">
        <f t="shared" si="129"/>
        <v>1600</v>
      </c>
      <c r="Z932" s="3">
        <f t="shared" si="130"/>
        <v>1800</v>
      </c>
      <c r="AA932" s="3">
        <v>0</v>
      </c>
      <c r="AB932" s="3">
        <f>ROUND(U932 - (V932+W932+X932+Y932) - (U932/Q932 * 2),0)</f>
        <v>34483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f>SUM(V932+W932+X932+Y932+AB932)</f>
        <v>93333</v>
      </c>
      <c r="AK932" s="3">
        <f>SUM(AJ932-AA932)</f>
        <v>93333</v>
      </c>
      <c r="AL932" s="3">
        <f>IF(V932&lt;=15000,V932*12%,1800)</f>
        <v>1800</v>
      </c>
      <c r="AM932" s="3">
        <v>0</v>
      </c>
      <c r="AN932" s="3">
        <f t="shared" si="131"/>
        <v>1800</v>
      </c>
      <c r="AO932" s="12">
        <v>200</v>
      </c>
      <c r="AP932" s="12">
        <v>0</v>
      </c>
      <c r="AQ932" s="12">
        <v>0</v>
      </c>
      <c r="AR932" s="12">
        <v>0</v>
      </c>
      <c r="AS932" s="12">
        <v>0</v>
      </c>
      <c r="AT932" s="12">
        <v>0</v>
      </c>
      <c r="AU932" s="3">
        <f t="shared" si="133"/>
        <v>200</v>
      </c>
      <c r="AV932" s="3">
        <f>SUM(AJ932 - AN932 - AU932)</f>
        <v>91333</v>
      </c>
      <c r="AW932" s="11">
        <v>0</v>
      </c>
      <c r="AX932" s="11">
        <v>0</v>
      </c>
      <c r="AY932" s="11">
        <v>0</v>
      </c>
      <c r="AZ932" s="11">
        <v>0</v>
      </c>
      <c r="BA932" s="3">
        <f t="shared" si="132"/>
        <v>91333</v>
      </c>
    </row>
    <row r="933" spans="1:53" x14ac:dyDescent="0.25">
      <c r="A933" s="1" t="s">
        <v>931</v>
      </c>
      <c r="B933" s="9" t="s">
        <v>2804</v>
      </c>
      <c r="C933" s="9" t="s">
        <v>2702</v>
      </c>
      <c r="D933" s="9" t="s">
        <v>2805</v>
      </c>
      <c r="E933" s="9" t="s">
        <v>1008</v>
      </c>
      <c r="F933" s="10">
        <v>45677</v>
      </c>
      <c r="G933" s="9" t="s">
        <v>1019</v>
      </c>
      <c r="I933" s="9" t="s">
        <v>1042</v>
      </c>
      <c r="J933" s="9" t="s">
        <v>1048</v>
      </c>
      <c r="K933" s="8" t="s">
        <v>1006</v>
      </c>
      <c r="L933" s="8" t="s">
        <v>1007</v>
      </c>
      <c r="M933" s="8" t="s">
        <v>2933</v>
      </c>
      <c r="N933" s="8" t="s">
        <v>2937</v>
      </c>
      <c r="O933" s="1" t="s">
        <v>2934</v>
      </c>
      <c r="P933">
        <v>30</v>
      </c>
      <c r="Q933">
        <v>30</v>
      </c>
      <c r="R933">
        <v>0</v>
      </c>
      <c r="S933">
        <f t="shared" si="134"/>
        <v>30</v>
      </c>
      <c r="T933" s="1" t="s">
        <v>2935</v>
      </c>
      <c r="U933" s="1" t="s">
        <v>2932</v>
      </c>
      <c r="V933" s="3">
        <f t="shared" si="135"/>
        <v>40000</v>
      </c>
      <c r="W933" s="3">
        <f t="shared" si="136"/>
        <v>16000</v>
      </c>
      <c r="X933" s="3">
        <f t="shared" si="128"/>
        <v>1250</v>
      </c>
      <c r="Y933" s="3">
        <f t="shared" si="129"/>
        <v>1600</v>
      </c>
      <c r="Z933" s="3">
        <f t="shared" si="130"/>
        <v>1800</v>
      </c>
      <c r="AA933" s="3">
        <v>0</v>
      </c>
      <c r="AB933" s="3">
        <f>ROUND(U933 - (V933+W933+X933+Y933) - (U933/Q933 * 2),0)</f>
        <v>34483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f>SUM(V933+W933+X933+Y933+AB933)</f>
        <v>93333</v>
      </c>
      <c r="AK933" s="3">
        <f>SUM(AJ933-AA933)</f>
        <v>93333</v>
      </c>
      <c r="AL933" s="3">
        <f>IF(V933&lt;=15000,V933*12%,1800)</f>
        <v>1800</v>
      </c>
      <c r="AM933" s="3">
        <v>0</v>
      </c>
      <c r="AN933" s="3">
        <f t="shared" si="131"/>
        <v>1800</v>
      </c>
      <c r="AO933" s="12">
        <v>200</v>
      </c>
      <c r="AP933" s="12">
        <v>0</v>
      </c>
      <c r="AQ933" s="12">
        <v>0</v>
      </c>
      <c r="AR933" s="12">
        <v>0</v>
      </c>
      <c r="AS933" s="12">
        <v>0</v>
      </c>
      <c r="AT933" s="12">
        <v>0</v>
      </c>
      <c r="AU933" s="3">
        <f t="shared" si="133"/>
        <v>200</v>
      </c>
      <c r="AV933" s="3">
        <f>SUM(AJ933 - AN933 - AU933)</f>
        <v>91333</v>
      </c>
      <c r="AW933" s="11">
        <v>0</v>
      </c>
      <c r="AX933" s="11">
        <v>0</v>
      </c>
      <c r="AY933" s="11">
        <v>0</v>
      </c>
      <c r="AZ933" s="11">
        <v>0</v>
      </c>
      <c r="BA933" s="3">
        <f t="shared" si="132"/>
        <v>91333</v>
      </c>
    </row>
    <row r="934" spans="1:53" x14ac:dyDescent="0.25">
      <c r="A934" s="1" t="s">
        <v>932</v>
      </c>
      <c r="B934" s="9" t="s">
        <v>2802</v>
      </c>
      <c r="C934" s="9" t="s">
        <v>1075</v>
      </c>
      <c r="D934" s="9" t="s">
        <v>2803</v>
      </c>
      <c r="E934" s="9" t="s">
        <v>1012</v>
      </c>
      <c r="F934" s="10">
        <v>43787</v>
      </c>
      <c r="G934" s="9" t="s">
        <v>1019</v>
      </c>
      <c r="I934" s="9" t="s">
        <v>1035</v>
      </c>
      <c r="J934" s="9" t="s">
        <v>1021</v>
      </c>
      <c r="K934" s="8" t="s">
        <v>1006</v>
      </c>
      <c r="L934" s="8" t="s">
        <v>1007</v>
      </c>
      <c r="M934" s="8" t="s">
        <v>2933</v>
      </c>
      <c r="N934" s="8" t="s">
        <v>2937</v>
      </c>
      <c r="O934" s="1" t="s">
        <v>2934</v>
      </c>
      <c r="P934">
        <v>30</v>
      </c>
      <c r="Q934">
        <v>30</v>
      </c>
      <c r="R934">
        <v>0</v>
      </c>
      <c r="S934">
        <f t="shared" si="134"/>
        <v>30</v>
      </c>
      <c r="T934" s="1" t="s">
        <v>2935</v>
      </c>
      <c r="U934" s="1" t="s">
        <v>2932</v>
      </c>
      <c r="V934" s="3">
        <f t="shared" si="135"/>
        <v>40000</v>
      </c>
      <c r="W934" s="3">
        <f t="shared" si="136"/>
        <v>16000</v>
      </c>
      <c r="X934" s="3">
        <f t="shared" si="128"/>
        <v>1250</v>
      </c>
      <c r="Y934" s="3">
        <f t="shared" si="129"/>
        <v>1600</v>
      </c>
      <c r="Z934" s="3">
        <f t="shared" si="130"/>
        <v>1800</v>
      </c>
      <c r="AA934" s="3">
        <v>0</v>
      </c>
      <c r="AB934" s="3">
        <f>ROUND(U934 - (V934+W934+X934+Y934) - (U934/Q934 * 2),0)</f>
        <v>34483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f>SUM(V934+W934+X934+Y934+AB934)</f>
        <v>93333</v>
      </c>
      <c r="AK934" s="3">
        <f>SUM(AJ934-AA934)</f>
        <v>93333</v>
      </c>
      <c r="AL934" s="3">
        <f>IF(V934&lt;=15000,V934*12%,1800)</f>
        <v>1800</v>
      </c>
      <c r="AM934" s="3">
        <v>0</v>
      </c>
      <c r="AN934" s="3">
        <f t="shared" si="131"/>
        <v>1800</v>
      </c>
      <c r="AO934" s="12">
        <v>200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3">
        <f t="shared" si="133"/>
        <v>200</v>
      </c>
      <c r="AV934" s="3">
        <f>SUM(AJ934 - AN934 - AU934)</f>
        <v>91333</v>
      </c>
      <c r="AW934" s="11">
        <v>0</v>
      </c>
      <c r="AX934" s="11">
        <v>0</v>
      </c>
      <c r="AY934" s="11">
        <v>0</v>
      </c>
      <c r="AZ934" s="11">
        <v>0</v>
      </c>
      <c r="BA934" s="3">
        <f t="shared" si="132"/>
        <v>91333</v>
      </c>
    </row>
    <row r="935" spans="1:53" x14ac:dyDescent="0.25">
      <c r="A935" s="1" t="s">
        <v>933</v>
      </c>
      <c r="B935" s="9" t="s">
        <v>2800</v>
      </c>
      <c r="C935" s="9" t="s">
        <v>2702</v>
      </c>
      <c r="D935" s="9" t="s">
        <v>2801</v>
      </c>
      <c r="E935" s="9" t="s">
        <v>1012</v>
      </c>
      <c r="F935" s="10">
        <v>43689</v>
      </c>
      <c r="G935" s="9" t="s">
        <v>1019</v>
      </c>
      <c r="I935" s="9" t="s">
        <v>1209</v>
      </c>
      <c r="J935" s="9" t="s">
        <v>1048</v>
      </c>
      <c r="K935" s="8" t="s">
        <v>1006</v>
      </c>
      <c r="L935" s="8" t="s">
        <v>1007</v>
      </c>
      <c r="M935" s="8" t="s">
        <v>2933</v>
      </c>
      <c r="N935" s="8" t="s">
        <v>2937</v>
      </c>
      <c r="O935" s="1" t="s">
        <v>2934</v>
      </c>
      <c r="P935">
        <v>30</v>
      </c>
      <c r="Q935">
        <v>30</v>
      </c>
      <c r="R935">
        <v>0</v>
      </c>
      <c r="S935">
        <f t="shared" si="134"/>
        <v>30</v>
      </c>
      <c r="T935" s="1" t="s">
        <v>2935</v>
      </c>
      <c r="U935" s="1" t="s">
        <v>2932</v>
      </c>
      <c r="V935" s="3">
        <f t="shared" si="135"/>
        <v>40000</v>
      </c>
      <c r="W935" s="3">
        <f t="shared" si="136"/>
        <v>16000</v>
      </c>
      <c r="X935" s="3">
        <f t="shared" si="128"/>
        <v>1250</v>
      </c>
      <c r="Y935" s="3">
        <f t="shared" si="129"/>
        <v>1600</v>
      </c>
      <c r="Z935" s="3">
        <f t="shared" si="130"/>
        <v>1800</v>
      </c>
      <c r="AA935" s="3">
        <v>0</v>
      </c>
      <c r="AB935" s="3">
        <f>ROUND(U935 - (V935+W935+X935+Y935) - (U935/Q935 * 2),0)</f>
        <v>34483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f>SUM(V935+W935+X935+Y935+AB935)</f>
        <v>93333</v>
      </c>
      <c r="AK935" s="3">
        <f>SUM(AJ935-AA935)</f>
        <v>93333</v>
      </c>
      <c r="AL935" s="3">
        <f>IF(V935&lt;=15000,V935*12%,1800)</f>
        <v>1800</v>
      </c>
      <c r="AM935" s="3">
        <v>0</v>
      </c>
      <c r="AN935" s="3">
        <f t="shared" si="131"/>
        <v>1800</v>
      </c>
      <c r="AO935" s="12">
        <v>200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3">
        <f t="shared" si="133"/>
        <v>200</v>
      </c>
      <c r="AV935" s="3">
        <f>SUM(AJ935 - AN935 - AU935)</f>
        <v>91333</v>
      </c>
      <c r="AW935" s="11">
        <v>0</v>
      </c>
      <c r="AX935" s="11">
        <v>0</v>
      </c>
      <c r="AY935" s="11">
        <v>0</v>
      </c>
      <c r="AZ935" s="11">
        <v>0</v>
      </c>
      <c r="BA935" s="3">
        <f t="shared" si="132"/>
        <v>91333</v>
      </c>
    </row>
    <row r="936" spans="1:53" x14ac:dyDescent="0.25">
      <c r="A936" s="1" t="s">
        <v>934</v>
      </c>
      <c r="B936" s="9" t="s">
        <v>2551</v>
      </c>
      <c r="C936" s="9" t="s">
        <v>1115</v>
      </c>
      <c r="D936" s="9" t="s">
        <v>2799</v>
      </c>
      <c r="E936" s="9" t="s">
        <v>1012</v>
      </c>
      <c r="F936" s="10">
        <v>43689</v>
      </c>
      <c r="G936" s="9" t="s">
        <v>1013</v>
      </c>
      <c r="I936" s="9" t="s">
        <v>1042</v>
      </c>
      <c r="J936" s="9" t="s">
        <v>1048</v>
      </c>
      <c r="K936" s="8" t="s">
        <v>1006</v>
      </c>
      <c r="L936" s="8" t="s">
        <v>1007</v>
      </c>
      <c r="M936" s="8" t="s">
        <v>2933</v>
      </c>
      <c r="N936" s="8" t="s">
        <v>2937</v>
      </c>
      <c r="O936" s="1" t="s">
        <v>2934</v>
      </c>
      <c r="P936">
        <v>30</v>
      </c>
      <c r="Q936">
        <v>30</v>
      </c>
      <c r="R936">
        <v>0</v>
      </c>
      <c r="S936">
        <f t="shared" si="134"/>
        <v>30</v>
      </c>
      <c r="T936" s="1" t="s">
        <v>2935</v>
      </c>
      <c r="U936" s="1" t="s">
        <v>2932</v>
      </c>
      <c r="V936" s="3">
        <f t="shared" si="135"/>
        <v>40000</v>
      </c>
      <c r="W936" s="3">
        <f t="shared" si="136"/>
        <v>16000</v>
      </c>
      <c r="X936" s="3">
        <f t="shared" si="128"/>
        <v>1250</v>
      </c>
      <c r="Y936" s="3">
        <f t="shared" si="129"/>
        <v>1600</v>
      </c>
      <c r="Z936" s="3">
        <f t="shared" si="130"/>
        <v>1800</v>
      </c>
      <c r="AA936" s="3">
        <v>0</v>
      </c>
      <c r="AB936" s="3">
        <f>ROUND(U936 - (V936+W936+X936+Y936) - (U936/Q936 * 2),0)</f>
        <v>34483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f>SUM(V936+W936+X936+Y936+AB936)</f>
        <v>93333</v>
      </c>
      <c r="AK936" s="3">
        <f>SUM(AJ936-AA936)</f>
        <v>93333</v>
      </c>
      <c r="AL936" s="3">
        <f>IF(V936&lt;=15000,V936*12%,1800)</f>
        <v>1800</v>
      </c>
      <c r="AM936" s="3">
        <v>0</v>
      </c>
      <c r="AN936" s="3">
        <f t="shared" si="131"/>
        <v>1800</v>
      </c>
      <c r="AO936" s="12">
        <v>200</v>
      </c>
      <c r="AP936" s="12">
        <v>0</v>
      </c>
      <c r="AQ936" s="12">
        <v>0</v>
      </c>
      <c r="AR936" s="12">
        <v>0</v>
      </c>
      <c r="AS936" s="12">
        <v>0</v>
      </c>
      <c r="AT936" s="12">
        <v>0</v>
      </c>
      <c r="AU936" s="3">
        <f t="shared" si="133"/>
        <v>200</v>
      </c>
      <c r="AV936" s="3">
        <f>SUM(AJ936 - AN936 - AU936)</f>
        <v>91333</v>
      </c>
      <c r="AW936" s="11">
        <v>0</v>
      </c>
      <c r="AX936" s="11">
        <v>0</v>
      </c>
      <c r="AY936" s="11">
        <v>0</v>
      </c>
      <c r="AZ936" s="11">
        <v>0</v>
      </c>
      <c r="BA936" s="3">
        <f t="shared" si="132"/>
        <v>91333</v>
      </c>
    </row>
    <row r="937" spans="1:53" x14ac:dyDescent="0.25">
      <c r="A937" s="1" t="s">
        <v>935</v>
      </c>
      <c r="B937" s="9" t="s">
        <v>2798</v>
      </c>
      <c r="C937" s="9" t="s">
        <v>1601</v>
      </c>
      <c r="D937" s="9">
        <v>0</v>
      </c>
      <c r="E937" s="9" t="s">
        <v>1012</v>
      </c>
      <c r="F937" s="10">
        <v>43705</v>
      </c>
      <c r="G937" s="9" t="s">
        <v>1019</v>
      </c>
      <c r="I937" s="9" t="s">
        <v>1042</v>
      </c>
      <c r="J937" s="9" t="s">
        <v>1048</v>
      </c>
      <c r="K937" s="8" t="s">
        <v>1006</v>
      </c>
      <c r="L937" s="8" t="s">
        <v>1007</v>
      </c>
      <c r="M937" s="8" t="s">
        <v>2933</v>
      </c>
      <c r="N937" s="8" t="s">
        <v>2937</v>
      </c>
      <c r="O937" s="1" t="s">
        <v>2934</v>
      </c>
      <c r="P937">
        <v>30</v>
      </c>
      <c r="Q937">
        <v>30</v>
      </c>
      <c r="R937">
        <v>0</v>
      </c>
      <c r="S937">
        <f t="shared" si="134"/>
        <v>30</v>
      </c>
      <c r="T937" s="1" t="s">
        <v>2935</v>
      </c>
      <c r="U937" s="1" t="s">
        <v>2932</v>
      </c>
      <c r="V937" s="3">
        <f t="shared" si="135"/>
        <v>40000</v>
      </c>
      <c r="W937" s="3">
        <f t="shared" si="136"/>
        <v>16000</v>
      </c>
      <c r="X937" s="3">
        <f t="shared" si="128"/>
        <v>1250</v>
      </c>
      <c r="Y937" s="3">
        <f t="shared" si="129"/>
        <v>1600</v>
      </c>
      <c r="Z937" s="3">
        <f t="shared" si="130"/>
        <v>1800</v>
      </c>
      <c r="AA937" s="3">
        <v>0</v>
      </c>
      <c r="AB937" s="3">
        <f>ROUND(U937 - (V937+W937+X937+Y937) - (U937/Q937 * 2),0)</f>
        <v>34483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f>SUM(V937+W937+X937+Y937+AB937)</f>
        <v>93333</v>
      </c>
      <c r="AK937" s="3">
        <f>SUM(AJ937-AA937)</f>
        <v>93333</v>
      </c>
      <c r="AL937" s="3">
        <f>IF(V937&lt;=15000,V937*12%,1800)</f>
        <v>1800</v>
      </c>
      <c r="AM937" s="3">
        <v>0</v>
      </c>
      <c r="AN937" s="3">
        <f t="shared" si="131"/>
        <v>1800</v>
      </c>
      <c r="AO937" s="12">
        <v>200</v>
      </c>
      <c r="AP937" s="12">
        <v>0</v>
      </c>
      <c r="AQ937" s="12">
        <v>0</v>
      </c>
      <c r="AR937" s="12">
        <v>0</v>
      </c>
      <c r="AS937" s="12">
        <v>0</v>
      </c>
      <c r="AT937" s="12">
        <v>0</v>
      </c>
      <c r="AU937" s="3">
        <f t="shared" si="133"/>
        <v>200</v>
      </c>
      <c r="AV937" s="3">
        <f>SUM(AJ937 - AN937 - AU937)</f>
        <v>91333</v>
      </c>
      <c r="AW937" s="11">
        <v>0</v>
      </c>
      <c r="AX937" s="11">
        <v>0</v>
      </c>
      <c r="AY937" s="11">
        <v>0</v>
      </c>
      <c r="AZ937" s="11">
        <v>0</v>
      </c>
      <c r="BA937" s="3">
        <f t="shared" si="132"/>
        <v>91333</v>
      </c>
    </row>
    <row r="938" spans="1:53" x14ac:dyDescent="0.25">
      <c r="A938" s="1" t="s">
        <v>936</v>
      </c>
      <c r="B938" s="9" t="s">
        <v>2796</v>
      </c>
      <c r="C938" s="9" t="s">
        <v>1431</v>
      </c>
      <c r="D938" s="9" t="s">
        <v>2797</v>
      </c>
      <c r="E938" s="9" t="s">
        <v>1012</v>
      </c>
      <c r="F938" s="10">
        <v>43731</v>
      </c>
      <c r="G938" s="9" t="s">
        <v>1019</v>
      </c>
      <c r="I938" s="9" t="s">
        <v>1209</v>
      </c>
      <c r="J938" s="9" t="s">
        <v>1048</v>
      </c>
      <c r="K938" s="8" t="s">
        <v>1006</v>
      </c>
      <c r="L938" s="8" t="s">
        <v>1007</v>
      </c>
      <c r="M938" s="8" t="s">
        <v>2933</v>
      </c>
      <c r="N938" s="8" t="s">
        <v>2937</v>
      </c>
      <c r="O938" s="1" t="s">
        <v>2934</v>
      </c>
      <c r="P938">
        <v>30</v>
      </c>
      <c r="Q938">
        <v>30</v>
      </c>
      <c r="R938">
        <v>0</v>
      </c>
      <c r="S938">
        <f t="shared" si="134"/>
        <v>30</v>
      </c>
      <c r="T938" s="1" t="s">
        <v>2935</v>
      </c>
      <c r="U938" s="1" t="s">
        <v>2932</v>
      </c>
      <c r="V938" s="3">
        <f t="shared" si="135"/>
        <v>40000</v>
      </c>
      <c r="W938" s="3">
        <f t="shared" si="136"/>
        <v>16000</v>
      </c>
      <c r="X938" s="3">
        <f t="shared" si="128"/>
        <v>1250</v>
      </c>
      <c r="Y938" s="3">
        <f t="shared" si="129"/>
        <v>1600</v>
      </c>
      <c r="Z938" s="3">
        <f t="shared" si="130"/>
        <v>1800</v>
      </c>
      <c r="AA938" s="3">
        <v>0</v>
      </c>
      <c r="AB938" s="3">
        <f>ROUND(U938 - (V938+W938+X938+Y938) - (U938/Q938 * 2),0)</f>
        <v>34483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f>SUM(V938+W938+X938+Y938+AB938)</f>
        <v>93333</v>
      </c>
      <c r="AK938" s="3">
        <f>SUM(AJ938-AA938)</f>
        <v>93333</v>
      </c>
      <c r="AL938" s="3">
        <f>IF(V938&lt;=15000,V938*12%,1800)</f>
        <v>1800</v>
      </c>
      <c r="AM938" s="3">
        <v>0</v>
      </c>
      <c r="AN938" s="3">
        <f t="shared" si="131"/>
        <v>1800</v>
      </c>
      <c r="AO938" s="12">
        <v>200</v>
      </c>
      <c r="AP938" s="12">
        <v>0</v>
      </c>
      <c r="AQ938" s="12">
        <v>0</v>
      </c>
      <c r="AR938" s="12">
        <v>0</v>
      </c>
      <c r="AS938" s="12">
        <v>0</v>
      </c>
      <c r="AT938" s="12">
        <v>0</v>
      </c>
      <c r="AU938" s="3">
        <f t="shared" si="133"/>
        <v>200</v>
      </c>
      <c r="AV938" s="3">
        <f>SUM(AJ938 - AN938 - AU938)</f>
        <v>91333</v>
      </c>
      <c r="AW938" s="11">
        <v>0</v>
      </c>
      <c r="AX938" s="11">
        <v>0</v>
      </c>
      <c r="AY938" s="11">
        <v>0</v>
      </c>
      <c r="AZ938" s="11">
        <v>0</v>
      </c>
      <c r="BA938" s="3">
        <f t="shared" si="132"/>
        <v>91333</v>
      </c>
    </row>
    <row r="939" spans="1:53" x14ac:dyDescent="0.25">
      <c r="A939" s="1" t="s">
        <v>937</v>
      </c>
      <c r="B939" s="9" t="s">
        <v>2794</v>
      </c>
      <c r="C939" s="9" t="s">
        <v>1431</v>
      </c>
      <c r="D939" s="9" t="s">
        <v>2795</v>
      </c>
      <c r="E939" s="9" t="s">
        <v>1012</v>
      </c>
      <c r="F939" s="10">
        <v>43840</v>
      </c>
      <c r="G939" s="9" t="s">
        <v>1013</v>
      </c>
      <c r="I939" s="9" t="s">
        <v>1014</v>
      </c>
      <c r="J939" s="9" t="s">
        <v>1015</v>
      </c>
      <c r="K939" s="8" t="s">
        <v>1006</v>
      </c>
      <c r="L939" s="8" t="s">
        <v>1007</v>
      </c>
      <c r="M939" s="8" t="s">
        <v>2933</v>
      </c>
      <c r="N939" s="8" t="s">
        <v>2937</v>
      </c>
      <c r="O939" s="1" t="s">
        <v>2934</v>
      </c>
      <c r="P939">
        <v>30</v>
      </c>
      <c r="Q939">
        <v>30</v>
      </c>
      <c r="R939">
        <v>0</v>
      </c>
      <c r="S939">
        <f t="shared" si="134"/>
        <v>30</v>
      </c>
      <c r="T939" s="1" t="s">
        <v>2935</v>
      </c>
      <c r="U939" s="1" t="s">
        <v>2932</v>
      </c>
      <c r="V939" s="3">
        <f t="shared" si="135"/>
        <v>40000</v>
      </c>
      <c r="W939" s="3">
        <f t="shared" si="136"/>
        <v>16000</v>
      </c>
      <c r="X939" s="3">
        <f t="shared" si="128"/>
        <v>1250</v>
      </c>
      <c r="Y939" s="3">
        <f t="shared" si="129"/>
        <v>1600</v>
      </c>
      <c r="Z939" s="3">
        <f t="shared" si="130"/>
        <v>1800</v>
      </c>
      <c r="AA939" s="3">
        <v>0</v>
      </c>
      <c r="AB939" s="3">
        <f>ROUND(U939 - (V939+W939+X939+Y939) - (U939/Q939 * 2),0)</f>
        <v>34483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f>SUM(V939+W939+X939+Y939+AB939)</f>
        <v>93333</v>
      </c>
      <c r="AK939" s="3">
        <f>SUM(AJ939-AA939)</f>
        <v>93333</v>
      </c>
      <c r="AL939" s="3">
        <f>IF(V939&lt;=15000,V939*12%,1800)</f>
        <v>1800</v>
      </c>
      <c r="AM939" s="3">
        <v>0</v>
      </c>
      <c r="AN939" s="3">
        <f t="shared" si="131"/>
        <v>1800</v>
      </c>
      <c r="AO939" s="12">
        <v>200</v>
      </c>
      <c r="AP939" s="12">
        <v>0</v>
      </c>
      <c r="AQ939" s="12">
        <v>0</v>
      </c>
      <c r="AR939" s="12">
        <v>0</v>
      </c>
      <c r="AS939" s="12">
        <v>0</v>
      </c>
      <c r="AT939" s="12">
        <v>0</v>
      </c>
      <c r="AU939" s="3">
        <f t="shared" si="133"/>
        <v>200</v>
      </c>
      <c r="AV939" s="3">
        <f>SUM(AJ939 - AN939 - AU939)</f>
        <v>91333</v>
      </c>
      <c r="AW939" s="11">
        <v>0</v>
      </c>
      <c r="AX939" s="11">
        <v>0</v>
      </c>
      <c r="AY939" s="11">
        <v>0</v>
      </c>
      <c r="AZ939" s="11">
        <v>0</v>
      </c>
      <c r="BA939" s="3">
        <f t="shared" si="132"/>
        <v>91333</v>
      </c>
    </row>
    <row r="940" spans="1:53" x14ac:dyDescent="0.25">
      <c r="A940" s="1" t="s">
        <v>938</v>
      </c>
      <c r="B940" s="9" t="s">
        <v>2792</v>
      </c>
      <c r="C940" s="9" t="s">
        <v>1115</v>
      </c>
      <c r="D940" s="9" t="s">
        <v>2793</v>
      </c>
      <c r="E940" s="9" t="s">
        <v>1012</v>
      </c>
      <c r="F940" s="10">
        <v>43754</v>
      </c>
      <c r="G940" s="9" t="s">
        <v>1013</v>
      </c>
      <c r="I940" s="9" t="s">
        <v>1209</v>
      </c>
      <c r="J940" s="9" t="s">
        <v>1048</v>
      </c>
      <c r="K940" s="8" t="s">
        <v>1006</v>
      </c>
      <c r="L940" s="8" t="s">
        <v>1007</v>
      </c>
      <c r="M940" s="8" t="s">
        <v>2933</v>
      </c>
      <c r="N940" s="8" t="s">
        <v>2937</v>
      </c>
      <c r="O940" s="1" t="s">
        <v>2934</v>
      </c>
      <c r="P940">
        <v>30</v>
      </c>
      <c r="Q940">
        <v>30</v>
      </c>
      <c r="R940">
        <v>0</v>
      </c>
      <c r="S940">
        <f t="shared" si="134"/>
        <v>30</v>
      </c>
      <c r="T940" s="1" t="s">
        <v>2935</v>
      </c>
      <c r="U940" s="1" t="s">
        <v>2932</v>
      </c>
      <c r="V940" s="3">
        <f t="shared" si="135"/>
        <v>40000</v>
      </c>
      <c r="W940" s="3">
        <f t="shared" si="136"/>
        <v>16000</v>
      </c>
      <c r="X940" s="3">
        <f t="shared" si="128"/>
        <v>1250</v>
      </c>
      <c r="Y940" s="3">
        <f t="shared" si="129"/>
        <v>1600</v>
      </c>
      <c r="Z940" s="3">
        <f t="shared" si="130"/>
        <v>1800</v>
      </c>
      <c r="AA940" s="3">
        <v>0</v>
      </c>
      <c r="AB940" s="3">
        <f>ROUND(U940 - (V940+W940+X940+Y940) - (U940/Q940 * 2),0)</f>
        <v>34483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f>SUM(V940+W940+X940+Y940+AB940)</f>
        <v>93333</v>
      </c>
      <c r="AK940" s="3">
        <f>SUM(AJ940-AA940)</f>
        <v>93333</v>
      </c>
      <c r="AL940" s="3">
        <f>IF(V940&lt;=15000,V940*12%,1800)</f>
        <v>1800</v>
      </c>
      <c r="AM940" s="3">
        <v>0</v>
      </c>
      <c r="AN940" s="3">
        <f t="shared" si="131"/>
        <v>1800</v>
      </c>
      <c r="AO940" s="12">
        <v>200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3">
        <f t="shared" si="133"/>
        <v>200</v>
      </c>
      <c r="AV940" s="3">
        <f>SUM(AJ940 - AN940 - AU940)</f>
        <v>91333</v>
      </c>
      <c r="AW940" s="11">
        <v>0</v>
      </c>
      <c r="AX940" s="11">
        <v>0</v>
      </c>
      <c r="AY940" s="11">
        <v>0</v>
      </c>
      <c r="AZ940" s="11">
        <v>0</v>
      </c>
      <c r="BA940" s="3">
        <f t="shared" si="132"/>
        <v>91333</v>
      </c>
    </row>
    <row r="941" spans="1:53" x14ac:dyDescent="0.25">
      <c r="A941" s="1" t="s">
        <v>939</v>
      </c>
      <c r="B941" s="9" t="s">
        <v>2059</v>
      </c>
      <c r="C941" s="9" t="s">
        <v>1663</v>
      </c>
      <c r="D941" s="9" t="s">
        <v>2791</v>
      </c>
      <c r="E941" s="9" t="s">
        <v>1008</v>
      </c>
      <c r="F941" s="10">
        <v>43773</v>
      </c>
      <c r="G941" s="9" t="s">
        <v>1013</v>
      </c>
      <c r="I941" s="9" t="s">
        <v>1042</v>
      </c>
      <c r="J941" s="9" t="s">
        <v>1440</v>
      </c>
      <c r="K941" s="8" t="s">
        <v>1006</v>
      </c>
      <c r="L941" s="8" t="s">
        <v>1007</v>
      </c>
      <c r="M941" s="8" t="s">
        <v>2933</v>
      </c>
      <c r="N941" s="8" t="s">
        <v>2937</v>
      </c>
      <c r="O941" s="1" t="s">
        <v>2934</v>
      </c>
      <c r="P941">
        <v>30</v>
      </c>
      <c r="Q941">
        <v>30</v>
      </c>
      <c r="R941">
        <v>0</v>
      </c>
      <c r="S941">
        <f t="shared" si="134"/>
        <v>30</v>
      </c>
      <c r="T941" s="1" t="s">
        <v>2935</v>
      </c>
      <c r="U941" s="1" t="s">
        <v>2932</v>
      </c>
      <c r="V941" s="3">
        <f t="shared" si="135"/>
        <v>40000</v>
      </c>
      <c r="W941" s="3">
        <f t="shared" si="136"/>
        <v>16000</v>
      </c>
      <c r="X941" s="3">
        <f t="shared" si="128"/>
        <v>1250</v>
      </c>
      <c r="Y941" s="3">
        <f t="shared" si="129"/>
        <v>1600</v>
      </c>
      <c r="Z941" s="3">
        <f t="shared" si="130"/>
        <v>1800</v>
      </c>
      <c r="AA941" s="3">
        <v>0</v>
      </c>
      <c r="AB941" s="3">
        <f>ROUND(U941 - (V941+W941+X941+Y941) - (U941/Q941 * 2),0)</f>
        <v>34483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f>SUM(V941+W941+X941+Y941+AB941)</f>
        <v>93333</v>
      </c>
      <c r="AK941" s="3">
        <f>SUM(AJ941-AA941)</f>
        <v>93333</v>
      </c>
      <c r="AL941" s="3">
        <f>IF(V941&lt;=15000,V941*12%,1800)</f>
        <v>1800</v>
      </c>
      <c r="AM941" s="3">
        <v>0</v>
      </c>
      <c r="AN941" s="3">
        <f t="shared" si="131"/>
        <v>1800</v>
      </c>
      <c r="AO941" s="12">
        <v>200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3">
        <f t="shared" si="133"/>
        <v>200</v>
      </c>
      <c r="AV941" s="3">
        <f>SUM(AJ941 - AN941 - AU941)</f>
        <v>91333</v>
      </c>
      <c r="AW941" s="11">
        <v>0</v>
      </c>
      <c r="AX941" s="11">
        <v>0</v>
      </c>
      <c r="AY941" s="11">
        <v>0</v>
      </c>
      <c r="AZ941" s="11">
        <v>0</v>
      </c>
      <c r="BA941" s="3">
        <f t="shared" si="132"/>
        <v>91333</v>
      </c>
    </row>
    <row r="942" spans="1:53" x14ac:dyDescent="0.25">
      <c r="A942" s="1" t="s">
        <v>940</v>
      </c>
      <c r="B942" s="9" t="s">
        <v>2788</v>
      </c>
      <c r="C942" s="9" t="s">
        <v>2789</v>
      </c>
      <c r="D942" s="9" t="s">
        <v>2790</v>
      </c>
      <c r="E942" s="9" t="s">
        <v>1008</v>
      </c>
      <c r="F942" s="10">
        <v>43864</v>
      </c>
      <c r="G942" s="9" t="s">
        <v>1013</v>
      </c>
      <c r="I942" s="9" t="s">
        <v>1014</v>
      </c>
      <c r="J942" s="9" t="s">
        <v>1021</v>
      </c>
      <c r="K942" s="8" t="s">
        <v>1006</v>
      </c>
      <c r="L942" s="8" t="s">
        <v>1007</v>
      </c>
      <c r="M942" s="8" t="s">
        <v>2933</v>
      </c>
      <c r="N942" s="8" t="s">
        <v>2937</v>
      </c>
      <c r="O942" s="1" t="s">
        <v>2934</v>
      </c>
      <c r="P942">
        <v>30</v>
      </c>
      <c r="Q942">
        <v>30</v>
      </c>
      <c r="R942">
        <v>0</v>
      </c>
      <c r="S942">
        <f t="shared" si="134"/>
        <v>30</v>
      </c>
      <c r="T942" s="1" t="s">
        <v>2935</v>
      </c>
      <c r="U942" s="1" t="s">
        <v>2932</v>
      </c>
      <c r="V942" s="3">
        <f t="shared" si="135"/>
        <v>40000</v>
      </c>
      <c r="W942" s="3">
        <f t="shared" si="136"/>
        <v>16000</v>
      </c>
      <c r="X942" s="3">
        <f t="shared" si="128"/>
        <v>1250</v>
      </c>
      <c r="Y942" s="3">
        <f t="shared" si="129"/>
        <v>1600</v>
      </c>
      <c r="Z942" s="3">
        <f t="shared" si="130"/>
        <v>1800</v>
      </c>
      <c r="AA942" s="3">
        <v>0</v>
      </c>
      <c r="AB942" s="3">
        <f>ROUND(U942 - (V942+W942+X942+Y942) - (U942/Q942 * 2),0)</f>
        <v>34483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f>SUM(V942+W942+X942+Y942+AB942)</f>
        <v>93333</v>
      </c>
      <c r="AK942" s="3">
        <f>SUM(AJ942-AA942)</f>
        <v>93333</v>
      </c>
      <c r="AL942" s="3">
        <f>IF(V942&lt;=15000,V942*12%,1800)</f>
        <v>1800</v>
      </c>
      <c r="AM942" s="3">
        <v>0</v>
      </c>
      <c r="AN942" s="3">
        <f t="shared" si="131"/>
        <v>1800</v>
      </c>
      <c r="AO942" s="12">
        <v>200</v>
      </c>
      <c r="AP942" s="12">
        <v>0</v>
      </c>
      <c r="AQ942" s="12">
        <v>0</v>
      </c>
      <c r="AR942" s="12">
        <v>0</v>
      </c>
      <c r="AS942" s="12">
        <v>0</v>
      </c>
      <c r="AT942" s="12">
        <v>0</v>
      </c>
      <c r="AU942" s="3">
        <f t="shared" si="133"/>
        <v>200</v>
      </c>
      <c r="AV942" s="3">
        <f>SUM(AJ942 - AN942 - AU942)</f>
        <v>91333</v>
      </c>
      <c r="AW942" s="11">
        <v>0</v>
      </c>
      <c r="AX942" s="11">
        <v>0</v>
      </c>
      <c r="AY942" s="11">
        <v>0</v>
      </c>
      <c r="AZ942" s="11">
        <v>0</v>
      </c>
      <c r="BA942" s="3">
        <f t="shared" si="132"/>
        <v>91333</v>
      </c>
    </row>
    <row r="943" spans="1:53" x14ac:dyDescent="0.25">
      <c r="A943" s="1" t="s">
        <v>941</v>
      </c>
      <c r="B943" s="9" t="s">
        <v>1103</v>
      </c>
      <c r="C943" s="9" t="s">
        <v>1868</v>
      </c>
      <c r="D943" s="9" t="s">
        <v>2843</v>
      </c>
      <c r="E943" s="9" t="s">
        <v>1012</v>
      </c>
      <c r="F943" s="10">
        <v>43775</v>
      </c>
      <c r="G943" s="9" t="s">
        <v>1013</v>
      </c>
      <c r="I943" s="9" t="s">
        <v>1042</v>
      </c>
      <c r="J943" s="9" t="s">
        <v>1440</v>
      </c>
      <c r="K943" s="8" t="s">
        <v>1006</v>
      </c>
      <c r="L943" s="8" t="s">
        <v>1007</v>
      </c>
      <c r="M943" s="8" t="s">
        <v>2933</v>
      </c>
      <c r="N943" s="8" t="s">
        <v>2937</v>
      </c>
      <c r="O943" s="1" t="s">
        <v>2934</v>
      </c>
      <c r="P943">
        <v>30</v>
      </c>
      <c r="Q943">
        <v>30</v>
      </c>
      <c r="R943">
        <v>0</v>
      </c>
      <c r="S943">
        <f t="shared" si="134"/>
        <v>30</v>
      </c>
      <c r="T943" s="1" t="s">
        <v>2935</v>
      </c>
      <c r="U943" s="1" t="s">
        <v>2932</v>
      </c>
      <c r="V943" s="3">
        <f t="shared" si="135"/>
        <v>40000</v>
      </c>
      <c r="W943" s="3">
        <f t="shared" si="136"/>
        <v>16000</v>
      </c>
      <c r="X943" s="3">
        <f t="shared" si="128"/>
        <v>1250</v>
      </c>
      <c r="Y943" s="3">
        <f t="shared" si="129"/>
        <v>1600</v>
      </c>
      <c r="Z943" s="3">
        <f t="shared" si="130"/>
        <v>1800</v>
      </c>
      <c r="AA943" s="3">
        <v>0</v>
      </c>
      <c r="AB943" s="3">
        <f>ROUND(U943 - (V943+W943+X943+Y943) - (U943/Q943 * 2),0)</f>
        <v>34483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f>SUM(V943+W943+X943+Y943+AB943)</f>
        <v>93333</v>
      </c>
      <c r="AK943" s="3">
        <f>SUM(AJ943-AA943)</f>
        <v>93333</v>
      </c>
      <c r="AL943" s="3">
        <f>IF(V943&lt;=15000,V943*12%,1800)</f>
        <v>1800</v>
      </c>
      <c r="AM943" s="3">
        <v>0</v>
      </c>
      <c r="AN943" s="3">
        <f t="shared" si="131"/>
        <v>1800</v>
      </c>
      <c r="AO943" s="12">
        <v>200</v>
      </c>
      <c r="AP943" s="12">
        <v>0</v>
      </c>
      <c r="AQ943" s="12">
        <v>0</v>
      </c>
      <c r="AR943" s="12">
        <v>0</v>
      </c>
      <c r="AS943" s="12">
        <v>0</v>
      </c>
      <c r="AT943" s="12">
        <v>0</v>
      </c>
      <c r="AU943" s="3">
        <f t="shared" si="133"/>
        <v>200</v>
      </c>
      <c r="AV943" s="3">
        <f>SUM(AJ943 - AN943 - AU943)</f>
        <v>91333</v>
      </c>
      <c r="AW943" s="11">
        <v>0</v>
      </c>
      <c r="AX943" s="11">
        <v>0</v>
      </c>
      <c r="AY943" s="11">
        <v>0</v>
      </c>
      <c r="AZ943" s="11">
        <v>0</v>
      </c>
      <c r="BA943" s="3">
        <f t="shared" si="132"/>
        <v>91333</v>
      </c>
    </row>
    <row r="944" spans="1:53" x14ac:dyDescent="0.25">
      <c r="A944" s="1" t="s">
        <v>942</v>
      </c>
      <c r="B944" s="9" t="s">
        <v>1612</v>
      </c>
      <c r="C944" s="9" t="s">
        <v>1320</v>
      </c>
      <c r="D944" s="9" t="s">
        <v>2842</v>
      </c>
      <c r="E944" s="9" t="s">
        <v>1012</v>
      </c>
      <c r="F944" s="10">
        <v>43864</v>
      </c>
      <c r="G944" s="9" t="s">
        <v>1019</v>
      </c>
      <c r="I944" s="9" t="s">
        <v>1014</v>
      </c>
      <c r="J944" s="9" t="s">
        <v>1015</v>
      </c>
      <c r="K944" s="8" t="s">
        <v>1006</v>
      </c>
      <c r="L944" s="8" t="s">
        <v>1007</v>
      </c>
      <c r="M944" s="8" t="s">
        <v>2933</v>
      </c>
      <c r="N944" s="8" t="s">
        <v>2937</v>
      </c>
      <c r="O944" s="1" t="s">
        <v>2934</v>
      </c>
      <c r="P944">
        <v>30</v>
      </c>
      <c r="Q944">
        <v>30</v>
      </c>
      <c r="R944">
        <v>0</v>
      </c>
      <c r="S944">
        <f t="shared" si="134"/>
        <v>30</v>
      </c>
      <c r="T944" s="1" t="s">
        <v>2935</v>
      </c>
      <c r="U944" s="1" t="s">
        <v>2932</v>
      </c>
      <c r="V944" s="3">
        <f t="shared" si="135"/>
        <v>40000</v>
      </c>
      <c r="W944" s="3">
        <f t="shared" si="136"/>
        <v>16000</v>
      </c>
      <c r="X944" s="3">
        <f t="shared" si="128"/>
        <v>1250</v>
      </c>
      <c r="Y944" s="3">
        <f t="shared" si="129"/>
        <v>1600</v>
      </c>
      <c r="Z944" s="3">
        <f t="shared" si="130"/>
        <v>1800</v>
      </c>
      <c r="AA944" s="3">
        <v>0</v>
      </c>
      <c r="AB944" s="3">
        <f>ROUND(U944 - (V944+W944+X944+Y944) - (U944/Q944 * 2),0)</f>
        <v>34483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f>SUM(V944+W944+X944+Y944+AB944)</f>
        <v>93333</v>
      </c>
      <c r="AK944" s="3">
        <f>SUM(AJ944-AA944)</f>
        <v>93333</v>
      </c>
      <c r="AL944" s="3">
        <f>IF(V944&lt;=15000,V944*12%,1800)</f>
        <v>1800</v>
      </c>
      <c r="AM944" s="3">
        <v>0</v>
      </c>
      <c r="AN944" s="3">
        <f t="shared" si="131"/>
        <v>1800</v>
      </c>
      <c r="AO944" s="12">
        <v>200</v>
      </c>
      <c r="AP944" s="12">
        <v>0</v>
      </c>
      <c r="AQ944" s="12">
        <v>0</v>
      </c>
      <c r="AR944" s="12">
        <v>0</v>
      </c>
      <c r="AS944" s="12">
        <v>0</v>
      </c>
      <c r="AT944" s="12">
        <v>0</v>
      </c>
      <c r="AU944" s="3">
        <f t="shared" si="133"/>
        <v>200</v>
      </c>
      <c r="AV944" s="3">
        <f>SUM(AJ944 - AN944 - AU944)</f>
        <v>91333</v>
      </c>
      <c r="AW944" s="11">
        <v>0</v>
      </c>
      <c r="AX944" s="11">
        <v>0</v>
      </c>
      <c r="AY944" s="11">
        <v>0</v>
      </c>
      <c r="AZ944" s="11">
        <v>0</v>
      </c>
      <c r="BA944" s="3">
        <f t="shared" si="132"/>
        <v>91333</v>
      </c>
    </row>
    <row r="945" spans="1:53" x14ac:dyDescent="0.25">
      <c r="A945" s="1" t="s">
        <v>943</v>
      </c>
      <c r="B945" s="9" t="s">
        <v>2840</v>
      </c>
      <c r="C945" s="9" t="s">
        <v>1075</v>
      </c>
      <c r="D945" s="9" t="s">
        <v>2841</v>
      </c>
      <c r="E945" s="9" t="s">
        <v>1012</v>
      </c>
      <c r="F945" s="10">
        <v>43867</v>
      </c>
      <c r="G945" s="9" t="s">
        <v>1019</v>
      </c>
      <c r="I945" s="9" t="s">
        <v>1014</v>
      </c>
      <c r="J945" s="9" t="s">
        <v>1015</v>
      </c>
      <c r="K945" s="8" t="s">
        <v>1006</v>
      </c>
      <c r="L945" s="8" t="s">
        <v>1007</v>
      </c>
      <c r="M945" s="8" t="s">
        <v>2933</v>
      </c>
      <c r="N945" s="8" t="s">
        <v>2937</v>
      </c>
      <c r="O945" s="1" t="s">
        <v>2934</v>
      </c>
      <c r="P945">
        <v>30</v>
      </c>
      <c r="Q945">
        <v>30</v>
      </c>
      <c r="R945">
        <v>0</v>
      </c>
      <c r="S945">
        <f t="shared" si="134"/>
        <v>30</v>
      </c>
      <c r="T945" s="1" t="s">
        <v>2935</v>
      </c>
      <c r="U945" s="1" t="s">
        <v>2932</v>
      </c>
      <c r="V945" s="3">
        <f t="shared" si="135"/>
        <v>40000</v>
      </c>
      <c r="W945" s="3">
        <f t="shared" si="136"/>
        <v>16000</v>
      </c>
      <c r="X945" s="3">
        <f t="shared" si="128"/>
        <v>1250</v>
      </c>
      <c r="Y945" s="3">
        <f t="shared" si="129"/>
        <v>1600</v>
      </c>
      <c r="Z945" s="3">
        <f t="shared" si="130"/>
        <v>1800</v>
      </c>
      <c r="AA945" s="3">
        <v>0</v>
      </c>
      <c r="AB945" s="3">
        <f>ROUND(U945 - (V945+W945+X945+Y945) - (U945/Q945 * 2),0)</f>
        <v>34483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f>SUM(V945+W945+X945+Y945+AB945)</f>
        <v>93333</v>
      </c>
      <c r="AK945" s="3">
        <f>SUM(AJ945-AA945)</f>
        <v>93333</v>
      </c>
      <c r="AL945" s="3">
        <f>IF(V945&lt;=15000,V945*12%,1800)</f>
        <v>1800</v>
      </c>
      <c r="AM945" s="3">
        <v>0</v>
      </c>
      <c r="AN945" s="3">
        <f t="shared" si="131"/>
        <v>1800</v>
      </c>
      <c r="AO945" s="12">
        <v>200</v>
      </c>
      <c r="AP945" s="12">
        <v>0</v>
      </c>
      <c r="AQ945" s="12">
        <v>0</v>
      </c>
      <c r="AR945" s="12">
        <v>0</v>
      </c>
      <c r="AS945" s="12">
        <v>0</v>
      </c>
      <c r="AT945" s="12">
        <v>0</v>
      </c>
      <c r="AU945" s="3">
        <f t="shared" si="133"/>
        <v>200</v>
      </c>
      <c r="AV945" s="3">
        <f>SUM(AJ945 - AN945 - AU945)</f>
        <v>91333</v>
      </c>
      <c r="AW945" s="11">
        <v>0</v>
      </c>
      <c r="AX945" s="11">
        <v>0</v>
      </c>
      <c r="AY945" s="11">
        <v>0</v>
      </c>
      <c r="AZ945" s="11">
        <v>0</v>
      </c>
      <c r="BA945" s="3">
        <f t="shared" si="132"/>
        <v>91333</v>
      </c>
    </row>
    <row r="946" spans="1:53" x14ac:dyDescent="0.25">
      <c r="A946" s="1" t="s">
        <v>944</v>
      </c>
      <c r="B946" s="9" t="s">
        <v>2838</v>
      </c>
      <c r="C946" s="9" t="s">
        <v>1010</v>
      </c>
      <c r="D946" s="9" t="s">
        <v>2839</v>
      </c>
      <c r="E946" s="9" t="s">
        <v>1012</v>
      </c>
      <c r="F946" s="10">
        <v>43868</v>
      </c>
      <c r="G946" s="9" t="s">
        <v>1013</v>
      </c>
      <c r="I946" s="9" t="s">
        <v>1014</v>
      </c>
      <c r="J946" s="9" t="s">
        <v>1015</v>
      </c>
      <c r="K946" s="8" t="s">
        <v>1006</v>
      </c>
      <c r="L946" s="8" t="s">
        <v>1007</v>
      </c>
      <c r="M946" s="8" t="s">
        <v>2933</v>
      </c>
      <c r="N946" s="8" t="s">
        <v>2937</v>
      </c>
      <c r="O946" s="1" t="s">
        <v>2934</v>
      </c>
      <c r="P946">
        <v>30</v>
      </c>
      <c r="Q946">
        <v>30</v>
      </c>
      <c r="R946">
        <v>0</v>
      </c>
      <c r="S946">
        <f t="shared" si="134"/>
        <v>30</v>
      </c>
      <c r="T946" s="1" t="s">
        <v>2935</v>
      </c>
      <c r="U946" s="1" t="s">
        <v>2932</v>
      </c>
      <c r="V946" s="3">
        <f t="shared" si="135"/>
        <v>40000</v>
      </c>
      <c r="W946" s="3">
        <f t="shared" si="136"/>
        <v>16000</v>
      </c>
      <c r="X946" s="3">
        <f t="shared" si="128"/>
        <v>1250</v>
      </c>
      <c r="Y946" s="3">
        <f t="shared" si="129"/>
        <v>1600</v>
      </c>
      <c r="Z946" s="3">
        <f t="shared" si="130"/>
        <v>1800</v>
      </c>
      <c r="AA946" s="3">
        <v>0</v>
      </c>
      <c r="AB946" s="3">
        <f>ROUND(U946 - (V946+W946+X946+Y946) - (U946/Q946 * 2),0)</f>
        <v>34483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f>SUM(V946+W946+X946+Y946+AB946)</f>
        <v>93333</v>
      </c>
      <c r="AK946" s="3">
        <f>SUM(AJ946-AA946)</f>
        <v>93333</v>
      </c>
      <c r="AL946" s="3">
        <f>IF(V946&lt;=15000,V946*12%,1800)</f>
        <v>1800</v>
      </c>
      <c r="AM946" s="3">
        <v>0</v>
      </c>
      <c r="AN946" s="3">
        <f t="shared" si="131"/>
        <v>1800</v>
      </c>
      <c r="AO946" s="12">
        <v>200</v>
      </c>
      <c r="AP946" s="12">
        <v>0</v>
      </c>
      <c r="AQ946" s="12">
        <v>0</v>
      </c>
      <c r="AR946" s="12">
        <v>0</v>
      </c>
      <c r="AS946" s="12">
        <v>0</v>
      </c>
      <c r="AT946" s="12">
        <v>0</v>
      </c>
      <c r="AU946" s="3">
        <f t="shared" si="133"/>
        <v>200</v>
      </c>
      <c r="AV946" s="3">
        <f>SUM(AJ946 - AN946 - AU946)</f>
        <v>91333</v>
      </c>
      <c r="AW946" s="11">
        <v>0</v>
      </c>
      <c r="AX946" s="11">
        <v>0</v>
      </c>
      <c r="AY946" s="11">
        <v>0</v>
      </c>
      <c r="AZ946" s="11">
        <v>0</v>
      </c>
      <c r="BA946" s="3">
        <f t="shared" si="132"/>
        <v>91333</v>
      </c>
    </row>
    <row r="947" spans="1:53" x14ac:dyDescent="0.25">
      <c r="A947" s="1" t="s">
        <v>945</v>
      </c>
      <c r="B947" s="9" t="s">
        <v>2603</v>
      </c>
      <c r="C947" s="9" t="s">
        <v>2250</v>
      </c>
      <c r="D947" s="9" t="s">
        <v>2837</v>
      </c>
      <c r="E947" s="9" t="s">
        <v>1008</v>
      </c>
      <c r="F947" s="10">
        <v>43874</v>
      </c>
      <c r="G947" s="9" t="s">
        <v>1019</v>
      </c>
      <c r="I947" s="9" t="s">
        <v>1014</v>
      </c>
      <c r="J947" s="9" t="s">
        <v>1015</v>
      </c>
      <c r="K947" s="8" t="s">
        <v>1006</v>
      </c>
      <c r="L947" s="8" t="s">
        <v>1007</v>
      </c>
      <c r="M947" s="8" t="s">
        <v>2933</v>
      </c>
      <c r="N947" s="8" t="s">
        <v>2937</v>
      </c>
      <c r="O947" s="1" t="s">
        <v>2934</v>
      </c>
      <c r="P947">
        <v>30</v>
      </c>
      <c r="Q947">
        <v>30</v>
      </c>
      <c r="R947">
        <v>0</v>
      </c>
      <c r="S947">
        <f t="shared" si="134"/>
        <v>30</v>
      </c>
      <c r="T947" s="1" t="s">
        <v>2935</v>
      </c>
      <c r="U947" s="1" t="s">
        <v>2932</v>
      </c>
      <c r="V947" s="3">
        <f t="shared" si="135"/>
        <v>40000</v>
      </c>
      <c r="W947" s="3">
        <f t="shared" si="136"/>
        <v>16000</v>
      </c>
      <c r="X947" s="3">
        <f t="shared" si="128"/>
        <v>1250</v>
      </c>
      <c r="Y947" s="3">
        <f t="shared" si="129"/>
        <v>1600</v>
      </c>
      <c r="Z947" s="3">
        <f t="shared" si="130"/>
        <v>1800</v>
      </c>
      <c r="AA947" s="3">
        <v>0</v>
      </c>
      <c r="AB947" s="3">
        <f>ROUND(U947 - (V947+W947+X947+Y947) - (U947/Q947 * 2),0)</f>
        <v>34483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f>SUM(V947+W947+X947+Y947+AB947)</f>
        <v>93333</v>
      </c>
      <c r="AK947" s="3">
        <f>SUM(AJ947-AA947)</f>
        <v>93333</v>
      </c>
      <c r="AL947" s="3">
        <f>IF(V947&lt;=15000,V947*12%,1800)</f>
        <v>1800</v>
      </c>
      <c r="AM947" s="3">
        <v>0</v>
      </c>
      <c r="AN947" s="3">
        <f t="shared" si="131"/>
        <v>1800</v>
      </c>
      <c r="AO947" s="12">
        <v>200</v>
      </c>
      <c r="AP947" s="12">
        <v>0</v>
      </c>
      <c r="AQ947" s="12">
        <v>0</v>
      </c>
      <c r="AR947" s="12">
        <v>0</v>
      </c>
      <c r="AS947" s="12">
        <v>0</v>
      </c>
      <c r="AT947" s="12">
        <v>0</v>
      </c>
      <c r="AU947" s="3">
        <f t="shared" si="133"/>
        <v>200</v>
      </c>
      <c r="AV947" s="3">
        <f>SUM(AJ947 - AN947 - AU947)</f>
        <v>91333</v>
      </c>
      <c r="AW947" s="11">
        <v>0</v>
      </c>
      <c r="AX947" s="11">
        <v>0</v>
      </c>
      <c r="AY947" s="11">
        <v>0</v>
      </c>
      <c r="AZ947" s="11">
        <v>0</v>
      </c>
      <c r="BA947" s="3">
        <f t="shared" si="132"/>
        <v>91333</v>
      </c>
    </row>
    <row r="948" spans="1:53" x14ac:dyDescent="0.25">
      <c r="A948" s="1" t="s">
        <v>946</v>
      </c>
      <c r="B948" s="9" t="s">
        <v>1865</v>
      </c>
      <c r="C948" s="9" t="s">
        <v>1854</v>
      </c>
      <c r="D948" s="9" t="s">
        <v>2836</v>
      </c>
      <c r="E948" s="9" t="s">
        <v>1008</v>
      </c>
      <c r="F948" s="10">
        <v>43822</v>
      </c>
      <c r="G948" s="9" t="s">
        <v>1019</v>
      </c>
      <c r="I948" s="9" t="s">
        <v>1042</v>
      </c>
      <c r="J948" s="9" t="s">
        <v>1048</v>
      </c>
      <c r="K948" s="8" t="s">
        <v>1006</v>
      </c>
      <c r="L948" s="8" t="s">
        <v>1007</v>
      </c>
      <c r="M948" s="8" t="s">
        <v>2933</v>
      </c>
      <c r="N948" s="8" t="s">
        <v>2937</v>
      </c>
      <c r="O948" s="1" t="s">
        <v>2934</v>
      </c>
      <c r="P948">
        <v>30</v>
      </c>
      <c r="Q948">
        <v>30</v>
      </c>
      <c r="R948">
        <v>0</v>
      </c>
      <c r="S948">
        <f t="shared" si="134"/>
        <v>30</v>
      </c>
      <c r="T948" s="1" t="s">
        <v>2935</v>
      </c>
      <c r="U948" s="1" t="s">
        <v>2932</v>
      </c>
      <c r="V948" s="3">
        <f t="shared" si="135"/>
        <v>40000</v>
      </c>
      <c r="W948" s="3">
        <f t="shared" si="136"/>
        <v>16000</v>
      </c>
      <c r="X948" s="3">
        <f t="shared" si="128"/>
        <v>1250</v>
      </c>
      <c r="Y948" s="3">
        <f t="shared" si="129"/>
        <v>1600</v>
      </c>
      <c r="Z948" s="3">
        <f t="shared" si="130"/>
        <v>1800</v>
      </c>
      <c r="AA948" s="3">
        <v>0</v>
      </c>
      <c r="AB948" s="3">
        <f>ROUND(U948 - (V948+W948+X948+Y948) - (U948/Q948 * 2),0)</f>
        <v>34483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f>SUM(V948+W948+X948+Y948+AB948)</f>
        <v>93333</v>
      </c>
      <c r="AK948" s="3">
        <f>SUM(AJ948-AA948)</f>
        <v>93333</v>
      </c>
      <c r="AL948" s="3">
        <f>IF(V948&lt;=15000,V948*12%,1800)</f>
        <v>1800</v>
      </c>
      <c r="AM948" s="3">
        <v>0</v>
      </c>
      <c r="AN948" s="3">
        <f t="shared" si="131"/>
        <v>1800</v>
      </c>
      <c r="AO948" s="12">
        <v>200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3">
        <f t="shared" si="133"/>
        <v>200</v>
      </c>
      <c r="AV948" s="3">
        <f>SUM(AJ948 - AN948 - AU948)</f>
        <v>91333</v>
      </c>
      <c r="AW948" s="11">
        <v>0</v>
      </c>
      <c r="AX948" s="11">
        <v>0</v>
      </c>
      <c r="AY948" s="11">
        <v>0</v>
      </c>
      <c r="AZ948" s="11">
        <v>0</v>
      </c>
      <c r="BA948" s="3">
        <f t="shared" si="132"/>
        <v>91333</v>
      </c>
    </row>
    <row r="949" spans="1:53" x14ac:dyDescent="0.25">
      <c r="A949" s="1" t="s">
        <v>947</v>
      </c>
      <c r="B949" s="9" t="s">
        <v>2834</v>
      </c>
      <c r="C949" s="9" t="s">
        <v>1115</v>
      </c>
      <c r="D949" s="9" t="s">
        <v>2835</v>
      </c>
      <c r="E949" s="9" t="s">
        <v>1012</v>
      </c>
      <c r="F949" s="10">
        <v>43822</v>
      </c>
      <c r="G949" s="9" t="s">
        <v>1019</v>
      </c>
      <c r="I949" s="9" t="s">
        <v>1042</v>
      </c>
      <c r="J949" s="9" t="s">
        <v>1048</v>
      </c>
      <c r="K949" s="8" t="s">
        <v>1006</v>
      </c>
      <c r="L949" s="8" t="s">
        <v>1007</v>
      </c>
      <c r="M949" s="8" t="s">
        <v>2933</v>
      </c>
      <c r="N949" s="8" t="s">
        <v>2937</v>
      </c>
      <c r="O949" s="1" t="s">
        <v>2934</v>
      </c>
      <c r="P949">
        <v>30</v>
      </c>
      <c r="Q949">
        <v>30</v>
      </c>
      <c r="R949">
        <v>0</v>
      </c>
      <c r="S949">
        <f t="shared" si="134"/>
        <v>30</v>
      </c>
      <c r="T949" s="1" t="s">
        <v>2935</v>
      </c>
      <c r="U949" s="1" t="s">
        <v>2932</v>
      </c>
      <c r="V949" s="3">
        <f t="shared" si="135"/>
        <v>40000</v>
      </c>
      <c r="W949" s="3">
        <f t="shared" si="136"/>
        <v>16000</v>
      </c>
      <c r="X949" s="3">
        <f t="shared" si="128"/>
        <v>1250</v>
      </c>
      <c r="Y949" s="3">
        <f t="shared" si="129"/>
        <v>1600</v>
      </c>
      <c r="Z949" s="3">
        <f t="shared" si="130"/>
        <v>1800</v>
      </c>
      <c r="AA949" s="3">
        <v>0</v>
      </c>
      <c r="AB949" s="3">
        <f>ROUND(U949 - (V949+W949+X949+Y949) - (U949/Q949 * 2),0)</f>
        <v>34483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f>SUM(V949+W949+X949+Y949+AB949)</f>
        <v>93333</v>
      </c>
      <c r="AK949" s="3">
        <f>SUM(AJ949-AA949)</f>
        <v>93333</v>
      </c>
      <c r="AL949" s="3">
        <f>IF(V949&lt;=15000,V949*12%,1800)</f>
        <v>1800</v>
      </c>
      <c r="AM949" s="3">
        <v>0</v>
      </c>
      <c r="AN949" s="3">
        <f t="shared" si="131"/>
        <v>1800</v>
      </c>
      <c r="AO949" s="12">
        <v>200</v>
      </c>
      <c r="AP949" s="12">
        <v>0</v>
      </c>
      <c r="AQ949" s="12">
        <v>0</v>
      </c>
      <c r="AR949" s="12">
        <v>0</v>
      </c>
      <c r="AS949" s="12">
        <v>0</v>
      </c>
      <c r="AT949" s="12">
        <v>0</v>
      </c>
      <c r="AU949" s="3">
        <f t="shared" si="133"/>
        <v>200</v>
      </c>
      <c r="AV949" s="3">
        <f>SUM(AJ949 - AN949 - AU949)</f>
        <v>91333</v>
      </c>
      <c r="AW949" s="11">
        <v>0</v>
      </c>
      <c r="AX949" s="11">
        <v>0</v>
      </c>
      <c r="AY949" s="11">
        <v>0</v>
      </c>
      <c r="AZ949" s="11">
        <v>0</v>
      </c>
      <c r="BA949" s="3">
        <f t="shared" si="132"/>
        <v>91333</v>
      </c>
    </row>
    <row r="950" spans="1:53" x14ac:dyDescent="0.25">
      <c r="A950" s="1" t="s">
        <v>948</v>
      </c>
      <c r="B950" s="9" t="s">
        <v>2832</v>
      </c>
      <c r="C950" s="9" t="s">
        <v>1242</v>
      </c>
      <c r="D950" s="9" t="s">
        <v>2833</v>
      </c>
      <c r="E950" s="9" t="s">
        <v>1012</v>
      </c>
      <c r="F950" s="10">
        <v>44225</v>
      </c>
      <c r="G950" s="9" t="s">
        <v>1019</v>
      </c>
      <c r="I950" s="9" t="s">
        <v>1014</v>
      </c>
      <c r="J950" s="9" t="s">
        <v>1015</v>
      </c>
      <c r="K950" s="8" t="s">
        <v>1006</v>
      </c>
      <c r="L950" s="8" t="s">
        <v>1007</v>
      </c>
      <c r="M950" s="8" t="s">
        <v>2933</v>
      </c>
      <c r="N950" s="8" t="s">
        <v>2937</v>
      </c>
      <c r="O950" s="1" t="s">
        <v>2934</v>
      </c>
      <c r="P950">
        <v>30</v>
      </c>
      <c r="Q950">
        <v>30</v>
      </c>
      <c r="R950">
        <v>0</v>
      </c>
      <c r="S950">
        <f t="shared" si="134"/>
        <v>30</v>
      </c>
      <c r="T950" s="1" t="s">
        <v>2935</v>
      </c>
      <c r="U950" s="1" t="s">
        <v>2932</v>
      </c>
      <c r="V950" s="3">
        <f t="shared" si="135"/>
        <v>40000</v>
      </c>
      <c r="W950" s="3">
        <f t="shared" si="136"/>
        <v>16000</v>
      </c>
      <c r="X950" s="3">
        <f t="shared" si="128"/>
        <v>1250</v>
      </c>
      <c r="Y950" s="3">
        <f t="shared" si="129"/>
        <v>1600</v>
      </c>
      <c r="Z950" s="3">
        <f t="shared" si="130"/>
        <v>1800</v>
      </c>
      <c r="AA950" s="3">
        <v>0</v>
      </c>
      <c r="AB950" s="3">
        <f>ROUND(U950 - (V950+W950+X950+Y950) - (U950/Q950 * 2),0)</f>
        <v>34483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f>SUM(V950+W950+X950+Y950+AB950)</f>
        <v>93333</v>
      </c>
      <c r="AK950" s="3">
        <f>SUM(AJ950-AA950)</f>
        <v>93333</v>
      </c>
      <c r="AL950" s="3">
        <f>IF(V950&lt;=15000,V950*12%,1800)</f>
        <v>1800</v>
      </c>
      <c r="AM950" s="3">
        <v>0</v>
      </c>
      <c r="AN950" s="3">
        <f t="shared" si="131"/>
        <v>1800</v>
      </c>
      <c r="AO950" s="12">
        <v>200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3">
        <f t="shared" si="133"/>
        <v>200</v>
      </c>
      <c r="AV950" s="3">
        <f>SUM(AJ950 - AN950 - AU950)</f>
        <v>91333</v>
      </c>
      <c r="AW950" s="11">
        <v>0</v>
      </c>
      <c r="AX950" s="11">
        <v>0</v>
      </c>
      <c r="AY950" s="11">
        <v>0</v>
      </c>
      <c r="AZ950" s="11">
        <v>0</v>
      </c>
      <c r="BA950" s="3">
        <f t="shared" si="132"/>
        <v>91333</v>
      </c>
    </row>
    <row r="951" spans="1:53" x14ac:dyDescent="0.25">
      <c r="A951" s="1" t="s">
        <v>949</v>
      </c>
      <c r="B951" s="9" t="s">
        <v>1311</v>
      </c>
      <c r="C951" s="9" t="s">
        <v>2830</v>
      </c>
      <c r="D951" s="9" t="s">
        <v>2831</v>
      </c>
      <c r="E951" s="9" t="s">
        <v>1012</v>
      </c>
      <c r="F951" s="10">
        <v>43861</v>
      </c>
      <c r="G951" s="9" t="s">
        <v>1019</v>
      </c>
      <c r="I951" s="9" t="s">
        <v>1020</v>
      </c>
      <c r="J951" s="9" t="s">
        <v>1048</v>
      </c>
      <c r="K951" s="8" t="s">
        <v>1006</v>
      </c>
      <c r="L951" s="8" t="s">
        <v>1007</v>
      </c>
      <c r="M951" s="8" t="s">
        <v>2933</v>
      </c>
      <c r="N951" s="8" t="s">
        <v>2937</v>
      </c>
      <c r="O951" s="1" t="s">
        <v>2934</v>
      </c>
      <c r="P951">
        <v>30</v>
      </c>
      <c r="Q951">
        <v>30</v>
      </c>
      <c r="R951">
        <v>0</v>
      </c>
      <c r="S951">
        <f t="shared" si="134"/>
        <v>30</v>
      </c>
      <c r="T951" s="1" t="s">
        <v>2935</v>
      </c>
      <c r="U951" s="1" t="s">
        <v>2932</v>
      </c>
      <c r="V951" s="3">
        <f t="shared" si="135"/>
        <v>40000</v>
      </c>
      <c r="W951" s="3">
        <f t="shared" si="136"/>
        <v>16000</v>
      </c>
      <c r="X951" s="3">
        <f t="shared" si="128"/>
        <v>1250</v>
      </c>
      <c r="Y951" s="3">
        <f t="shared" si="129"/>
        <v>1600</v>
      </c>
      <c r="Z951" s="3">
        <f t="shared" si="130"/>
        <v>1800</v>
      </c>
      <c r="AA951" s="3">
        <v>0</v>
      </c>
      <c r="AB951" s="3">
        <f>ROUND(U951 - (V951+W951+X951+Y951) - (U951/Q951 * 2),0)</f>
        <v>34483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f>SUM(V951+W951+X951+Y951+AB951)</f>
        <v>93333</v>
      </c>
      <c r="AK951" s="3">
        <f>SUM(AJ951-AA951)</f>
        <v>93333</v>
      </c>
      <c r="AL951" s="3">
        <f>IF(V951&lt;=15000,V951*12%,1800)</f>
        <v>1800</v>
      </c>
      <c r="AM951" s="3">
        <v>0</v>
      </c>
      <c r="AN951" s="3">
        <f t="shared" si="131"/>
        <v>1800</v>
      </c>
      <c r="AO951" s="12">
        <v>200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3">
        <f t="shared" si="133"/>
        <v>200</v>
      </c>
      <c r="AV951" s="3">
        <f>SUM(AJ951 - AN951 - AU951)</f>
        <v>91333</v>
      </c>
      <c r="AW951" s="11">
        <v>0</v>
      </c>
      <c r="AX951" s="11">
        <v>0</v>
      </c>
      <c r="AY951" s="11">
        <v>0</v>
      </c>
      <c r="AZ951" s="11">
        <v>0</v>
      </c>
      <c r="BA951" s="3">
        <f t="shared" si="132"/>
        <v>91333</v>
      </c>
    </row>
    <row r="952" spans="1:53" x14ac:dyDescent="0.25">
      <c r="A952" s="1" t="s">
        <v>950</v>
      </c>
      <c r="B952" s="9" t="s">
        <v>2828</v>
      </c>
      <c r="C952" s="9" t="s">
        <v>2782</v>
      </c>
      <c r="D952" s="9" t="s">
        <v>2829</v>
      </c>
      <c r="E952" s="9" t="s">
        <v>1008</v>
      </c>
      <c r="F952" s="10">
        <v>45323</v>
      </c>
      <c r="G952" s="9" t="s">
        <v>1019</v>
      </c>
      <c r="I952" s="9" t="s">
        <v>1042</v>
      </c>
      <c r="J952" s="9" t="s">
        <v>1048</v>
      </c>
      <c r="K952" s="8" t="s">
        <v>1006</v>
      </c>
      <c r="L952" s="8" t="s">
        <v>1007</v>
      </c>
      <c r="M952" s="8" t="s">
        <v>2933</v>
      </c>
      <c r="N952" s="8" t="s">
        <v>2937</v>
      </c>
      <c r="O952" s="1" t="s">
        <v>2934</v>
      </c>
      <c r="P952">
        <v>30</v>
      </c>
      <c r="Q952">
        <v>30</v>
      </c>
      <c r="R952">
        <v>0</v>
      </c>
      <c r="S952">
        <f t="shared" si="134"/>
        <v>30</v>
      </c>
      <c r="T952" s="1" t="s">
        <v>2935</v>
      </c>
      <c r="U952" s="1" t="s">
        <v>2932</v>
      </c>
      <c r="V952" s="3">
        <f t="shared" si="135"/>
        <v>40000</v>
      </c>
      <c r="W952" s="3">
        <f t="shared" si="136"/>
        <v>16000</v>
      </c>
      <c r="X952" s="3">
        <f t="shared" si="128"/>
        <v>1250</v>
      </c>
      <c r="Y952" s="3">
        <f t="shared" si="129"/>
        <v>1600</v>
      </c>
      <c r="Z952" s="3">
        <f t="shared" si="130"/>
        <v>1800</v>
      </c>
      <c r="AA952" s="3">
        <v>0</v>
      </c>
      <c r="AB952" s="3">
        <f>ROUND(U952 - (V952+W952+X952+Y952) - (U952/Q952 * 2),0)</f>
        <v>34483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f>SUM(V952+W952+X952+Y952+AB952)</f>
        <v>93333</v>
      </c>
      <c r="AK952" s="3">
        <f>SUM(AJ952-AA952)</f>
        <v>93333</v>
      </c>
      <c r="AL952" s="3">
        <f>IF(V952&lt;=15000,V952*12%,1800)</f>
        <v>1800</v>
      </c>
      <c r="AM952" s="3">
        <v>0</v>
      </c>
      <c r="AN952" s="3">
        <f t="shared" si="131"/>
        <v>1800</v>
      </c>
      <c r="AO952" s="12">
        <v>200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3">
        <f t="shared" si="133"/>
        <v>200</v>
      </c>
      <c r="AV952" s="3">
        <f>SUM(AJ952 - AN952 - AU952)</f>
        <v>91333</v>
      </c>
      <c r="AW952" s="11">
        <v>0</v>
      </c>
      <c r="AX952" s="11">
        <v>0</v>
      </c>
      <c r="AY952" s="11">
        <v>0</v>
      </c>
      <c r="AZ952" s="11">
        <v>0</v>
      </c>
      <c r="BA952" s="3">
        <f t="shared" si="132"/>
        <v>91333</v>
      </c>
    </row>
    <row r="953" spans="1:53" x14ac:dyDescent="0.25">
      <c r="A953" s="1" t="s">
        <v>951</v>
      </c>
      <c r="B953" s="9" t="s">
        <v>2826</v>
      </c>
      <c r="C953" s="9" t="s">
        <v>1115</v>
      </c>
      <c r="D953" s="9" t="s">
        <v>2827</v>
      </c>
      <c r="E953" s="9" t="s">
        <v>1012</v>
      </c>
      <c r="F953" s="10">
        <v>43906</v>
      </c>
      <c r="G953" s="9" t="s">
        <v>1019</v>
      </c>
      <c r="I953" s="9" t="s">
        <v>1035</v>
      </c>
      <c r="J953" s="9" t="s">
        <v>1048</v>
      </c>
      <c r="K953" s="8" t="s">
        <v>1006</v>
      </c>
      <c r="L953" s="8" t="s">
        <v>1007</v>
      </c>
      <c r="M953" s="8" t="s">
        <v>2933</v>
      </c>
      <c r="N953" s="8" t="s">
        <v>2937</v>
      </c>
      <c r="O953" s="1" t="s">
        <v>2934</v>
      </c>
      <c r="P953">
        <v>30</v>
      </c>
      <c r="Q953">
        <v>30</v>
      </c>
      <c r="R953">
        <v>0</v>
      </c>
      <c r="S953">
        <f t="shared" si="134"/>
        <v>30</v>
      </c>
      <c r="T953" s="1" t="s">
        <v>2935</v>
      </c>
      <c r="U953" s="1" t="s">
        <v>2932</v>
      </c>
      <c r="V953" s="3">
        <f t="shared" si="135"/>
        <v>40000</v>
      </c>
      <c r="W953" s="3">
        <f t="shared" si="136"/>
        <v>16000</v>
      </c>
      <c r="X953" s="3">
        <f t="shared" si="128"/>
        <v>1250</v>
      </c>
      <c r="Y953" s="3">
        <f t="shared" si="129"/>
        <v>1600</v>
      </c>
      <c r="Z953" s="3">
        <f t="shared" si="130"/>
        <v>1800</v>
      </c>
      <c r="AA953" s="3">
        <v>0</v>
      </c>
      <c r="AB953" s="3">
        <f>ROUND(U953 - (V953+W953+X953+Y953) - (U953/Q953 * 2),0)</f>
        <v>34483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f>SUM(V953+W953+X953+Y953+AB953)</f>
        <v>93333</v>
      </c>
      <c r="AK953" s="3">
        <f>SUM(AJ953-AA953)</f>
        <v>93333</v>
      </c>
      <c r="AL953" s="3">
        <f>IF(V953&lt;=15000,V953*12%,1800)</f>
        <v>1800</v>
      </c>
      <c r="AM953" s="3">
        <v>0</v>
      </c>
      <c r="AN953" s="3">
        <f t="shared" si="131"/>
        <v>1800</v>
      </c>
      <c r="AO953" s="12">
        <v>200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3">
        <f t="shared" si="133"/>
        <v>200</v>
      </c>
      <c r="AV953" s="3">
        <f>SUM(AJ953 - AN953 - AU953)</f>
        <v>91333</v>
      </c>
      <c r="AW953" s="11">
        <v>0</v>
      </c>
      <c r="AX953" s="11">
        <v>0</v>
      </c>
      <c r="AY953" s="11">
        <v>0</v>
      </c>
      <c r="AZ953" s="11">
        <v>0</v>
      </c>
      <c r="BA953" s="3">
        <f t="shared" si="132"/>
        <v>91333</v>
      </c>
    </row>
    <row r="954" spans="1:53" x14ac:dyDescent="0.25">
      <c r="A954" s="1" t="s">
        <v>952</v>
      </c>
      <c r="B954" s="9" t="s">
        <v>2824</v>
      </c>
      <c r="C954" s="9" t="s">
        <v>1115</v>
      </c>
      <c r="D954" s="9" t="s">
        <v>2825</v>
      </c>
      <c r="E954" s="9" t="s">
        <v>1012</v>
      </c>
      <c r="F954" s="10">
        <v>43906</v>
      </c>
      <c r="G954" s="9" t="s">
        <v>1013</v>
      </c>
      <c r="I954" s="9" t="s">
        <v>1209</v>
      </c>
      <c r="J954" s="9" t="s">
        <v>1048</v>
      </c>
      <c r="K954" s="8" t="s">
        <v>1006</v>
      </c>
      <c r="L954" s="8" t="s">
        <v>1007</v>
      </c>
      <c r="M954" s="8" t="s">
        <v>2933</v>
      </c>
      <c r="N954" s="8" t="s">
        <v>2937</v>
      </c>
      <c r="O954" s="1" t="s">
        <v>2934</v>
      </c>
      <c r="P954">
        <v>30</v>
      </c>
      <c r="Q954">
        <v>30</v>
      </c>
      <c r="R954">
        <v>0</v>
      </c>
      <c r="S954">
        <f t="shared" si="134"/>
        <v>30</v>
      </c>
      <c r="T954" s="1" t="s">
        <v>2935</v>
      </c>
      <c r="U954" s="1" t="s">
        <v>2932</v>
      </c>
      <c r="V954" s="3">
        <f t="shared" si="135"/>
        <v>40000</v>
      </c>
      <c r="W954" s="3">
        <f t="shared" si="136"/>
        <v>16000</v>
      </c>
      <c r="X954" s="3">
        <f t="shared" si="128"/>
        <v>1250</v>
      </c>
      <c r="Y954" s="3">
        <f t="shared" si="129"/>
        <v>1600</v>
      </c>
      <c r="Z954" s="3">
        <f t="shared" si="130"/>
        <v>1800</v>
      </c>
      <c r="AA954" s="3">
        <v>0</v>
      </c>
      <c r="AB954" s="3">
        <f>ROUND(U954 - (V954+W954+X954+Y954) - (U954/Q954 * 2),0)</f>
        <v>34483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f>SUM(V954+W954+X954+Y954+AB954)</f>
        <v>93333</v>
      </c>
      <c r="AK954" s="3">
        <f>SUM(AJ954-AA954)</f>
        <v>93333</v>
      </c>
      <c r="AL954" s="3">
        <f>IF(V954&lt;=15000,V954*12%,1800)</f>
        <v>1800</v>
      </c>
      <c r="AM954" s="3">
        <v>0</v>
      </c>
      <c r="AN954" s="3">
        <f t="shared" si="131"/>
        <v>1800</v>
      </c>
      <c r="AO954" s="12">
        <v>200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3">
        <f t="shared" si="133"/>
        <v>200</v>
      </c>
      <c r="AV954" s="3">
        <f>SUM(AJ954 - AN954 - AU954)</f>
        <v>91333</v>
      </c>
      <c r="AW954" s="11">
        <v>0</v>
      </c>
      <c r="AX954" s="11">
        <v>0</v>
      </c>
      <c r="AY954" s="11">
        <v>0</v>
      </c>
      <c r="AZ954" s="11">
        <v>0</v>
      </c>
      <c r="BA954" s="3">
        <f t="shared" si="132"/>
        <v>91333</v>
      </c>
    </row>
    <row r="955" spans="1:53" x14ac:dyDescent="0.25">
      <c r="A955" s="1" t="s">
        <v>953</v>
      </c>
      <c r="B955" s="9" t="s">
        <v>2822</v>
      </c>
      <c r="C955" s="9" t="s">
        <v>1115</v>
      </c>
      <c r="D955" s="9" t="s">
        <v>2823</v>
      </c>
      <c r="E955" s="9" t="s">
        <v>1012</v>
      </c>
      <c r="F955" s="10">
        <v>43913</v>
      </c>
      <c r="G955" s="9" t="s">
        <v>1019</v>
      </c>
      <c r="I955" s="9" t="s">
        <v>1035</v>
      </c>
      <c r="J955" s="9" t="s">
        <v>1048</v>
      </c>
      <c r="K955" s="8" t="s">
        <v>1006</v>
      </c>
      <c r="L955" s="8" t="s">
        <v>1007</v>
      </c>
      <c r="M955" s="8" t="s">
        <v>2933</v>
      </c>
      <c r="N955" s="8" t="s">
        <v>2937</v>
      </c>
      <c r="O955" s="1" t="s">
        <v>2934</v>
      </c>
      <c r="P955">
        <v>30</v>
      </c>
      <c r="Q955">
        <v>30</v>
      </c>
      <c r="R955">
        <v>0</v>
      </c>
      <c r="S955">
        <f t="shared" si="134"/>
        <v>30</v>
      </c>
      <c r="T955" s="1" t="s">
        <v>2935</v>
      </c>
      <c r="U955" s="1" t="s">
        <v>2932</v>
      </c>
      <c r="V955" s="3">
        <f t="shared" si="135"/>
        <v>40000</v>
      </c>
      <c r="W955" s="3">
        <f t="shared" si="136"/>
        <v>16000</v>
      </c>
      <c r="X955" s="3">
        <f t="shared" si="128"/>
        <v>1250</v>
      </c>
      <c r="Y955" s="3">
        <f t="shared" si="129"/>
        <v>1600</v>
      </c>
      <c r="Z955" s="3">
        <f t="shared" si="130"/>
        <v>1800</v>
      </c>
      <c r="AA955" s="3">
        <v>0</v>
      </c>
      <c r="AB955" s="3">
        <f>ROUND(U955 - (V955+W955+X955+Y955) - (U955/Q955 * 2),0)</f>
        <v>34483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f>SUM(V955+W955+X955+Y955+AB955)</f>
        <v>93333</v>
      </c>
      <c r="AK955" s="3">
        <f>SUM(AJ955-AA955)</f>
        <v>93333</v>
      </c>
      <c r="AL955" s="3">
        <f>IF(V955&lt;=15000,V955*12%,1800)</f>
        <v>1800</v>
      </c>
      <c r="AM955" s="3">
        <v>0</v>
      </c>
      <c r="AN955" s="3">
        <f t="shared" si="131"/>
        <v>1800</v>
      </c>
      <c r="AO955" s="12">
        <v>200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3">
        <f t="shared" si="133"/>
        <v>200</v>
      </c>
      <c r="AV955" s="3">
        <f>SUM(AJ955 - AN955 - AU955)</f>
        <v>91333</v>
      </c>
      <c r="AW955" s="11">
        <v>0</v>
      </c>
      <c r="AX955" s="11">
        <v>0</v>
      </c>
      <c r="AY955" s="11">
        <v>0</v>
      </c>
      <c r="AZ955" s="11">
        <v>0</v>
      </c>
      <c r="BA955" s="3">
        <f t="shared" si="132"/>
        <v>91333</v>
      </c>
    </row>
    <row r="956" spans="1:53" x14ac:dyDescent="0.25">
      <c r="A956" s="1" t="s">
        <v>954</v>
      </c>
      <c r="B956" s="9" t="s">
        <v>2820</v>
      </c>
      <c r="C956" s="9" t="s">
        <v>1115</v>
      </c>
      <c r="D956" s="9" t="s">
        <v>2821</v>
      </c>
      <c r="E956" s="9" t="s">
        <v>1012</v>
      </c>
      <c r="F956" s="10">
        <v>43913</v>
      </c>
      <c r="G956" s="9" t="s">
        <v>1019</v>
      </c>
      <c r="I956" s="9" t="s">
        <v>1035</v>
      </c>
      <c r="J956" s="9" t="s">
        <v>1048</v>
      </c>
      <c r="K956" s="8" t="s">
        <v>1006</v>
      </c>
      <c r="L956" s="8" t="s">
        <v>1007</v>
      </c>
      <c r="M956" s="8" t="s">
        <v>2933</v>
      </c>
      <c r="N956" s="8" t="s">
        <v>2937</v>
      </c>
      <c r="O956" s="1" t="s">
        <v>2934</v>
      </c>
      <c r="P956">
        <v>30</v>
      </c>
      <c r="Q956">
        <v>30</v>
      </c>
      <c r="R956">
        <v>0</v>
      </c>
      <c r="S956">
        <f t="shared" si="134"/>
        <v>30</v>
      </c>
      <c r="T956" s="1" t="s">
        <v>2935</v>
      </c>
      <c r="U956" s="1" t="s">
        <v>2932</v>
      </c>
      <c r="V956" s="3">
        <f t="shared" si="135"/>
        <v>40000</v>
      </c>
      <c r="W956" s="3">
        <f t="shared" si="136"/>
        <v>16000</v>
      </c>
      <c r="X956" s="3">
        <f t="shared" si="128"/>
        <v>1250</v>
      </c>
      <c r="Y956" s="3">
        <f t="shared" si="129"/>
        <v>1600</v>
      </c>
      <c r="Z956" s="3">
        <f t="shared" si="130"/>
        <v>1800</v>
      </c>
      <c r="AA956" s="3">
        <v>0</v>
      </c>
      <c r="AB956" s="3">
        <f>ROUND(U956 - (V956+W956+X956+Y956) - (U956/Q956 * 2),0)</f>
        <v>34483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f>SUM(V956+W956+X956+Y956+AB956)</f>
        <v>93333</v>
      </c>
      <c r="AK956" s="3">
        <f>SUM(AJ956-AA956)</f>
        <v>93333</v>
      </c>
      <c r="AL956" s="3">
        <f>IF(V956&lt;=15000,V956*12%,1800)</f>
        <v>1800</v>
      </c>
      <c r="AM956" s="3">
        <v>0</v>
      </c>
      <c r="AN956" s="3">
        <f t="shared" si="131"/>
        <v>1800</v>
      </c>
      <c r="AO956" s="12">
        <v>200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3">
        <f t="shared" si="133"/>
        <v>200</v>
      </c>
      <c r="AV956" s="3">
        <f>SUM(AJ956 - AN956 - AU956)</f>
        <v>91333</v>
      </c>
      <c r="AW956" s="11">
        <v>0</v>
      </c>
      <c r="AX956" s="11">
        <v>0</v>
      </c>
      <c r="AY956" s="11">
        <v>0</v>
      </c>
      <c r="AZ956" s="11">
        <v>0</v>
      </c>
      <c r="BA956" s="3">
        <f t="shared" si="132"/>
        <v>91333</v>
      </c>
    </row>
    <row r="957" spans="1:53" x14ac:dyDescent="0.25">
      <c r="A957" s="1" t="s">
        <v>955</v>
      </c>
      <c r="B957" s="9" t="s">
        <v>2818</v>
      </c>
      <c r="C957" s="9" t="s">
        <v>1320</v>
      </c>
      <c r="D957" s="9" t="s">
        <v>2819</v>
      </c>
      <c r="E957" s="9" t="s">
        <v>1008</v>
      </c>
      <c r="F957" s="10">
        <v>43929</v>
      </c>
      <c r="G957" s="9" t="s">
        <v>1013</v>
      </c>
      <c r="I957" s="9" t="s">
        <v>1014</v>
      </c>
      <c r="J957" s="9" t="s">
        <v>1015</v>
      </c>
      <c r="K957" s="8" t="s">
        <v>1006</v>
      </c>
      <c r="L957" s="8" t="s">
        <v>1007</v>
      </c>
      <c r="M957" s="8" t="s">
        <v>2933</v>
      </c>
      <c r="N957" s="8" t="s">
        <v>2937</v>
      </c>
      <c r="O957" s="1" t="s">
        <v>2934</v>
      </c>
      <c r="P957">
        <v>30</v>
      </c>
      <c r="Q957">
        <v>30</v>
      </c>
      <c r="R957">
        <v>0</v>
      </c>
      <c r="S957">
        <f t="shared" si="134"/>
        <v>30</v>
      </c>
      <c r="T957" s="1" t="s">
        <v>2935</v>
      </c>
      <c r="U957" s="1" t="s">
        <v>2932</v>
      </c>
      <c r="V957" s="3">
        <f t="shared" si="135"/>
        <v>40000</v>
      </c>
      <c r="W957" s="3">
        <f t="shared" si="136"/>
        <v>16000</v>
      </c>
      <c r="X957" s="3">
        <f t="shared" si="128"/>
        <v>1250</v>
      </c>
      <c r="Y957" s="3">
        <f t="shared" si="129"/>
        <v>1600</v>
      </c>
      <c r="Z957" s="3">
        <f t="shared" si="130"/>
        <v>1800</v>
      </c>
      <c r="AA957" s="3">
        <v>0</v>
      </c>
      <c r="AB957" s="3">
        <f>ROUND(U957 - (V957+W957+X957+Y957) - (U957/Q957 * 2),0)</f>
        <v>34483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f>SUM(V957+W957+X957+Y957+AB957)</f>
        <v>93333</v>
      </c>
      <c r="AK957" s="3">
        <f>SUM(AJ957-AA957)</f>
        <v>93333</v>
      </c>
      <c r="AL957" s="3">
        <f>IF(V957&lt;=15000,V957*12%,1800)</f>
        <v>1800</v>
      </c>
      <c r="AM957" s="3">
        <v>0</v>
      </c>
      <c r="AN957" s="3">
        <f t="shared" si="131"/>
        <v>1800</v>
      </c>
      <c r="AO957" s="12">
        <v>200</v>
      </c>
      <c r="AP957" s="12">
        <v>0</v>
      </c>
      <c r="AQ957" s="12">
        <v>0</v>
      </c>
      <c r="AR957" s="12">
        <v>0</v>
      </c>
      <c r="AS957" s="12">
        <v>0</v>
      </c>
      <c r="AT957" s="12">
        <v>0</v>
      </c>
      <c r="AU957" s="3">
        <f t="shared" si="133"/>
        <v>200</v>
      </c>
      <c r="AV957" s="3">
        <f>SUM(AJ957 - AN957 - AU957)</f>
        <v>91333</v>
      </c>
      <c r="AW957" s="11">
        <v>0</v>
      </c>
      <c r="AX957" s="11">
        <v>0</v>
      </c>
      <c r="AY957" s="11">
        <v>0</v>
      </c>
      <c r="AZ957" s="11">
        <v>0</v>
      </c>
      <c r="BA957" s="3">
        <f t="shared" si="132"/>
        <v>91333</v>
      </c>
    </row>
    <row r="958" spans="1:53" x14ac:dyDescent="0.25">
      <c r="A958" s="1" t="s">
        <v>956</v>
      </c>
      <c r="B958" s="9" t="s">
        <v>2816</v>
      </c>
      <c r="C958" s="9" t="s">
        <v>1115</v>
      </c>
      <c r="D958" s="9" t="s">
        <v>2817</v>
      </c>
      <c r="E958" s="9" t="s">
        <v>1012</v>
      </c>
      <c r="F958" s="10">
        <v>43922</v>
      </c>
      <c r="G958" s="9" t="s">
        <v>1019</v>
      </c>
      <c r="I958" s="9" t="s">
        <v>1035</v>
      </c>
      <c r="J958" s="9" t="s">
        <v>1048</v>
      </c>
      <c r="K958" s="8" t="s">
        <v>1006</v>
      </c>
      <c r="L958" s="8" t="s">
        <v>1007</v>
      </c>
      <c r="M958" s="8" t="s">
        <v>2933</v>
      </c>
      <c r="N958" s="8" t="s">
        <v>2937</v>
      </c>
      <c r="O958" s="1" t="s">
        <v>2934</v>
      </c>
      <c r="P958">
        <v>30</v>
      </c>
      <c r="Q958">
        <v>30</v>
      </c>
      <c r="R958">
        <v>0</v>
      </c>
      <c r="S958">
        <f t="shared" si="134"/>
        <v>30</v>
      </c>
      <c r="T958" s="1" t="s">
        <v>2935</v>
      </c>
      <c r="U958" s="1" t="s">
        <v>2932</v>
      </c>
      <c r="V958" s="3">
        <f t="shared" si="135"/>
        <v>40000</v>
      </c>
      <c r="W958" s="3">
        <f t="shared" si="136"/>
        <v>16000</v>
      </c>
      <c r="X958" s="3">
        <f t="shared" si="128"/>
        <v>1250</v>
      </c>
      <c r="Y958" s="3">
        <f t="shared" si="129"/>
        <v>1600</v>
      </c>
      <c r="Z958" s="3">
        <f t="shared" si="130"/>
        <v>1800</v>
      </c>
      <c r="AA958" s="3">
        <v>0</v>
      </c>
      <c r="AB958" s="3">
        <f>ROUND(U958 - (V958+W958+X958+Y958) - (U958/Q958 * 2),0)</f>
        <v>34483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f>SUM(V958+W958+X958+Y958+AB958)</f>
        <v>93333</v>
      </c>
      <c r="AK958" s="3">
        <f>SUM(AJ958-AA958)</f>
        <v>93333</v>
      </c>
      <c r="AL958" s="3">
        <f>IF(V958&lt;=15000,V958*12%,1800)</f>
        <v>1800</v>
      </c>
      <c r="AM958" s="3">
        <v>0</v>
      </c>
      <c r="AN958" s="3">
        <f t="shared" si="131"/>
        <v>1800</v>
      </c>
      <c r="AO958" s="12">
        <v>200</v>
      </c>
      <c r="AP958" s="12">
        <v>0</v>
      </c>
      <c r="AQ958" s="12">
        <v>0</v>
      </c>
      <c r="AR958" s="12">
        <v>0</v>
      </c>
      <c r="AS958" s="12">
        <v>0</v>
      </c>
      <c r="AT958" s="12">
        <v>0</v>
      </c>
      <c r="AU958" s="3">
        <f t="shared" si="133"/>
        <v>200</v>
      </c>
      <c r="AV958" s="3">
        <f>SUM(AJ958 - AN958 - AU958)</f>
        <v>91333</v>
      </c>
      <c r="AW958" s="11">
        <v>0</v>
      </c>
      <c r="AX958" s="11">
        <v>0</v>
      </c>
      <c r="AY958" s="11">
        <v>0</v>
      </c>
      <c r="AZ958" s="11">
        <v>0</v>
      </c>
      <c r="BA958" s="3">
        <f t="shared" si="132"/>
        <v>91333</v>
      </c>
    </row>
    <row r="959" spans="1:53" x14ac:dyDescent="0.25">
      <c r="A959" s="1" t="s">
        <v>957</v>
      </c>
      <c r="B959" s="9" t="s">
        <v>2871</v>
      </c>
      <c r="C959" s="9" t="s">
        <v>1519</v>
      </c>
      <c r="D959" s="9" t="s">
        <v>2872</v>
      </c>
      <c r="E959" s="9" t="s">
        <v>1012</v>
      </c>
      <c r="F959" s="10">
        <v>43927</v>
      </c>
      <c r="G959" s="9" t="s">
        <v>1013</v>
      </c>
      <c r="I959" s="9" t="s">
        <v>1042</v>
      </c>
      <c r="J959" s="9" t="s">
        <v>1440</v>
      </c>
      <c r="K959" s="8" t="s">
        <v>1006</v>
      </c>
      <c r="L959" s="8" t="s">
        <v>1007</v>
      </c>
      <c r="M959" s="8" t="s">
        <v>2933</v>
      </c>
      <c r="N959" s="8" t="s">
        <v>2937</v>
      </c>
      <c r="O959" s="1" t="s">
        <v>2934</v>
      </c>
      <c r="P959">
        <v>30</v>
      </c>
      <c r="Q959">
        <v>30</v>
      </c>
      <c r="R959">
        <v>0</v>
      </c>
      <c r="S959">
        <f t="shared" si="134"/>
        <v>30</v>
      </c>
      <c r="T959" s="1" t="s">
        <v>2935</v>
      </c>
      <c r="U959" s="1" t="s">
        <v>2932</v>
      </c>
      <c r="V959" s="3">
        <f t="shared" si="135"/>
        <v>40000</v>
      </c>
      <c r="W959" s="3">
        <f t="shared" si="136"/>
        <v>16000</v>
      </c>
      <c r="X959" s="3">
        <f t="shared" si="128"/>
        <v>1250</v>
      </c>
      <c r="Y959" s="3">
        <f t="shared" si="129"/>
        <v>1600</v>
      </c>
      <c r="Z959" s="3">
        <f t="shared" si="130"/>
        <v>1800</v>
      </c>
      <c r="AA959" s="3">
        <v>0</v>
      </c>
      <c r="AB959" s="3">
        <f>ROUND(U959 - (V959+W959+X959+Y959) - (U959/Q959 * 2),0)</f>
        <v>34483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f>SUM(V959+W959+X959+Y959+AB959)</f>
        <v>93333</v>
      </c>
      <c r="AK959" s="3">
        <f>SUM(AJ959-AA959)</f>
        <v>93333</v>
      </c>
      <c r="AL959" s="3">
        <f>IF(V959&lt;=15000,V959*12%,1800)</f>
        <v>1800</v>
      </c>
      <c r="AM959" s="3">
        <v>0</v>
      </c>
      <c r="AN959" s="3">
        <f t="shared" si="131"/>
        <v>1800</v>
      </c>
      <c r="AO959" s="12">
        <v>200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3">
        <f t="shared" si="133"/>
        <v>200</v>
      </c>
      <c r="AV959" s="3">
        <f>SUM(AJ959 - AN959 - AU959)</f>
        <v>91333</v>
      </c>
      <c r="AW959" s="11">
        <v>0</v>
      </c>
      <c r="AX959" s="11">
        <v>0</v>
      </c>
      <c r="AY959" s="11">
        <v>0</v>
      </c>
      <c r="AZ959" s="11">
        <v>0</v>
      </c>
      <c r="BA959" s="3">
        <f t="shared" si="132"/>
        <v>91333</v>
      </c>
    </row>
    <row r="960" spans="1:53" x14ac:dyDescent="0.25">
      <c r="A960" s="1" t="s">
        <v>958</v>
      </c>
      <c r="B960" s="9" t="s">
        <v>2869</v>
      </c>
      <c r="C960" s="9" t="s">
        <v>1320</v>
      </c>
      <c r="D960" s="9" t="s">
        <v>2870</v>
      </c>
      <c r="E960" s="9" t="s">
        <v>1012</v>
      </c>
      <c r="F960" s="10">
        <v>43997</v>
      </c>
      <c r="G960" s="9" t="s">
        <v>1019</v>
      </c>
      <c r="I960" s="9" t="s">
        <v>1014</v>
      </c>
      <c r="J960" s="9" t="s">
        <v>1015</v>
      </c>
      <c r="K960" s="8" t="s">
        <v>1006</v>
      </c>
      <c r="L960" s="8" t="s">
        <v>1007</v>
      </c>
      <c r="M960" s="8" t="s">
        <v>2933</v>
      </c>
      <c r="N960" s="8" t="s">
        <v>2937</v>
      </c>
      <c r="O960" s="1" t="s">
        <v>2934</v>
      </c>
      <c r="P960">
        <v>30</v>
      </c>
      <c r="Q960">
        <v>30</v>
      </c>
      <c r="R960">
        <v>0</v>
      </c>
      <c r="S960">
        <f t="shared" si="134"/>
        <v>30</v>
      </c>
      <c r="T960" s="1" t="s">
        <v>2935</v>
      </c>
      <c r="U960" s="1" t="s">
        <v>2932</v>
      </c>
      <c r="V960" s="3">
        <f t="shared" si="135"/>
        <v>40000</v>
      </c>
      <c r="W960" s="3">
        <f t="shared" si="136"/>
        <v>16000</v>
      </c>
      <c r="X960" s="3">
        <f t="shared" si="128"/>
        <v>1250</v>
      </c>
      <c r="Y960" s="3">
        <f t="shared" si="129"/>
        <v>1600</v>
      </c>
      <c r="Z960" s="3">
        <f t="shared" si="130"/>
        <v>1800</v>
      </c>
      <c r="AA960" s="3">
        <v>0</v>
      </c>
      <c r="AB960" s="3">
        <f>ROUND(U960 - (V960+W960+X960+Y960) - (U960/Q960 * 2),0)</f>
        <v>34483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f>SUM(V960+W960+X960+Y960+AB960)</f>
        <v>93333</v>
      </c>
      <c r="AK960" s="3">
        <f>SUM(AJ960-AA960)</f>
        <v>93333</v>
      </c>
      <c r="AL960" s="3">
        <f>IF(V960&lt;=15000,V960*12%,1800)</f>
        <v>1800</v>
      </c>
      <c r="AM960" s="3">
        <v>0</v>
      </c>
      <c r="AN960" s="3">
        <f t="shared" si="131"/>
        <v>1800</v>
      </c>
      <c r="AO960" s="12">
        <v>200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3">
        <f t="shared" si="133"/>
        <v>200</v>
      </c>
      <c r="AV960" s="3">
        <f>SUM(AJ960 - AN960 - AU960)</f>
        <v>91333</v>
      </c>
      <c r="AW960" s="11">
        <v>0</v>
      </c>
      <c r="AX960" s="11">
        <v>0</v>
      </c>
      <c r="AY960" s="11">
        <v>0</v>
      </c>
      <c r="AZ960" s="11">
        <v>0</v>
      </c>
      <c r="BA960" s="3">
        <f t="shared" si="132"/>
        <v>91333</v>
      </c>
    </row>
    <row r="961" spans="1:53" x14ac:dyDescent="0.25">
      <c r="A961" s="1" t="s">
        <v>959</v>
      </c>
      <c r="B961" s="9" t="s">
        <v>1261</v>
      </c>
      <c r="C961" s="9" t="s">
        <v>1320</v>
      </c>
      <c r="D961" s="9" t="s">
        <v>2868</v>
      </c>
      <c r="E961" s="9" t="s">
        <v>1008</v>
      </c>
      <c r="F961" s="10">
        <v>44004</v>
      </c>
      <c r="G961" s="9" t="s">
        <v>1019</v>
      </c>
      <c r="I961" s="9" t="s">
        <v>1014</v>
      </c>
      <c r="J961" s="9" t="s">
        <v>1015</v>
      </c>
      <c r="K961" s="8" t="s">
        <v>1006</v>
      </c>
      <c r="L961" s="8" t="s">
        <v>1007</v>
      </c>
      <c r="M961" s="8" t="s">
        <v>2933</v>
      </c>
      <c r="N961" s="8" t="s">
        <v>2937</v>
      </c>
      <c r="O961" s="1" t="s">
        <v>2934</v>
      </c>
      <c r="P961">
        <v>30</v>
      </c>
      <c r="Q961">
        <v>30</v>
      </c>
      <c r="R961">
        <v>0</v>
      </c>
      <c r="S961">
        <f t="shared" si="134"/>
        <v>30</v>
      </c>
      <c r="T961" s="1" t="s">
        <v>2935</v>
      </c>
      <c r="U961" s="1" t="s">
        <v>2932</v>
      </c>
      <c r="V961" s="3">
        <f t="shared" si="135"/>
        <v>40000</v>
      </c>
      <c r="W961" s="3">
        <f t="shared" si="136"/>
        <v>16000</v>
      </c>
      <c r="X961" s="3">
        <f t="shared" si="128"/>
        <v>1250</v>
      </c>
      <c r="Y961" s="3">
        <f t="shared" si="129"/>
        <v>1600</v>
      </c>
      <c r="Z961" s="3">
        <f t="shared" si="130"/>
        <v>1800</v>
      </c>
      <c r="AA961" s="3">
        <v>0</v>
      </c>
      <c r="AB961" s="3">
        <f>ROUND(U961 - (V961+W961+X961+Y961) - (U961/Q961 * 2),0)</f>
        <v>34483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f>SUM(V961+W961+X961+Y961+AB961)</f>
        <v>93333</v>
      </c>
      <c r="AK961" s="3">
        <f>SUM(AJ961-AA961)</f>
        <v>93333</v>
      </c>
      <c r="AL961" s="3">
        <f>IF(V961&lt;=15000,V961*12%,1800)</f>
        <v>1800</v>
      </c>
      <c r="AM961" s="3">
        <v>0</v>
      </c>
      <c r="AN961" s="3">
        <f t="shared" si="131"/>
        <v>1800</v>
      </c>
      <c r="AO961" s="12">
        <v>200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3">
        <f t="shared" si="133"/>
        <v>200</v>
      </c>
      <c r="AV961" s="3">
        <f>SUM(AJ961 - AN961 - AU961)</f>
        <v>91333</v>
      </c>
      <c r="AW961" s="11">
        <v>0</v>
      </c>
      <c r="AX961" s="11">
        <v>0</v>
      </c>
      <c r="AY961" s="11">
        <v>0</v>
      </c>
      <c r="AZ961" s="11">
        <v>0</v>
      </c>
      <c r="BA961" s="3">
        <f t="shared" si="132"/>
        <v>91333</v>
      </c>
    </row>
    <row r="962" spans="1:53" x14ac:dyDescent="0.25">
      <c r="A962" s="1" t="s">
        <v>960</v>
      </c>
      <c r="B962" s="9" t="s">
        <v>2866</v>
      </c>
      <c r="C962" s="9" t="s">
        <v>1115</v>
      </c>
      <c r="D962" s="9" t="s">
        <v>2867</v>
      </c>
      <c r="E962" s="9" t="s">
        <v>1012</v>
      </c>
      <c r="F962" s="10">
        <v>43957</v>
      </c>
      <c r="G962" s="9" t="s">
        <v>1019</v>
      </c>
      <c r="I962" s="9" t="s">
        <v>1042</v>
      </c>
      <c r="J962" s="9" t="s">
        <v>1048</v>
      </c>
      <c r="K962" s="8" t="s">
        <v>1006</v>
      </c>
      <c r="L962" s="8" t="s">
        <v>1007</v>
      </c>
      <c r="M962" s="8" t="s">
        <v>2933</v>
      </c>
      <c r="N962" s="8" t="s">
        <v>2937</v>
      </c>
      <c r="O962" s="1" t="s">
        <v>2934</v>
      </c>
      <c r="P962">
        <v>30</v>
      </c>
      <c r="Q962">
        <v>30</v>
      </c>
      <c r="R962">
        <v>0</v>
      </c>
      <c r="S962">
        <f t="shared" si="134"/>
        <v>30</v>
      </c>
      <c r="T962" s="1" t="s">
        <v>2935</v>
      </c>
      <c r="U962" s="1" t="s">
        <v>2932</v>
      </c>
      <c r="V962" s="3">
        <f t="shared" si="135"/>
        <v>40000</v>
      </c>
      <c r="W962" s="3">
        <f t="shared" si="136"/>
        <v>16000</v>
      </c>
      <c r="X962" s="3">
        <f t="shared" si="128"/>
        <v>1250</v>
      </c>
      <c r="Y962" s="3">
        <f t="shared" si="129"/>
        <v>1600</v>
      </c>
      <c r="Z962" s="3">
        <f t="shared" si="130"/>
        <v>1800</v>
      </c>
      <c r="AA962" s="3">
        <v>0</v>
      </c>
      <c r="AB962" s="3">
        <f>ROUND(U962 - (V962+W962+X962+Y962) - (U962/Q962 * 2),0)</f>
        <v>34483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f>SUM(V962+W962+X962+Y962+AB962)</f>
        <v>93333</v>
      </c>
      <c r="AK962" s="3">
        <f>SUM(AJ962-AA962)</f>
        <v>93333</v>
      </c>
      <c r="AL962" s="3">
        <f>IF(V962&lt;=15000,V962*12%,1800)</f>
        <v>1800</v>
      </c>
      <c r="AM962" s="3">
        <v>0</v>
      </c>
      <c r="AN962" s="3">
        <f t="shared" si="131"/>
        <v>1800</v>
      </c>
      <c r="AO962" s="12">
        <v>200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3">
        <f t="shared" si="133"/>
        <v>200</v>
      </c>
      <c r="AV962" s="3">
        <f>SUM(AJ962 - AN962 - AU962)</f>
        <v>91333</v>
      </c>
      <c r="AW962" s="11">
        <v>0</v>
      </c>
      <c r="AX962" s="11">
        <v>0</v>
      </c>
      <c r="AY962" s="11">
        <v>0</v>
      </c>
      <c r="AZ962" s="11">
        <v>0</v>
      </c>
      <c r="BA962" s="3">
        <f t="shared" si="132"/>
        <v>91333</v>
      </c>
    </row>
    <row r="963" spans="1:53" x14ac:dyDescent="0.25">
      <c r="A963" s="1" t="s">
        <v>961</v>
      </c>
      <c r="B963" s="9" t="s">
        <v>2864</v>
      </c>
      <c r="C963" s="9" t="s">
        <v>1115</v>
      </c>
      <c r="D963" s="9" t="s">
        <v>2865</v>
      </c>
      <c r="E963" s="9" t="s">
        <v>1012</v>
      </c>
      <c r="F963" s="10">
        <v>43962</v>
      </c>
      <c r="G963" s="9" t="s">
        <v>1019</v>
      </c>
      <c r="I963" s="9" t="s">
        <v>1035</v>
      </c>
      <c r="J963" s="9" t="s">
        <v>1048</v>
      </c>
      <c r="K963" s="8" t="s">
        <v>1006</v>
      </c>
      <c r="L963" s="8" t="s">
        <v>1007</v>
      </c>
      <c r="M963" s="8" t="s">
        <v>2933</v>
      </c>
      <c r="N963" s="8" t="s">
        <v>2937</v>
      </c>
      <c r="O963" s="1" t="s">
        <v>2934</v>
      </c>
      <c r="P963">
        <v>30</v>
      </c>
      <c r="Q963">
        <v>30</v>
      </c>
      <c r="R963">
        <v>0</v>
      </c>
      <c r="S963">
        <f t="shared" si="134"/>
        <v>30</v>
      </c>
      <c r="T963" s="1" t="s">
        <v>2935</v>
      </c>
      <c r="U963" s="1" t="s">
        <v>2932</v>
      </c>
      <c r="V963" s="3">
        <f t="shared" si="135"/>
        <v>40000</v>
      </c>
      <c r="W963" s="3">
        <f t="shared" si="136"/>
        <v>16000</v>
      </c>
      <c r="X963" s="3">
        <f t="shared" ref="X963:X1007" si="137">ROUND(1250 - ((1250/Q963)*R963),0)</f>
        <v>1250</v>
      </c>
      <c r="Y963" s="3">
        <f t="shared" ref="Y963:Y1007" si="138">ROUND(1600 - (1600/Q963) *R963,0)</f>
        <v>1600</v>
      </c>
      <c r="Z963" s="3">
        <f t="shared" ref="Z963:Z1007" si="139">IF(V963&lt;=15000,V963*12%,1800)</f>
        <v>1800</v>
      </c>
      <c r="AA963" s="3">
        <v>0</v>
      </c>
      <c r="AB963" s="3">
        <f>ROUND(U963 - (V963+W963+X963+Y963) - (U963/Q963 * 2),0)</f>
        <v>34483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f>SUM(V963+W963+X963+Y963+AB963)</f>
        <v>93333</v>
      </c>
      <c r="AK963" s="3">
        <f>SUM(AJ963-AA963)</f>
        <v>93333</v>
      </c>
      <c r="AL963" s="3">
        <f>IF(V963&lt;=15000,V963*12%,1800)</f>
        <v>1800</v>
      </c>
      <c r="AM963" s="3">
        <v>0</v>
      </c>
      <c r="AN963" s="3">
        <f t="shared" ref="AN963:AN1007" si="140">SUM(AL963+AM963)</f>
        <v>1800</v>
      </c>
      <c r="AO963" s="12">
        <v>200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3">
        <f t="shared" si="133"/>
        <v>200</v>
      </c>
      <c r="AV963" s="3">
        <f>SUM(AJ963 - AN963 - AU963)</f>
        <v>91333</v>
      </c>
      <c r="AW963" s="11">
        <v>0</v>
      </c>
      <c r="AX963" s="11">
        <v>0</v>
      </c>
      <c r="AY963" s="11">
        <v>0</v>
      </c>
      <c r="AZ963" s="11">
        <v>0</v>
      </c>
      <c r="BA963" s="3">
        <f t="shared" ref="BA963:BA1007" si="141">AV963+AW963+AX963+AZ963</f>
        <v>91333</v>
      </c>
    </row>
    <row r="964" spans="1:53" x14ac:dyDescent="0.25">
      <c r="A964" s="1" t="s">
        <v>962</v>
      </c>
      <c r="B964" s="9" t="s">
        <v>2862</v>
      </c>
      <c r="C964" s="9" t="s">
        <v>1075</v>
      </c>
      <c r="D964" s="9" t="s">
        <v>2863</v>
      </c>
      <c r="E964" s="9" t="s">
        <v>1012</v>
      </c>
      <c r="F964" s="10">
        <v>44013</v>
      </c>
      <c r="G964" s="9" t="s">
        <v>1019</v>
      </c>
      <c r="I964" s="9" t="s">
        <v>1014</v>
      </c>
      <c r="J964" s="9" t="s">
        <v>1015</v>
      </c>
      <c r="K964" s="8" t="s">
        <v>1006</v>
      </c>
      <c r="L964" s="8" t="s">
        <v>1007</v>
      </c>
      <c r="M964" s="8" t="s">
        <v>2933</v>
      </c>
      <c r="N964" s="8" t="s">
        <v>2937</v>
      </c>
      <c r="O964" s="1" t="s">
        <v>2934</v>
      </c>
      <c r="P964">
        <v>30</v>
      </c>
      <c r="Q964">
        <v>30</v>
      </c>
      <c r="R964">
        <v>0</v>
      </c>
      <c r="S964">
        <f t="shared" si="134"/>
        <v>30</v>
      </c>
      <c r="T964" s="1" t="s">
        <v>2935</v>
      </c>
      <c r="U964" s="1" t="s">
        <v>2932</v>
      </c>
      <c r="V964" s="3">
        <f t="shared" si="135"/>
        <v>40000</v>
      </c>
      <c r="W964" s="3">
        <f t="shared" si="136"/>
        <v>16000</v>
      </c>
      <c r="X964" s="3">
        <f t="shared" si="137"/>
        <v>1250</v>
      </c>
      <c r="Y964" s="3">
        <f t="shared" si="138"/>
        <v>1600</v>
      </c>
      <c r="Z964" s="3">
        <f t="shared" si="139"/>
        <v>1800</v>
      </c>
      <c r="AA964" s="3">
        <v>0</v>
      </c>
      <c r="AB964" s="3">
        <f>ROUND(U964 - (V964+W964+X964+Y964) - (U964/Q964 * 2),0)</f>
        <v>34483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f>SUM(V964+W964+X964+Y964+AB964)</f>
        <v>93333</v>
      </c>
      <c r="AK964" s="3">
        <f>SUM(AJ964-AA964)</f>
        <v>93333</v>
      </c>
      <c r="AL964" s="3">
        <f>IF(V964&lt;=15000,V964*12%,1800)</f>
        <v>1800</v>
      </c>
      <c r="AM964" s="3">
        <v>0</v>
      </c>
      <c r="AN964" s="3">
        <f t="shared" si="140"/>
        <v>1800</v>
      </c>
      <c r="AO964" s="12">
        <v>200</v>
      </c>
      <c r="AP964" s="12">
        <v>0</v>
      </c>
      <c r="AQ964" s="12">
        <v>0</v>
      </c>
      <c r="AR964" s="12">
        <v>0</v>
      </c>
      <c r="AS964" s="12">
        <v>0</v>
      </c>
      <c r="AT964" s="12">
        <v>0</v>
      </c>
      <c r="AU964" s="3">
        <f t="shared" ref="AU964:AU1007" si="142">SUM(AO964:AT964)</f>
        <v>200</v>
      </c>
      <c r="AV964" s="3">
        <f>SUM(AJ964 - AN964 - AU964)</f>
        <v>91333</v>
      </c>
      <c r="AW964" s="11">
        <v>0</v>
      </c>
      <c r="AX964" s="11">
        <v>0</v>
      </c>
      <c r="AY964" s="11">
        <v>0</v>
      </c>
      <c r="AZ964" s="11">
        <v>0</v>
      </c>
      <c r="BA964" s="3">
        <f t="shared" si="141"/>
        <v>91333</v>
      </c>
    </row>
    <row r="965" spans="1:53" x14ac:dyDescent="0.25">
      <c r="A965" s="1" t="s">
        <v>963</v>
      </c>
      <c r="B965" s="9" t="s">
        <v>2860</v>
      </c>
      <c r="C965" s="9" t="s">
        <v>1115</v>
      </c>
      <c r="D965" s="9" t="s">
        <v>2861</v>
      </c>
      <c r="E965" s="9" t="s">
        <v>1012</v>
      </c>
      <c r="F965" s="10">
        <v>43971</v>
      </c>
      <c r="G965" s="9" t="s">
        <v>1019</v>
      </c>
      <c r="I965" s="9" t="s">
        <v>1035</v>
      </c>
      <c r="J965" s="9" t="s">
        <v>1048</v>
      </c>
      <c r="K965" s="8" t="s">
        <v>1006</v>
      </c>
      <c r="L965" s="8" t="s">
        <v>1007</v>
      </c>
      <c r="M965" s="8" t="s">
        <v>2933</v>
      </c>
      <c r="N965" s="8" t="s">
        <v>2937</v>
      </c>
      <c r="O965" s="1" t="s">
        <v>2934</v>
      </c>
      <c r="P965">
        <v>30</v>
      </c>
      <c r="Q965">
        <v>30</v>
      </c>
      <c r="R965">
        <v>0</v>
      </c>
      <c r="S965">
        <f t="shared" ref="S965:S1007" si="143">SUM(Q965-R965)</f>
        <v>30</v>
      </c>
      <c r="T965" s="1" t="s">
        <v>2935</v>
      </c>
      <c r="U965" s="1" t="s">
        <v>2932</v>
      </c>
      <c r="V965" s="3">
        <f t="shared" ref="V965:V1007" si="144">ROUND((U965*40%) / Q965  * S965,0)</f>
        <v>40000</v>
      </c>
      <c r="W965" s="3">
        <f t="shared" ref="W965:W1007" si="145">ROUND((U965*16%) / Q965  * S965,0)</f>
        <v>16000</v>
      </c>
      <c r="X965" s="3">
        <f t="shared" si="137"/>
        <v>1250</v>
      </c>
      <c r="Y965" s="3">
        <f t="shared" si="138"/>
        <v>1600</v>
      </c>
      <c r="Z965" s="3">
        <f t="shared" si="139"/>
        <v>1800</v>
      </c>
      <c r="AA965" s="3">
        <v>0</v>
      </c>
      <c r="AB965" s="3">
        <f>ROUND(U965 - (V965+W965+X965+Y965) - (U965/Q965 * 2),0)</f>
        <v>34483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f>SUM(V965+W965+X965+Y965+AB965)</f>
        <v>93333</v>
      </c>
      <c r="AK965" s="3">
        <f>SUM(AJ965-AA965)</f>
        <v>93333</v>
      </c>
      <c r="AL965" s="3">
        <f>IF(V965&lt;=15000,V965*12%,1800)</f>
        <v>1800</v>
      </c>
      <c r="AM965" s="3">
        <v>0</v>
      </c>
      <c r="AN965" s="3">
        <f t="shared" si="140"/>
        <v>1800</v>
      </c>
      <c r="AO965" s="12">
        <v>200</v>
      </c>
      <c r="AP965" s="12">
        <v>0</v>
      </c>
      <c r="AQ965" s="12">
        <v>0</v>
      </c>
      <c r="AR965" s="12">
        <v>0</v>
      </c>
      <c r="AS965" s="12">
        <v>0</v>
      </c>
      <c r="AT965" s="12">
        <v>0</v>
      </c>
      <c r="AU965" s="3">
        <f t="shared" si="142"/>
        <v>200</v>
      </c>
      <c r="AV965" s="3">
        <f>SUM(AJ965 - AN965 - AU965)</f>
        <v>91333</v>
      </c>
      <c r="AW965" s="11">
        <v>0</v>
      </c>
      <c r="AX965" s="11">
        <v>0</v>
      </c>
      <c r="AY965" s="11">
        <v>0</v>
      </c>
      <c r="AZ965" s="11">
        <v>0</v>
      </c>
      <c r="BA965" s="3">
        <f t="shared" si="141"/>
        <v>91333</v>
      </c>
    </row>
    <row r="966" spans="1:53" x14ac:dyDescent="0.25">
      <c r="A966" s="1" t="s">
        <v>964</v>
      </c>
      <c r="B966" s="9" t="s">
        <v>2858</v>
      </c>
      <c r="C966" s="9" t="s">
        <v>1115</v>
      </c>
      <c r="D966" s="9" t="s">
        <v>2859</v>
      </c>
      <c r="E966" s="9" t="s">
        <v>1012</v>
      </c>
      <c r="F966" s="10">
        <v>43983</v>
      </c>
      <c r="G966" s="9" t="s">
        <v>1013</v>
      </c>
      <c r="I966" s="9" t="s">
        <v>1035</v>
      </c>
      <c r="J966" s="9" t="s">
        <v>1048</v>
      </c>
      <c r="K966" s="8" t="s">
        <v>1006</v>
      </c>
      <c r="L966" s="8" t="s">
        <v>1007</v>
      </c>
      <c r="M966" s="8" t="s">
        <v>2933</v>
      </c>
      <c r="N966" s="8" t="s">
        <v>2937</v>
      </c>
      <c r="O966" s="1" t="s">
        <v>2934</v>
      </c>
      <c r="P966">
        <v>30</v>
      </c>
      <c r="Q966">
        <v>30</v>
      </c>
      <c r="R966">
        <v>0</v>
      </c>
      <c r="S966">
        <f t="shared" si="143"/>
        <v>30</v>
      </c>
      <c r="T966" s="1" t="s">
        <v>2935</v>
      </c>
      <c r="U966" s="1" t="s">
        <v>2932</v>
      </c>
      <c r="V966" s="3">
        <f t="shared" si="144"/>
        <v>40000</v>
      </c>
      <c r="W966" s="3">
        <f t="shared" si="145"/>
        <v>16000</v>
      </c>
      <c r="X966" s="3">
        <f t="shared" si="137"/>
        <v>1250</v>
      </c>
      <c r="Y966" s="3">
        <f t="shared" si="138"/>
        <v>1600</v>
      </c>
      <c r="Z966" s="3">
        <f t="shared" si="139"/>
        <v>1800</v>
      </c>
      <c r="AA966" s="3">
        <v>0</v>
      </c>
      <c r="AB966" s="3">
        <f>ROUND(U966 - (V966+W966+X966+Y966) - (U966/Q966 * 2),0)</f>
        <v>34483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f>SUM(V966+W966+X966+Y966+AB966)</f>
        <v>93333</v>
      </c>
      <c r="AK966" s="3">
        <f>SUM(AJ966-AA966)</f>
        <v>93333</v>
      </c>
      <c r="AL966" s="3">
        <f>IF(V966&lt;=15000,V966*12%,1800)</f>
        <v>1800</v>
      </c>
      <c r="AM966" s="3">
        <v>0</v>
      </c>
      <c r="AN966" s="3">
        <f t="shared" si="140"/>
        <v>1800</v>
      </c>
      <c r="AO966" s="12">
        <v>200</v>
      </c>
      <c r="AP966" s="12">
        <v>0</v>
      </c>
      <c r="AQ966" s="12">
        <v>0</v>
      </c>
      <c r="AR966" s="12">
        <v>0</v>
      </c>
      <c r="AS966" s="12">
        <v>0</v>
      </c>
      <c r="AT966" s="12">
        <v>0</v>
      </c>
      <c r="AU966" s="3">
        <f t="shared" si="142"/>
        <v>200</v>
      </c>
      <c r="AV966" s="3">
        <f>SUM(AJ966 - AN966 - AU966)</f>
        <v>91333</v>
      </c>
      <c r="AW966" s="11">
        <v>0</v>
      </c>
      <c r="AX966" s="11">
        <v>0</v>
      </c>
      <c r="AY966" s="11">
        <v>0</v>
      </c>
      <c r="AZ966" s="11">
        <v>0</v>
      </c>
      <c r="BA966" s="3">
        <f t="shared" si="141"/>
        <v>91333</v>
      </c>
    </row>
    <row r="967" spans="1:53" x14ac:dyDescent="0.25">
      <c r="A967" s="1" t="s">
        <v>965</v>
      </c>
      <c r="B967" s="9" t="s">
        <v>2856</v>
      </c>
      <c r="C967" s="9" t="s">
        <v>1320</v>
      </c>
      <c r="D967" s="9" t="s">
        <v>2857</v>
      </c>
      <c r="E967" s="9" t="s">
        <v>1012</v>
      </c>
      <c r="F967" s="10">
        <v>44025</v>
      </c>
      <c r="G967" s="9" t="s">
        <v>1019</v>
      </c>
      <c r="I967" s="9" t="s">
        <v>1014</v>
      </c>
      <c r="J967" s="9" t="s">
        <v>1015</v>
      </c>
      <c r="K967" s="8" t="s">
        <v>1006</v>
      </c>
      <c r="L967" s="8" t="s">
        <v>1007</v>
      </c>
      <c r="M967" s="8" t="s">
        <v>2933</v>
      </c>
      <c r="N967" s="8" t="s">
        <v>2937</v>
      </c>
      <c r="O967" s="1" t="s">
        <v>2934</v>
      </c>
      <c r="P967">
        <v>30</v>
      </c>
      <c r="Q967">
        <v>30</v>
      </c>
      <c r="R967">
        <v>0</v>
      </c>
      <c r="S967">
        <f t="shared" si="143"/>
        <v>30</v>
      </c>
      <c r="T967" s="1" t="s">
        <v>2935</v>
      </c>
      <c r="U967" s="1" t="s">
        <v>2932</v>
      </c>
      <c r="V967" s="3">
        <f t="shared" si="144"/>
        <v>40000</v>
      </c>
      <c r="W967" s="3">
        <f t="shared" si="145"/>
        <v>16000</v>
      </c>
      <c r="X967" s="3">
        <f t="shared" si="137"/>
        <v>1250</v>
      </c>
      <c r="Y967" s="3">
        <f t="shared" si="138"/>
        <v>1600</v>
      </c>
      <c r="Z967" s="3">
        <f t="shared" si="139"/>
        <v>1800</v>
      </c>
      <c r="AA967" s="3">
        <v>0</v>
      </c>
      <c r="AB967" s="3">
        <f>ROUND(U967 - (V967+W967+X967+Y967) - (U967/Q967 * 2),0)</f>
        <v>34483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f>SUM(V967+W967+X967+Y967+AB967)</f>
        <v>93333</v>
      </c>
      <c r="AK967" s="3">
        <f>SUM(AJ967-AA967)</f>
        <v>93333</v>
      </c>
      <c r="AL967" s="3">
        <f>IF(V967&lt;=15000,V967*12%,1800)</f>
        <v>1800</v>
      </c>
      <c r="AM967" s="3">
        <v>0</v>
      </c>
      <c r="AN967" s="3">
        <f t="shared" si="140"/>
        <v>1800</v>
      </c>
      <c r="AO967" s="12">
        <v>200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3">
        <f t="shared" si="142"/>
        <v>200</v>
      </c>
      <c r="AV967" s="3">
        <f>SUM(AJ967 - AN967 - AU967)</f>
        <v>91333</v>
      </c>
      <c r="AW967" s="11">
        <v>0</v>
      </c>
      <c r="AX967" s="11">
        <v>0</v>
      </c>
      <c r="AY967" s="11">
        <v>0</v>
      </c>
      <c r="AZ967" s="11">
        <v>0</v>
      </c>
      <c r="BA967" s="3">
        <f t="shared" si="141"/>
        <v>91333</v>
      </c>
    </row>
    <row r="968" spans="1:53" x14ac:dyDescent="0.25">
      <c r="A968" s="1" t="s">
        <v>966</v>
      </c>
      <c r="B968" s="9" t="s">
        <v>2854</v>
      </c>
      <c r="C968" s="9" t="s">
        <v>1115</v>
      </c>
      <c r="D968" s="9" t="s">
        <v>2855</v>
      </c>
      <c r="E968" s="9" t="s">
        <v>1012</v>
      </c>
      <c r="F968" s="10">
        <v>43990</v>
      </c>
      <c r="G968" s="9" t="s">
        <v>1019</v>
      </c>
      <c r="I968" s="9" t="s">
        <v>1035</v>
      </c>
      <c r="J968" s="9" t="s">
        <v>1048</v>
      </c>
      <c r="K968" s="8" t="s">
        <v>1006</v>
      </c>
      <c r="L968" s="8" t="s">
        <v>1007</v>
      </c>
      <c r="M968" s="8" t="s">
        <v>2933</v>
      </c>
      <c r="N968" s="8" t="s">
        <v>2937</v>
      </c>
      <c r="O968" s="1" t="s">
        <v>2934</v>
      </c>
      <c r="P968">
        <v>30</v>
      </c>
      <c r="Q968">
        <v>30</v>
      </c>
      <c r="R968">
        <v>0</v>
      </c>
      <c r="S968">
        <f t="shared" si="143"/>
        <v>30</v>
      </c>
      <c r="T968" s="1" t="s">
        <v>2935</v>
      </c>
      <c r="U968" s="1" t="s">
        <v>2932</v>
      </c>
      <c r="V968" s="3">
        <f t="shared" si="144"/>
        <v>40000</v>
      </c>
      <c r="W968" s="3">
        <f t="shared" si="145"/>
        <v>16000</v>
      </c>
      <c r="X968" s="3">
        <f t="shared" si="137"/>
        <v>1250</v>
      </c>
      <c r="Y968" s="3">
        <f t="shared" si="138"/>
        <v>1600</v>
      </c>
      <c r="Z968" s="3">
        <f t="shared" si="139"/>
        <v>1800</v>
      </c>
      <c r="AA968" s="3">
        <v>0</v>
      </c>
      <c r="AB968" s="3">
        <f>ROUND(U968 - (V968+W968+X968+Y968) - (U968/Q968 * 2),0)</f>
        <v>34483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f>SUM(V968+W968+X968+Y968+AB968)</f>
        <v>93333</v>
      </c>
      <c r="AK968" s="3">
        <f>SUM(AJ968-AA968)</f>
        <v>93333</v>
      </c>
      <c r="AL968" s="3">
        <f>IF(V968&lt;=15000,V968*12%,1800)</f>
        <v>1800</v>
      </c>
      <c r="AM968" s="3">
        <v>0</v>
      </c>
      <c r="AN968" s="3">
        <f t="shared" si="140"/>
        <v>1800</v>
      </c>
      <c r="AO968" s="12">
        <v>200</v>
      </c>
      <c r="AP968" s="12">
        <v>0</v>
      </c>
      <c r="AQ968" s="12">
        <v>0</v>
      </c>
      <c r="AR968" s="12">
        <v>0</v>
      </c>
      <c r="AS968" s="12">
        <v>0</v>
      </c>
      <c r="AT968" s="12">
        <v>0</v>
      </c>
      <c r="AU968" s="3">
        <f t="shared" si="142"/>
        <v>200</v>
      </c>
      <c r="AV968" s="3">
        <f>SUM(AJ968 - AN968 - AU968)</f>
        <v>91333</v>
      </c>
      <c r="AW968" s="11">
        <v>0</v>
      </c>
      <c r="AX968" s="11">
        <v>0</v>
      </c>
      <c r="AY968" s="11">
        <v>0</v>
      </c>
      <c r="AZ968" s="11">
        <v>0</v>
      </c>
      <c r="BA968" s="3">
        <f t="shared" si="141"/>
        <v>91333</v>
      </c>
    </row>
    <row r="969" spans="1:53" x14ac:dyDescent="0.25">
      <c r="A969" s="1" t="s">
        <v>967</v>
      </c>
      <c r="B969" s="9" t="s">
        <v>2852</v>
      </c>
      <c r="C969" s="9" t="s">
        <v>1115</v>
      </c>
      <c r="D969" s="9" t="s">
        <v>2853</v>
      </c>
      <c r="E969" s="9" t="s">
        <v>1012</v>
      </c>
      <c r="F969" s="10">
        <v>44004</v>
      </c>
      <c r="G969" s="9" t="s">
        <v>1013</v>
      </c>
      <c r="I969" s="9" t="s">
        <v>1042</v>
      </c>
      <c r="J969" s="9" t="s">
        <v>1048</v>
      </c>
      <c r="K969" s="8" t="s">
        <v>1006</v>
      </c>
      <c r="L969" s="8" t="s">
        <v>1007</v>
      </c>
      <c r="M969" s="8" t="s">
        <v>2933</v>
      </c>
      <c r="N969" s="8" t="s">
        <v>2937</v>
      </c>
      <c r="O969" s="1" t="s">
        <v>2934</v>
      </c>
      <c r="P969">
        <v>30</v>
      </c>
      <c r="Q969">
        <v>30</v>
      </c>
      <c r="R969">
        <v>0</v>
      </c>
      <c r="S969">
        <f t="shared" si="143"/>
        <v>30</v>
      </c>
      <c r="T969" s="1" t="s">
        <v>2935</v>
      </c>
      <c r="U969" s="1" t="s">
        <v>2932</v>
      </c>
      <c r="V969" s="3">
        <f t="shared" si="144"/>
        <v>40000</v>
      </c>
      <c r="W969" s="3">
        <f t="shared" si="145"/>
        <v>16000</v>
      </c>
      <c r="X969" s="3">
        <f t="shared" si="137"/>
        <v>1250</v>
      </c>
      <c r="Y969" s="3">
        <f t="shared" si="138"/>
        <v>1600</v>
      </c>
      <c r="Z969" s="3">
        <f t="shared" si="139"/>
        <v>1800</v>
      </c>
      <c r="AA969" s="3">
        <v>0</v>
      </c>
      <c r="AB969" s="3">
        <f>ROUND(U969 - (V969+W969+X969+Y969) - (U969/Q969 * 2),0)</f>
        <v>34483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f>SUM(V969+W969+X969+Y969+AB969)</f>
        <v>93333</v>
      </c>
      <c r="AK969" s="3">
        <f>SUM(AJ969-AA969)</f>
        <v>93333</v>
      </c>
      <c r="AL969" s="3">
        <f>IF(V969&lt;=15000,V969*12%,1800)</f>
        <v>1800</v>
      </c>
      <c r="AM969" s="3">
        <v>0</v>
      </c>
      <c r="AN969" s="3">
        <f t="shared" si="140"/>
        <v>1800</v>
      </c>
      <c r="AO969" s="12">
        <v>200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3">
        <f t="shared" si="142"/>
        <v>200</v>
      </c>
      <c r="AV969" s="3">
        <f>SUM(AJ969 - AN969 - AU969)</f>
        <v>91333</v>
      </c>
      <c r="AW969" s="11">
        <v>0</v>
      </c>
      <c r="AX969" s="11">
        <v>0</v>
      </c>
      <c r="AY969" s="11">
        <v>0</v>
      </c>
      <c r="AZ969" s="11">
        <v>0</v>
      </c>
      <c r="BA969" s="3">
        <f t="shared" si="141"/>
        <v>91333</v>
      </c>
    </row>
    <row r="970" spans="1:53" x14ac:dyDescent="0.25">
      <c r="A970" s="1" t="s">
        <v>968</v>
      </c>
      <c r="B970" s="9" t="s">
        <v>1560</v>
      </c>
      <c r="C970" s="9" t="s">
        <v>1115</v>
      </c>
      <c r="D970" s="9" t="s">
        <v>2851</v>
      </c>
      <c r="E970" s="9" t="s">
        <v>1012</v>
      </c>
      <c r="F970" s="10">
        <v>44004</v>
      </c>
      <c r="G970" s="9" t="s">
        <v>1013</v>
      </c>
      <c r="I970" s="9" t="s">
        <v>1035</v>
      </c>
      <c r="J970" s="9" t="s">
        <v>1048</v>
      </c>
      <c r="K970" s="8" t="s">
        <v>1006</v>
      </c>
      <c r="L970" s="8" t="s">
        <v>1007</v>
      </c>
      <c r="M970" s="8" t="s">
        <v>2933</v>
      </c>
      <c r="N970" s="8" t="s">
        <v>2937</v>
      </c>
      <c r="O970" s="1" t="s">
        <v>2934</v>
      </c>
      <c r="P970">
        <v>30</v>
      </c>
      <c r="Q970">
        <v>30</v>
      </c>
      <c r="R970">
        <v>0</v>
      </c>
      <c r="S970">
        <f t="shared" si="143"/>
        <v>30</v>
      </c>
      <c r="T970" s="1" t="s">
        <v>2935</v>
      </c>
      <c r="U970" s="1" t="s">
        <v>2932</v>
      </c>
      <c r="V970" s="3">
        <f t="shared" si="144"/>
        <v>40000</v>
      </c>
      <c r="W970" s="3">
        <f t="shared" si="145"/>
        <v>16000</v>
      </c>
      <c r="X970" s="3">
        <f t="shared" si="137"/>
        <v>1250</v>
      </c>
      <c r="Y970" s="3">
        <f t="shared" si="138"/>
        <v>1600</v>
      </c>
      <c r="Z970" s="3">
        <f t="shared" si="139"/>
        <v>1800</v>
      </c>
      <c r="AA970" s="3">
        <v>0</v>
      </c>
      <c r="AB970" s="3">
        <f>ROUND(U970 - (V970+W970+X970+Y970) - (U970/Q970 * 2),0)</f>
        <v>34483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f>SUM(V970+W970+X970+Y970+AB970)</f>
        <v>93333</v>
      </c>
      <c r="AK970" s="3">
        <f>SUM(AJ970-AA970)</f>
        <v>93333</v>
      </c>
      <c r="AL970" s="3">
        <f>IF(V970&lt;=15000,V970*12%,1800)</f>
        <v>1800</v>
      </c>
      <c r="AM970" s="3">
        <v>0</v>
      </c>
      <c r="AN970" s="3">
        <f t="shared" si="140"/>
        <v>1800</v>
      </c>
      <c r="AO970" s="12">
        <v>200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3">
        <f t="shared" si="142"/>
        <v>200</v>
      </c>
      <c r="AV970" s="3">
        <f>SUM(AJ970 - AN970 - AU970)</f>
        <v>91333</v>
      </c>
      <c r="AW970" s="11">
        <v>0</v>
      </c>
      <c r="AX970" s="11">
        <v>0</v>
      </c>
      <c r="AY970" s="11">
        <v>0</v>
      </c>
      <c r="AZ970" s="11">
        <v>0</v>
      </c>
      <c r="BA970" s="3">
        <f t="shared" si="141"/>
        <v>91333</v>
      </c>
    </row>
    <row r="971" spans="1:53" x14ac:dyDescent="0.25">
      <c r="A971" s="1" t="s">
        <v>969</v>
      </c>
      <c r="B971" s="9" t="s">
        <v>1667</v>
      </c>
      <c r="C971" s="9" t="s">
        <v>2849</v>
      </c>
      <c r="D971" s="9" t="s">
        <v>2850</v>
      </c>
      <c r="E971" s="9" t="s">
        <v>1008</v>
      </c>
      <c r="F971" s="10">
        <v>44006</v>
      </c>
      <c r="G971" s="9" t="s">
        <v>1019</v>
      </c>
      <c r="I971" s="9" t="s">
        <v>1042</v>
      </c>
      <c r="J971" s="9" t="s">
        <v>1048</v>
      </c>
      <c r="K971" s="8" t="s">
        <v>1006</v>
      </c>
      <c r="L971" s="8" t="s">
        <v>1007</v>
      </c>
      <c r="M971" s="8" t="s">
        <v>2933</v>
      </c>
      <c r="N971" s="8" t="s">
        <v>2937</v>
      </c>
      <c r="O971" s="1" t="s">
        <v>2934</v>
      </c>
      <c r="P971">
        <v>30</v>
      </c>
      <c r="Q971">
        <v>30</v>
      </c>
      <c r="R971">
        <v>0</v>
      </c>
      <c r="S971">
        <f t="shared" si="143"/>
        <v>30</v>
      </c>
      <c r="T971" s="1" t="s">
        <v>2935</v>
      </c>
      <c r="U971" s="1" t="s">
        <v>2932</v>
      </c>
      <c r="V971" s="3">
        <f t="shared" si="144"/>
        <v>40000</v>
      </c>
      <c r="W971" s="3">
        <f t="shared" si="145"/>
        <v>16000</v>
      </c>
      <c r="X971" s="3">
        <f t="shared" si="137"/>
        <v>1250</v>
      </c>
      <c r="Y971" s="3">
        <f t="shared" si="138"/>
        <v>1600</v>
      </c>
      <c r="Z971" s="3">
        <f t="shared" si="139"/>
        <v>1800</v>
      </c>
      <c r="AA971" s="3">
        <v>0</v>
      </c>
      <c r="AB971" s="3">
        <f>ROUND(U971 - (V971+W971+X971+Y971) - (U971/Q971 * 2),0)</f>
        <v>34483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f>SUM(V971+W971+X971+Y971+AB971)</f>
        <v>93333</v>
      </c>
      <c r="AK971" s="3">
        <f>SUM(AJ971-AA971)</f>
        <v>93333</v>
      </c>
      <c r="AL971" s="3">
        <f>IF(V971&lt;=15000,V971*12%,1800)</f>
        <v>1800</v>
      </c>
      <c r="AM971" s="3">
        <v>0</v>
      </c>
      <c r="AN971" s="3">
        <f t="shared" si="140"/>
        <v>1800</v>
      </c>
      <c r="AO971" s="12">
        <v>200</v>
      </c>
      <c r="AP971" s="12">
        <v>0</v>
      </c>
      <c r="AQ971" s="12">
        <v>0</v>
      </c>
      <c r="AR971" s="12">
        <v>0</v>
      </c>
      <c r="AS971" s="12">
        <v>0</v>
      </c>
      <c r="AT971" s="12">
        <v>0</v>
      </c>
      <c r="AU971" s="3">
        <f t="shared" si="142"/>
        <v>200</v>
      </c>
      <c r="AV971" s="3">
        <f>SUM(AJ971 - AN971 - AU971)</f>
        <v>91333</v>
      </c>
      <c r="AW971" s="11">
        <v>0</v>
      </c>
      <c r="AX971" s="11">
        <v>0</v>
      </c>
      <c r="AY971" s="11">
        <v>0</v>
      </c>
      <c r="AZ971" s="11">
        <v>0</v>
      </c>
      <c r="BA971" s="3">
        <f t="shared" si="141"/>
        <v>91333</v>
      </c>
    </row>
    <row r="972" spans="1:53" x14ac:dyDescent="0.25">
      <c r="A972" s="1" t="s">
        <v>970</v>
      </c>
      <c r="B972" s="9" t="s">
        <v>2847</v>
      </c>
      <c r="C972" s="9" t="s">
        <v>1075</v>
      </c>
      <c r="D972" s="9" t="s">
        <v>2848</v>
      </c>
      <c r="E972" s="9" t="s">
        <v>1012</v>
      </c>
      <c r="F972" s="10">
        <v>44084</v>
      </c>
      <c r="G972" s="9" t="s">
        <v>1019</v>
      </c>
      <c r="I972" s="9" t="s">
        <v>1014</v>
      </c>
      <c r="J972" s="9" t="s">
        <v>1015</v>
      </c>
      <c r="K972" s="8" t="s">
        <v>1006</v>
      </c>
      <c r="L972" s="8" t="s">
        <v>1007</v>
      </c>
      <c r="M972" s="8" t="s">
        <v>2933</v>
      </c>
      <c r="N972" s="8" t="s">
        <v>2937</v>
      </c>
      <c r="O972" s="1" t="s">
        <v>2934</v>
      </c>
      <c r="P972">
        <v>30</v>
      </c>
      <c r="Q972">
        <v>30</v>
      </c>
      <c r="R972">
        <v>0</v>
      </c>
      <c r="S972">
        <f t="shared" si="143"/>
        <v>30</v>
      </c>
      <c r="T972" s="1" t="s">
        <v>2935</v>
      </c>
      <c r="U972" s="1" t="s">
        <v>2932</v>
      </c>
      <c r="V972" s="3">
        <f t="shared" si="144"/>
        <v>40000</v>
      </c>
      <c r="W972" s="3">
        <f t="shared" si="145"/>
        <v>16000</v>
      </c>
      <c r="X972" s="3">
        <f t="shared" si="137"/>
        <v>1250</v>
      </c>
      <c r="Y972" s="3">
        <f t="shared" si="138"/>
        <v>1600</v>
      </c>
      <c r="Z972" s="3">
        <f t="shared" si="139"/>
        <v>1800</v>
      </c>
      <c r="AA972" s="3">
        <v>0</v>
      </c>
      <c r="AB972" s="3">
        <f>ROUND(U972 - (V972+W972+X972+Y972) - (U972/Q972 * 2),0)</f>
        <v>34483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f>SUM(V972+W972+X972+Y972+AB972)</f>
        <v>93333</v>
      </c>
      <c r="AK972" s="3">
        <f>SUM(AJ972-AA972)</f>
        <v>93333</v>
      </c>
      <c r="AL972" s="3">
        <f>IF(V972&lt;=15000,V972*12%,1800)</f>
        <v>1800</v>
      </c>
      <c r="AM972" s="3">
        <v>0</v>
      </c>
      <c r="AN972" s="3">
        <f t="shared" si="140"/>
        <v>1800</v>
      </c>
      <c r="AO972" s="12">
        <v>200</v>
      </c>
      <c r="AP972" s="12">
        <v>0</v>
      </c>
      <c r="AQ972" s="12">
        <v>0</v>
      </c>
      <c r="AR972" s="12">
        <v>0</v>
      </c>
      <c r="AS972" s="12">
        <v>0</v>
      </c>
      <c r="AT972" s="12">
        <v>0</v>
      </c>
      <c r="AU972" s="3">
        <f t="shared" si="142"/>
        <v>200</v>
      </c>
      <c r="AV972" s="3">
        <f>SUM(AJ972 - AN972 - AU972)</f>
        <v>91333</v>
      </c>
      <c r="AW972" s="11">
        <v>0</v>
      </c>
      <c r="AX972" s="11">
        <v>0</v>
      </c>
      <c r="AY972" s="11">
        <v>0</v>
      </c>
      <c r="AZ972" s="11">
        <v>0</v>
      </c>
      <c r="BA972" s="3">
        <f t="shared" si="141"/>
        <v>91333</v>
      </c>
    </row>
    <row r="973" spans="1:53" x14ac:dyDescent="0.25">
      <c r="A973" s="1" t="s">
        <v>971</v>
      </c>
      <c r="B973" s="9" t="s">
        <v>2845</v>
      </c>
      <c r="C973" s="9" t="s">
        <v>1115</v>
      </c>
      <c r="D973" s="9" t="s">
        <v>2846</v>
      </c>
      <c r="E973" s="9" t="s">
        <v>1012</v>
      </c>
      <c r="F973" s="10">
        <v>44011</v>
      </c>
      <c r="G973" s="9" t="s">
        <v>1019</v>
      </c>
      <c r="I973" s="9" t="s">
        <v>1035</v>
      </c>
      <c r="J973" s="9" t="s">
        <v>1048</v>
      </c>
      <c r="K973" s="8" t="s">
        <v>1006</v>
      </c>
      <c r="L973" s="8" t="s">
        <v>1007</v>
      </c>
      <c r="M973" s="8" t="s">
        <v>2933</v>
      </c>
      <c r="N973" s="8" t="s">
        <v>2937</v>
      </c>
      <c r="O973" s="1" t="s">
        <v>2934</v>
      </c>
      <c r="P973">
        <v>30</v>
      </c>
      <c r="Q973">
        <v>30</v>
      </c>
      <c r="R973">
        <v>0</v>
      </c>
      <c r="S973">
        <f t="shared" si="143"/>
        <v>30</v>
      </c>
      <c r="T973" s="1" t="s">
        <v>2935</v>
      </c>
      <c r="U973" s="1" t="s">
        <v>2932</v>
      </c>
      <c r="V973" s="3">
        <f t="shared" si="144"/>
        <v>40000</v>
      </c>
      <c r="W973" s="3">
        <f t="shared" si="145"/>
        <v>16000</v>
      </c>
      <c r="X973" s="3">
        <f t="shared" si="137"/>
        <v>1250</v>
      </c>
      <c r="Y973" s="3">
        <f t="shared" si="138"/>
        <v>1600</v>
      </c>
      <c r="Z973" s="3">
        <f t="shared" si="139"/>
        <v>1800</v>
      </c>
      <c r="AA973" s="3">
        <v>0</v>
      </c>
      <c r="AB973" s="3">
        <f>ROUND(U973 - (V973+W973+X973+Y973) - (U973/Q973 * 2),0)</f>
        <v>34483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f>SUM(V973+W973+X973+Y973+AB973)</f>
        <v>93333</v>
      </c>
      <c r="AK973" s="3">
        <f>SUM(AJ973-AA973)</f>
        <v>93333</v>
      </c>
      <c r="AL973" s="3">
        <f>IF(V973&lt;=15000,V973*12%,1800)</f>
        <v>1800</v>
      </c>
      <c r="AM973" s="3">
        <v>0</v>
      </c>
      <c r="AN973" s="3">
        <f t="shared" si="140"/>
        <v>1800</v>
      </c>
      <c r="AO973" s="12">
        <v>200</v>
      </c>
      <c r="AP973" s="12">
        <v>0</v>
      </c>
      <c r="AQ973" s="12">
        <v>0</v>
      </c>
      <c r="AR973" s="12">
        <v>0</v>
      </c>
      <c r="AS973" s="12">
        <v>0</v>
      </c>
      <c r="AT973" s="12">
        <v>0</v>
      </c>
      <c r="AU973" s="3">
        <f t="shared" si="142"/>
        <v>200</v>
      </c>
      <c r="AV973" s="3">
        <f>SUM(AJ973 - AN973 - AU973)</f>
        <v>91333</v>
      </c>
      <c r="AW973" s="11">
        <v>0</v>
      </c>
      <c r="AX973" s="11">
        <v>0</v>
      </c>
      <c r="AY973" s="11">
        <v>0</v>
      </c>
      <c r="AZ973" s="11">
        <v>0</v>
      </c>
      <c r="BA973" s="3">
        <f t="shared" si="141"/>
        <v>91333</v>
      </c>
    </row>
    <row r="974" spans="1:53" x14ac:dyDescent="0.25">
      <c r="A974" s="1" t="s">
        <v>972</v>
      </c>
      <c r="B974" s="9" t="s">
        <v>2472</v>
      </c>
      <c r="C974" s="9" t="s">
        <v>1023</v>
      </c>
      <c r="D974" s="9" t="s">
        <v>2844</v>
      </c>
      <c r="E974" s="9" t="s">
        <v>1012</v>
      </c>
      <c r="F974" s="10">
        <v>44098</v>
      </c>
      <c r="G974" s="9" t="s">
        <v>1013</v>
      </c>
      <c r="I974" s="9" t="s">
        <v>1014</v>
      </c>
      <c r="J974" s="9" t="s">
        <v>1021</v>
      </c>
      <c r="K974" s="8" t="s">
        <v>1006</v>
      </c>
      <c r="L974" s="8" t="s">
        <v>1007</v>
      </c>
      <c r="M974" s="8" t="s">
        <v>2933</v>
      </c>
      <c r="N974" s="8" t="s">
        <v>2937</v>
      </c>
      <c r="O974" s="1" t="s">
        <v>2934</v>
      </c>
      <c r="P974">
        <v>30</v>
      </c>
      <c r="Q974">
        <v>30</v>
      </c>
      <c r="R974">
        <v>0</v>
      </c>
      <c r="S974">
        <f t="shared" si="143"/>
        <v>30</v>
      </c>
      <c r="T974" s="1" t="s">
        <v>2935</v>
      </c>
      <c r="U974" s="1" t="s">
        <v>2932</v>
      </c>
      <c r="V974" s="3">
        <f t="shared" si="144"/>
        <v>40000</v>
      </c>
      <c r="W974" s="3">
        <f t="shared" si="145"/>
        <v>16000</v>
      </c>
      <c r="X974" s="3">
        <f t="shared" si="137"/>
        <v>1250</v>
      </c>
      <c r="Y974" s="3">
        <f t="shared" si="138"/>
        <v>1600</v>
      </c>
      <c r="Z974" s="3">
        <f t="shared" si="139"/>
        <v>1800</v>
      </c>
      <c r="AA974" s="3">
        <v>0</v>
      </c>
      <c r="AB974" s="3">
        <f>ROUND(U974 - (V974+W974+X974+Y974) - (U974/Q974 * 2),0)</f>
        <v>34483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f>SUM(V974+W974+X974+Y974+AB974)</f>
        <v>93333</v>
      </c>
      <c r="AK974" s="3">
        <f>SUM(AJ974-AA974)</f>
        <v>93333</v>
      </c>
      <c r="AL974" s="3">
        <f>IF(V974&lt;=15000,V974*12%,1800)</f>
        <v>1800</v>
      </c>
      <c r="AM974" s="3">
        <v>0</v>
      </c>
      <c r="AN974" s="3">
        <f t="shared" si="140"/>
        <v>1800</v>
      </c>
      <c r="AO974" s="12">
        <v>200</v>
      </c>
      <c r="AP974" s="12">
        <v>0</v>
      </c>
      <c r="AQ974" s="12">
        <v>0</v>
      </c>
      <c r="AR974" s="12">
        <v>0</v>
      </c>
      <c r="AS974" s="12">
        <v>0</v>
      </c>
      <c r="AT974" s="12">
        <v>0</v>
      </c>
      <c r="AU974" s="3">
        <f t="shared" si="142"/>
        <v>200</v>
      </c>
      <c r="AV974" s="3">
        <f>SUM(AJ974 - AN974 - AU974)</f>
        <v>91333</v>
      </c>
      <c r="AW974" s="11">
        <v>0</v>
      </c>
      <c r="AX974" s="11">
        <v>0</v>
      </c>
      <c r="AY974" s="11">
        <v>0</v>
      </c>
      <c r="AZ974" s="11">
        <v>0</v>
      </c>
      <c r="BA974" s="3">
        <f t="shared" si="141"/>
        <v>91333</v>
      </c>
    </row>
    <row r="975" spans="1:53" x14ac:dyDescent="0.25">
      <c r="A975" s="1" t="s">
        <v>973</v>
      </c>
      <c r="B975" s="9" t="s">
        <v>2899</v>
      </c>
      <c r="C975" s="9" t="s">
        <v>1115</v>
      </c>
      <c r="D975" s="9" t="s">
        <v>2900</v>
      </c>
      <c r="E975" s="9" t="s">
        <v>1012</v>
      </c>
      <c r="F975" s="10">
        <v>44158</v>
      </c>
      <c r="G975" s="9" t="s">
        <v>1013</v>
      </c>
      <c r="I975" s="9" t="s">
        <v>1042</v>
      </c>
      <c r="J975" s="9" t="s">
        <v>1048</v>
      </c>
      <c r="K975" s="8" t="s">
        <v>1006</v>
      </c>
      <c r="L975" s="8" t="s">
        <v>1007</v>
      </c>
      <c r="M975" s="8" t="s">
        <v>2933</v>
      </c>
      <c r="N975" s="8" t="s">
        <v>2937</v>
      </c>
      <c r="O975" s="1" t="s">
        <v>2934</v>
      </c>
      <c r="P975">
        <v>30</v>
      </c>
      <c r="Q975">
        <v>30</v>
      </c>
      <c r="R975">
        <v>0</v>
      </c>
      <c r="S975">
        <f t="shared" si="143"/>
        <v>30</v>
      </c>
      <c r="T975" s="1" t="s">
        <v>2935</v>
      </c>
      <c r="U975" s="1" t="s">
        <v>2932</v>
      </c>
      <c r="V975" s="3">
        <f t="shared" si="144"/>
        <v>40000</v>
      </c>
      <c r="W975" s="3">
        <f t="shared" si="145"/>
        <v>16000</v>
      </c>
      <c r="X975" s="3">
        <f t="shared" si="137"/>
        <v>1250</v>
      </c>
      <c r="Y975" s="3">
        <f t="shared" si="138"/>
        <v>1600</v>
      </c>
      <c r="Z975" s="3">
        <f t="shared" si="139"/>
        <v>1800</v>
      </c>
      <c r="AA975" s="3">
        <v>0</v>
      </c>
      <c r="AB975" s="3">
        <f>ROUND(U975 - (V975+W975+X975+Y975) - (U975/Q975 * 2),0)</f>
        <v>34483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f>SUM(V975+W975+X975+Y975+AB975)</f>
        <v>93333</v>
      </c>
      <c r="AK975" s="3">
        <f>SUM(AJ975-AA975)</f>
        <v>93333</v>
      </c>
      <c r="AL975" s="3">
        <f>IF(V975&lt;=15000,V975*12%,1800)</f>
        <v>1800</v>
      </c>
      <c r="AM975" s="3">
        <v>0</v>
      </c>
      <c r="AN975" s="3">
        <f t="shared" si="140"/>
        <v>1800</v>
      </c>
      <c r="AO975" s="12">
        <v>200</v>
      </c>
      <c r="AP975" s="12">
        <v>0</v>
      </c>
      <c r="AQ975" s="12">
        <v>0</v>
      </c>
      <c r="AR975" s="12">
        <v>0</v>
      </c>
      <c r="AS975" s="12">
        <v>0</v>
      </c>
      <c r="AT975" s="12">
        <v>0</v>
      </c>
      <c r="AU975" s="3">
        <f t="shared" si="142"/>
        <v>200</v>
      </c>
      <c r="AV975" s="3">
        <f>SUM(AJ975 - AN975 - AU975)</f>
        <v>91333</v>
      </c>
      <c r="AW975" s="11">
        <v>0</v>
      </c>
      <c r="AX975" s="11">
        <v>0</v>
      </c>
      <c r="AY975" s="11">
        <v>0</v>
      </c>
      <c r="AZ975" s="11">
        <v>0</v>
      </c>
      <c r="BA975" s="3">
        <f t="shared" si="141"/>
        <v>91333</v>
      </c>
    </row>
    <row r="976" spans="1:53" x14ac:dyDescent="0.25">
      <c r="A976" s="1" t="s">
        <v>974</v>
      </c>
      <c r="B976" s="9" t="s">
        <v>2897</v>
      </c>
      <c r="C976" s="9" t="s">
        <v>1115</v>
      </c>
      <c r="D976" s="9" t="s">
        <v>2898</v>
      </c>
      <c r="E976" s="9" t="s">
        <v>1012</v>
      </c>
      <c r="F976" s="10">
        <v>44181</v>
      </c>
      <c r="G976" s="9" t="s">
        <v>1019</v>
      </c>
      <c r="I976" s="9" t="s">
        <v>1035</v>
      </c>
      <c r="J976" s="9" t="s">
        <v>1048</v>
      </c>
      <c r="K976" s="8" t="s">
        <v>1006</v>
      </c>
      <c r="L976" s="8" t="s">
        <v>1007</v>
      </c>
      <c r="M976" s="8" t="s">
        <v>2933</v>
      </c>
      <c r="N976" s="8" t="s">
        <v>2937</v>
      </c>
      <c r="O976" s="1" t="s">
        <v>2934</v>
      </c>
      <c r="P976">
        <v>30</v>
      </c>
      <c r="Q976">
        <v>30</v>
      </c>
      <c r="R976">
        <v>0</v>
      </c>
      <c r="S976">
        <f t="shared" si="143"/>
        <v>30</v>
      </c>
      <c r="T976" s="1" t="s">
        <v>2935</v>
      </c>
      <c r="U976" s="1" t="s">
        <v>2932</v>
      </c>
      <c r="V976" s="3">
        <f t="shared" si="144"/>
        <v>40000</v>
      </c>
      <c r="W976" s="3">
        <f t="shared" si="145"/>
        <v>16000</v>
      </c>
      <c r="X976" s="3">
        <f t="shared" si="137"/>
        <v>1250</v>
      </c>
      <c r="Y976" s="3">
        <f t="shared" si="138"/>
        <v>1600</v>
      </c>
      <c r="Z976" s="3">
        <f t="shared" si="139"/>
        <v>1800</v>
      </c>
      <c r="AA976" s="3">
        <v>0</v>
      </c>
      <c r="AB976" s="3">
        <f>ROUND(U976 - (V976+W976+X976+Y976) - (U976/Q976 * 2),0)</f>
        <v>34483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f>SUM(V976+W976+X976+Y976+AB976)</f>
        <v>93333</v>
      </c>
      <c r="AK976" s="3">
        <f>SUM(AJ976-AA976)</f>
        <v>93333</v>
      </c>
      <c r="AL976" s="3">
        <f>IF(V976&lt;=15000,V976*12%,1800)</f>
        <v>1800</v>
      </c>
      <c r="AM976" s="3">
        <v>0</v>
      </c>
      <c r="AN976" s="3">
        <f t="shared" si="140"/>
        <v>1800</v>
      </c>
      <c r="AO976" s="12">
        <v>200</v>
      </c>
      <c r="AP976" s="12">
        <v>0</v>
      </c>
      <c r="AQ976" s="12">
        <v>0</v>
      </c>
      <c r="AR976" s="12">
        <v>0</v>
      </c>
      <c r="AS976" s="12">
        <v>0</v>
      </c>
      <c r="AT976" s="12">
        <v>0</v>
      </c>
      <c r="AU976" s="3">
        <f t="shared" si="142"/>
        <v>200</v>
      </c>
      <c r="AV976" s="3">
        <f>SUM(AJ976 - AN976 - AU976)</f>
        <v>91333</v>
      </c>
      <c r="AW976" s="11">
        <v>0</v>
      </c>
      <c r="AX976" s="11">
        <v>0</v>
      </c>
      <c r="AY976" s="11">
        <v>0</v>
      </c>
      <c r="AZ976" s="11">
        <v>0</v>
      </c>
      <c r="BA976" s="3">
        <f t="shared" si="141"/>
        <v>91333</v>
      </c>
    </row>
    <row r="977" spans="1:53" x14ac:dyDescent="0.25">
      <c r="A977" s="1" t="s">
        <v>975</v>
      </c>
      <c r="B977" s="9" t="s">
        <v>1436</v>
      </c>
      <c r="C977" s="9" t="s">
        <v>1216</v>
      </c>
      <c r="D977" s="9" t="s">
        <v>2896</v>
      </c>
      <c r="E977" s="9" t="s">
        <v>1012</v>
      </c>
      <c r="F977" s="10">
        <v>44123</v>
      </c>
      <c r="G977" s="9" t="s">
        <v>1013</v>
      </c>
      <c r="I977" s="9" t="s">
        <v>1014</v>
      </c>
      <c r="J977" s="9" t="s">
        <v>1021</v>
      </c>
      <c r="K977" s="8" t="s">
        <v>1006</v>
      </c>
      <c r="L977" s="8" t="s">
        <v>1007</v>
      </c>
      <c r="M977" s="8" t="s">
        <v>2933</v>
      </c>
      <c r="N977" s="8" t="s">
        <v>2937</v>
      </c>
      <c r="O977" s="1" t="s">
        <v>2934</v>
      </c>
      <c r="P977">
        <v>30</v>
      </c>
      <c r="Q977">
        <v>30</v>
      </c>
      <c r="R977">
        <v>0</v>
      </c>
      <c r="S977">
        <f t="shared" si="143"/>
        <v>30</v>
      </c>
      <c r="T977" s="1" t="s">
        <v>2935</v>
      </c>
      <c r="U977" s="1" t="s">
        <v>2932</v>
      </c>
      <c r="V977" s="3">
        <f t="shared" si="144"/>
        <v>40000</v>
      </c>
      <c r="W977" s="3">
        <f t="shared" si="145"/>
        <v>16000</v>
      </c>
      <c r="X977" s="3">
        <f t="shared" si="137"/>
        <v>1250</v>
      </c>
      <c r="Y977" s="3">
        <f t="shared" si="138"/>
        <v>1600</v>
      </c>
      <c r="Z977" s="3">
        <f t="shared" si="139"/>
        <v>1800</v>
      </c>
      <c r="AA977" s="3">
        <v>0</v>
      </c>
      <c r="AB977" s="3">
        <f>ROUND(U977 - (V977+W977+X977+Y977) - (U977/Q977 * 2),0)</f>
        <v>34483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f>SUM(V977+W977+X977+Y977+AB977)</f>
        <v>93333</v>
      </c>
      <c r="AK977" s="3">
        <f>SUM(AJ977-AA977)</f>
        <v>93333</v>
      </c>
      <c r="AL977" s="3">
        <f>IF(V977&lt;=15000,V977*12%,1800)</f>
        <v>1800</v>
      </c>
      <c r="AM977" s="3">
        <v>0</v>
      </c>
      <c r="AN977" s="3">
        <f t="shared" si="140"/>
        <v>1800</v>
      </c>
      <c r="AO977" s="12">
        <v>200</v>
      </c>
      <c r="AP977" s="12">
        <v>0</v>
      </c>
      <c r="AQ977" s="12">
        <v>0</v>
      </c>
      <c r="AR977" s="12">
        <v>0</v>
      </c>
      <c r="AS977" s="12">
        <v>0</v>
      </c>
      <c r="AT977" s="12">
        <v>0</v>
      </c>
      <c r="AU977" s="3">
        <f t="shared" si="142"/>
        <v>200</v>
      </c>
      <c r="AV977" s="3">
        <f>SUM(AJ977 - AN977 - AU977)</f>
        <v>91333</v>
      </c>
      <c r="AW977" s="11">
        <v>0</v>
      </c>
      <c r="AX977" s="11">
        <v>0</v>
      </c>
      <c r="AY977" s="11">
        <v>0</v>
      </c>
      <c r="AZ977" s="11">
        <v>0</v>
      </c>
      <c r="BA977" s="3">
        <f t="shared" si="141"/>
        <v>91333</v>
      </c>
    </row>
    <row r="978" spans="1:53" x14ac:dyDescent="0.25">
      <c r="A978" s="1" t="s">
        <v>976</v>
      </c>
      <c r="B978" s="9" t="s">
        <v>2893</v>
      </c>
      <c r="C978" s="9" t="s">
        <v>2894</v>
      </c>
      <c r="D978" s="9" t="s">
        <v>2895</v>
      </c>
      <c r="E978" s="9" t="s">
        <v>1008</v>
      </c>
      <c r="F978" s="10">
        <v>44235</v>
      </c>
      <c r="G978" s="9" t="s">
        <v>1019</v>
      </c>
      <c r="I978" s="9" t="s">
        <v>1042</v>
      </c>
      <c r="J978" s="9" t="s">
        <v>1056</v>
      </c>
      <c r="K978" s="8" t="s">
        <v>1006</v>
      </c>
      <c r="L978" s="8" t="s">
        <v>1007</v>
      </c>
      <c r="M978" s="8" t="s">
        <v>2933</v>
      </c>
      <c r="N978" s="8" t="s">
        <v>2937</v>
      </c>
      <c r="O978" s="1" t="s">
        <v>2934</v>
      </c>
      <c r="P978">
        <v>30</v>
      </c>
      <c r="Q978">
        <v>30</v>
      </c>
      <c r="R978">
        <v>0</v>
      </c>
      <c r="S978">
        <f t="shared" si="143"/>
        <v>30</v>
      </c>
      <c r="T978" s="1" t="s">
        <v>2935</v>
      </c>
      <c r="U978" s="1" t="s">
        <v>2932</v>
      </c>
      <c r="V978" s="3">
        <f t="shared" si="144"/>
        <v>40000</v>
      </c>
      <c r="W978" s="3">
        <f t="shared" si="145"/>
        <v>16000</v>
      </c>
      <c r="X978" s="3">
        <f t="shared" si="137"/>
        <v>1250</v>
      </c>
      <c r="Y978" s="3">
        <f t="shared" si="138"/>
        <v>1600</v>
      </c>
      <c r="Z978" s="3">
        <f t="shared" si="139"/>
        <v>1800</v>
      </c>
      <c r="AA978" s="3">
        <v>0</v>
      </c>
      <c r="AB978" s="3">
        <f>ROUND(U978 - (V978+W978+X978+Y978) - (U978/Q978 * 2),0)</f>
        <v>34483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f>SUM(V978+W978+X978+Y978+AB978)</f>
        <v>93333</v>
      </c>
      <c r="AK978" s="3">
        <f>SUM(AJ978-AA978)</f>
        <v>93333</v>
      </c>
      <c r="AL978" s="3">
        <f>IF(V978&lt;=15000,V978*12%,1800)</f>
        <v>1800</v>
      </c>
      <c r="AM978" s="3">
        <v>0</v>
      </c>
      <c r="AN978" s="3">
        <f t="shared" si="140"/>
        <v>1800</v>
      </c>
      <c r="AO978" s="12">
        <v>200</v>
      </c>
      <c r="AP978" s="12">
        <v>0</v>
      </c>
      <c r="AQ978" s="12">
        <v>0</v>
      </c>
      <c r="AR978" s="12">
        <v>0</v>
      </c>
      <c r="AS978" s="12">
        <v>0</v>
      </c>
      <c r="AT978" s="12">
        <v>0</v>
      </c>
      <c r="AU978" s="3">
        <f t="shared" si="142"/>
        <v>200</v>
      </c>
      <c r="AV978" s="3">
        <f>SUM(AJ978 - AN978 - AU978)</f>
        <v>91333</v>
      </c>
      <c r="AW978" s="11">
        <v>0</v>
      </c>
      <c r="AX978" s="11">
        <v>0</v>
      </c>
      <c r="AY978" s="11">
        <v>0</v>
      </c>
      <c r="AZ978" s="11">
        <v>0</v>
      </c>
      <c r="BA978" s="3">
        <f t="shared" si="141"/>
        <v>91333</v>
      </c>
    </row>
    <row r="979" spans="1:53" x14ac:dyDescent="0.25">
      <c r="A979" s="1" t="s">
        <v>977</v>
      </c>
      <c r="B979" s="9" t="s">
        <v>2891</v>
      </c>
      <c r="C979" s="9" t="s">
        <v>1026</v>
      </c>
      <c r="D979" s="9" t="s">
        <v>2892</v>
      </c>
      <c r="E979" s="9" t="s">
        <v>1012</v>
      </c>
      <c r="F979" s="10">
        <v>44130</v>
      </c>
      <c r="G979" s="9" t="s">
        <v>1013</v>
      </c>
      <c r="I979" s="9" t="s">
        <v>1014</v>
      </c>
      <c r="J979" s="9" t="s">
        <v>1015</v>
      </c>
      <c r="K979" s="8" t="s">
        <v>1006</v>
      </c>
      <c r="L979" s="8" t="s">
        <v>1007</v>
      </c>
      <c r="M979" s="8" t="s">
        <v>2933</v>
      </c>
      <c r="N979" s="8" t="s">
        <v>2937</v>
      </c>
      <c r="O979" s="1" t="s">
        <v>2934</v>
      </c>
      <c r="P979">
        <v>30</v>
      </c>
      <c r="Q979">
        <v>30</v>
      </c>
      <c r="R979">
        <v>0</v>
      </c>
      <c r="S979">
        <f t="shared" si="143"/>
        <v>30</v>
      </c>
      <c r="T979" s="1" t="s">
        <v>2935</v>
      </c>
      <c r="U979" s="1" t="s">
        <v>2932</v>
      </c>
      <c r="V979" s="3">
        <f t="shared" si="144"/>
        <v>40000</v>
      </c>
      <c r="W979" s="3">
        <f t="shared" si="145"/>
        <v>16000</v>
      </c>
      <c r="X979" s="3">
        <f t="shared" si="137"/>
        <v>1250</v>
      </c>
      <c r="Y979" s="3">
        <f t="shared" si="138"/>
        <v>1600</v>
      </c>
      <c r="Z979" s="3">
        <f t="shared" si="139"/>
        <v>1800</v>
      </c>
      <c r="AA979" s="3">
        <v>0</v>
      </c>
      <c r="AB979" s="3">
        <f>ROUND(U979 - (V979+W979+X979+Y979) - (U979/Q979 * 2),0)</f>
        <v>34483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f>SUM(V979+W979+X979+Y979+AB979)</f>
        <v>93333</v>
      </c>
      <c r="AK979" s="3">
        <f>SUM(AJ979-AA979)</f>
        <v>93333</v>
      </c>
      <c r="AL979" s="3">
        <f>IF(V979&lt;=15000,V979*12%,1800)</f>
        <v>1800</v>
      </c>
      <c r="AM979" s="3">
        <v>0</v>
      </c>
      <c r="AN979" s="3">
        <f t="shared" si="140"/>
        <v>1800</v>
      </c>
      <c r="AO979" s="12">
        <v>200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3">
        <f t="shared" si="142"/>
        <v>200</v>
      </c>
      <c r="AV979" s="3">
        <f>SUM(AJ979 - AN979 - AU979)</f>
        <v>91333</v>
      </c>
      <c r="AW979" s="11">
        <v>0</v>
      </c>
      <c r="AX979" s="11">
        <v>0</v>
      </c>
      <c r="AY979" s="11">
        <v>0</v>
      </c>
      <c r="AZ979" s="11">
        <v>0</v>
      </c>
      <c r="BA979" s="3">
        <f t="shared" si="141"/>
        <v>91333</v>
      </c>
    </row>
    <row r="980" spans="1:53" x14ac:dyDescent="0.25">
      <c r="A980" s="1" t="s">
        <v>978</v>
      </c>
      <c r="B980" s="9" t="s">
        <v>1960</v>
      </c>
      <c r="C980" s="9" t="s">
        <v>1434</v>
      </c>
      <c r="D980" s="9" t="s">
        <v>2890</v>
      </c>
      <c r="E980" s="9" t="s">
        <v>1012</v>
      </c>
      <c r="F980" s="10">
        <v>44130</v>
      </c>
      <c r="G980" s="9" t="s">
        <v>1019</v>
      </c>
      <c r="I980" s="9" t="s">
        <v>1014</v>
      </c>
      <c r="J980" s="9" t="s">
        <v>1015</v>
      </c>
      <c r="K980" s="8" t="s">
        <v>1006</v>
      </c>
      <c r="L980" s="8" t="s">
        <v>1007</v>
      </c>
      <c r="M980" s="8" t="s">
        <v>2933</v>
      </c>
      <c r="N980" s="8" t="s">
        <v>2937</v>
      </c>
      <c r="O980" s="1" t="s">
        <v>2934</v>
      </c>
      <c r="P980">
        <v>30</v>
      </c>
      <c r="Q980">
        <v>30</v>
      </c>
      <c r="R980">
        <v>0</v>
      </c>
      <c r="S980">
        <f t="shared" si="143"/>
        <v>30</v>
      </c>
      <c r="T980" s="1" t="s">
        <v>2935</v>
      </c>
      <c r="U980" s="1" t="s">
        <v>2932</v>
      </c>
      <c r="V980" s="3">
        <f t="shared" si="144"/>
        <v>40000</v>
      </c>
      <c r="W980" s="3">
        <f t="shared" si="145"/>
        <v>16000</v>
      </c>
      <c r="X980" s="3">
        <f t="shared" si="137"/>
        <v>1250</v>
      </c>
      <c r="Y980" s="3">
        <f t="shared" si="138"/>
        <v>1600</v>
      </c>
      <c r="Z980" s="3">
        <f t="shared" si="139"/>
        <v>1800</v>
      </c>
      <c r="AA980" s="3">
        <v>0</v>
      </c>
      <c r="AB980" s="3">
        <f>ROUND(U980 - (V980+W980+X980+Y980) - (U980/Q980 * 2),0)</f>
        <v>34483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f>SUM(V980+W980+X980+Y980+AB980)</f>
        <v>93333</v>
      </c>
      <c r="AK980" s="3">
        <f>SUM(AJ980-AA980)</f>
        <v>93333</v>
      </c>
      <c r="AL980" s="3">
        <f>IF(V980&lt;=15000,V980*12%,1800)</f>
        <v>1800</v>
      </c>
      <c r="AM980" s="3">
        <v>0</v>
      </c>
      <c r="AN980" s="3">
        <f t="shared" si="140"/>
        <v>1800</v>
      </c>
      <c r="AO980" s="12">
        <v>200</v>
      </c>
      <c r="AP980" s="12">
        <v>0</v>
      </c>
      <c r="AQ980" s="12">
        <v>0</v>
      </c>
      <c r="AR980" s="12">
        <v>0</v>
      </c>
      <c r="AS980" s="12">
        <v>0</v>
      </c>
      <c r="AT980" s="12">
        <v>0</v>
      </c>
      <c r="AU980" s="3">
        <f t="shared" si="142"/>
        <v>200</v>
      </c>
      <c r="AV980" s="3">
        <f>SUM(AJ980 - AN980 - AU980)</f>
        <v>91333</v>
      </c>
      <c r="AW980" s="11">
        <v>0</v>
      </c>
      <c r="AX980" s="11">
        <v>0</v>
      </c>
      <c r="AY980" s="11">
        <v>0</v>
      </c>
      <c r="AZ980" s="11">
        <v>0</v>
      </c>
      <c r="BA980" s="3">
        <f t="shared" si="141"/>
        <v>91333</v>
      </c>
    </row>
    <row r="981" spans="1:53" x14ac:dyDescent="0.25">
      <c r="A981" s="1" t="s">
        <v>979</v>
      </c>
      <c r="B981" s="9" t="s">
        <v>2888</v>
      </c>
      <c r="C981" s="9" t="s">
        <v>1063</v>
      </c>
      <c r="D981" s="9" t="s">
        <v>2889</v>
      </c>
      <c r="E981" s="9" t="s">
        <v>1012</v>
      </c>
      <c r="F981" s="10">
        <v>44132</v>
      </c>
      <c r="G981" s="9" t="s">
        <v>1019</v>
      </c>
      <c r="I981" s="9" t="s">
        <v>1014</v>
      </c>
      <c r="J981" s="9" t="s">
        <v>1015</v>
      </c>
      <c r="K981" s="8" t="s">
        <v>1006</v>
      </c>
      <c r="L981" s="8" t="s">
        <v>1007</v>
      </c>
      <c r="M981" s="8" t="s">
        <v>2933</v>
      </c>
      <c r="N981" s="8" t="s">
        <v>2937</v>
      </c>
      <c r="O981" s="1" t="s">
        <v>2934</v>
      </c>
      <c r="P981">
        <v>30</v>
      </c>
      <c r="Q981">
        <v>30</v>
      </c>
      <c r="R981">
        <v>0</v>
      </c>
      <c r="S981">
        <f t="shared" si="143"/>
        <v>30</v>
      </c>
      <c r="T981" s="1" t="s">
        <v>2935</v>
      </c>
      <c r="U981" s="1" t="s">
        <v>2932</v>
      </c>
      <c r="V981" s="3">
        <f t="shared" si="144"/>
        <v>40000</v>
      </c>
      <c r="W981" s="3">
        <f t="shared" si="145"/>
        <v>16000</v>
      </c>
      <c r="X981" s="3">
        <f t="shared" si="137"/>
        <v>1250</v>
      </c>
      <c r="Y981" s="3">
        <f t="shared" si="138"/>
        <v>1600</v>
      </c>
      <c r="Z981" s="3">
        <f t="shared" si="139"/>
        <v>1800</v>
      </c>
      <c r="AA981" s="3">
        <v>0</v>
      </c>
      <c r="AB981" s="3">
        <f>ROUND(U981 - (V981+W981+X981+Y981) - (U981/Q981 * 2),0)</f>
        <v>34483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f>SUM(V981+W981+X981+Y981+AB981)</f>
        <v>93333</v>
      </c>
      <c r="AK981" s="3">
        <f>SUM(AJ981-AA981)</f>
        <v>93333</v>
      </c>
      <c r="AL981" s="3">
        <f>IF(V981&lt;=15000,V981*12%,1800)</f>
        <v>1800</v>
      </c>
      <c r="AM981" s="3">
        <v>0</v>
      </c>
      <c r="AN981" s="3">
        <f t="shared" si="140"/>
        <v>1800</v>
      </c>
      <c r="AO981" s="12">
        <v>200</v>
      </c>
      <c r="AP981" s="12">
        <v>0</v>
      </c>
      <c r="AQ981" s="12">
        <v>0</v>
      </c>
      <c r="AR981" s="12">
        <v>0</v>
      </c>
      <c r="AS981" s="12">
        <v>0</v>
      </c>
      <c r="AT981" s="12">
        <v>0</v>
      </c>
      <c r="AU981" s="3">
        <f t="shared" si="142"/>
        <v>200</v>
      </c>
      <c r="AV981" s="3">
        <f>SUM(AJ981 - AN981 - AU981)</f>
        <v>91333</v>
      </c>
      <c r="AW981" s="11">
        <v>0</v>
      </c>
      <c r="AX981" s="11">
        <v>0</v>
      </c>
      <c r="AY981" s="11">
        <v>0</v>
      </c>
      <c r="AZ981" s="11">
        <v>0</v>
      </c>
      <c r="BA981" s="3">
        <f t="shared" si="141"/>
        <v>91333</v>
      </c>
    </row>
    <row r="982" spans="1:53" x14ac:dyDescent="0.25">
      <c r="A982" s="1" t="s">
        <v>980</v>
      </c>
      <c r="B982" s="9" t="s">
        <v>2886</v>
      </c>
      <c r="C982" s="9" t="s">
        <v>1075</v>
      </c>
      <c r="D982" s="9" t="s">
        <v>2887</v>
      </c>
      <c r="E982" s="9" t="s">
        <v>1012</v>
      </c>
      <c r="F982" s="10">
        <v>44690</v>
      </c>
      <c r="G982" s="9" t="s">
        <v>1019</v>
      </c>
      <c r="I982" s="9" t="s">
        <v>1014</v>
      </c>
      <c r="J982" s="9" t="s">
        <v>1015</v>
      </c>
      <c r="K982" s="8" t="s">
        <v>1006</v>
      </c>
      <c r="L982" s="8" t="s">
        <v>1007</v>
      </c>
      <c r="M982" s="8" t="s">
        <v>2933</v>
      </c>
      <c r="N982" s="8" t="s">
        <v>2937</v>
      </c>
      <c r="O982" s="1" t="s">
        <v>2934</v>
      </c>
      <c r="P982">
        <v>30</v>
      </c>
      <c r="Q982">
        <v>30</v>
      </c>
      <c r="R982">
        <v>0</v>
      </c>
      <c r="S982">
        <f t="shared" si="143"/>
        <v>30</v>
      </c>
      <c r="T982" s="1" t="s">
        <v>2935</v>
      </c>
      <c r="U982" s="1" t="s">
        <v>2932</v>
      </c>
      <c r="V982" s="3">
        <f t="shared" si="144"/>
        <v>40000</v>
      </c>
      <c r="W982" s="3">
        <f t="shared" si="145"/>
        <v>16000</v>
      </c>
      <c r="X982" s="3">
        <f t="shared" si="137"/>
        <v>1250</v>
      </c>
      <c r="Y982" s="3">
        <f t="shared" si="138"/>
        <v>1600</v>
      </c>
      <c r="Z982" s="3">
        <f t="shared" si="139"/>
        <v>1800</v>
      </c>
      <c r="AA982" s="3">
        <v>0</v>
      </c>
      <c r="AB982" s="3">
        <f>ROUND(U982 - (V982+W982+X982+Y982) - (U982/Q982 * 2),0)</f>
        <v>34483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f>SUM(V982+W982+X982+Y982+AB982)</f>
        <v>93333</v>
      </c>
      <c r="AK982" s="3">
        <f>SUM(AJ982-AA982)</f>
        <v>93333</v>
      </c>
      <c r="AL982" s="3">
        <f>IF(V982&lt;=15000,V982*12%,1800)</f>
        <v>1800</v>
      </c>
      <c r="AM982" s="3">
        <v>0</v>
      </c>
      <c r="AN982" s="3">
        <f t="shared" si="140"/>
        <v>1800</v>
      </c>
      <c r="AO982" s="12">
        <v>200</v>
      </c>
      <c r="AP982" s="12">
        <v>0</v>
      </c>
      <c r="AQ982" s="12">
        <v>0</v>
      </c>
      <c r="AR982" s="12">
        <v>0</v>
      </c>
      <c r="AS982" s="12">
        <v>0</v>
      </c>
      <c r="AT982" s="12">
        <v>0</v>
      </c>
      <c r="AU982" s="3">
        <f t="shared" si="142"/>
        <v>200</v>
      </c>
      <c r="AV982" s="3">
        <f>SUM(AJ982 - AN982 - AU982)</f>
        <v>91333</v>
      </c>
      <c r="AW982" s="11">
        <v>0</v>
      </c>
      <c r="AX982" s="11">
        <v>0</v>
      </c>
      <c r="AY982" s="11">
        <v>0</v>
      </c>
      <c r="AZ982" s="11">
        <v>0</v>
      </c>
      <c r="BA982" s="3">
        <f t="shared" si="141"/>
        <v>91333</v>
      </c>
    </row>
    <row r="983" spans="1:53" x14ac:dyDescent="0.25">
      <c r="A983" s="1" t="s">
        <v>981</v>
      </c>
      <c r="B983" s="9" t="s">
        <v>2884</v>
      </c>
      <c r="C983" s="9" t="s">
        <v>1663</v>
      </c>
      <c r="D983" s="9" t="s">
        <v>2885</v>
      </c>
      <c r="E983" s="9" t="s">
        <v>1012</v>
      </c>
      <c r="F983" s="10">
        <v>44305</v>
      </c>
      <c r="G983" s="9" t="s">
        <v>1013</v>
      </c>
      <c r="I983" s="9" t="s">
        <v>1042</v>
      </c>
      <c r="J983" s="9" t="s">
        <v>1440</v>
      </c>
      <c r="K983" s="8" t="s">
        <v>1006</v>
      </c>
      <c r="L983" s="8" t="s">
        <v>1007</v>
      </c>
      <c r="M983" s="8" t="s">
        <v>2933</v>
      </c>
      <c r="N983" s="8" t="s">
        <v>2937</v>
      </c>
      <c r="O983" s="1" t="s">
        <v>2934</v>
      </c>
      <c r="P983">
        <v>30</v>
      </c>
      <c r="Q983">
        <v>30</v>
      </c>
      <c r="R983">
        <v>0</v>
      </c>
      <c r="S983">
        <f t="shared" si="143"/>
        <v>30</v>
      </c>
      <c r="T983" s="1" t="s">
        <v>2935</v>
      </c>
      <c r="U983" s="1" t="s">
        <v>2932</v>
      </c>
      <c r="V983" s="3">
        <f t="shared" si="144"/>
        <v>40000</v>
      </c>
      <c r="W983" s="3">
        <f t="shared" si="145"/>
        <v>16000</v>
      </c>
      <c r="X983" s="3">
        <f t="shared" si="137"/>
        <v>1250</v>
      </c>
      <c r="Y983" s="3">
        <f t="shared" si="138"/>
        <v>1600</v>
      </c>
      <c r="Z983" s="3">
        <f t="shared" si="139"/>
        <v>1800</v>
      </c>
      <c r="AA983" s="3">
        <v>0</v>
      </c>
      <c r="AB983" s="3">
        <f>ROUND(U983 - (V983+W983+X983+Y983) - (U983/Q983 * 2),0)</f>
        <v>34483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f>SUM(V983+W983+X983+Y983+AB983)</f>
        <v>93333</v>
      </c>
      <c r="AK983" s="3">
        <f>SUM(AJ983-AA983)</f>
        <v>93333</v>
      </c>
      <c r="AL983" s="3">
        <f>IF(V983&lt;=15000,V983*12%,1800)</f>
        <v>1800</v>
      </c>
      <c r="AM983" s="3">
        <v>0</v>
      </c>
      <c r="AN983" s="3">
        <f t="shared" si="140"/>
        <v>1800</v>
      </c>
      <c r="AO983" s="12">
        <v>200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3">
        <f t="shared" si="142"/>
        <v>200</v>
      </c>
      <c r="AV983" s="3">
        <f>SUM(AJ983 - AN983 - AU983)</f>
        <v>91333</v>
      </c>
      <c r="AW983" s="11">
        <v>0</v>
      </c>
      <c r="AX983" s="11">
        <v>0</v>
      </c>
      <c r="AY983" s="11">
        <v>0</v>
      </c>
      <c r="AZ983" s="11">
        <v>0</v>
      </c>
      <c r="BA983" s="3">
        <f t="shared" si="141"/>
        <v>91333</v>
      </c>
    </row>
    <row r="984" spans="1:53" x14ac:dyDescent="0.25">
      <c r="A984" s="1" t="s">
        <v>982</v>
      </c>
      <c r="B984" s="9" t="s">
        <v>2882</v>
      </c>
      <c r="C984" s="9" t="s">
        <v>2809</v>
      </c>
      <c r="D984" s="9" t="s">
        <v>2883</v>
      </c>
      <c r="E984" s="9" t="s">
        <v>1012</v>
      </c>
      <c r="F984" s="10">
        <v>44305</v>
      </c>
      <c r="G984" s="9" t="s">
        <v>1013</v>
      </c>
      <c r="I984" s="9" t="s">
        <v>1035</v>
      </c>
      <c r="J984" s="9" t="s">
        <v>1307</v>
      </c>
      <c r="K984" s="8" t="s">
        <v>1006</v>
      </c>
      <c r="L984" s="8" t="s">
        <v>1007</v>
      </c>
      <c r="M984" s="8" t="s">
        <v>2933</v>
      </c>
      <c r="N984" s="8" t="s">
        <v>2937</v>
      </c>
      <c r="O984" s="1" t="s">
        <v>2934</v>
      </c>
      <c r="P984">
        <v>30</v>
      </c>
      <c r="Q984">
        <v>30</v>
      </c>
      <c r="R984">
        <v>0</v>
      </c>
      <c r="S984">
        <f t="shared" si="143"/>
        <v>30</v>
      </c>
      <c r="T984" s="1" t="s">
        <v>2935</v>
      </c>
      <c r="U984" s="1" t="s">
        <v>2932</v>
      </c>
      <c r="V984" s="3">
        <f t="shared" si="144"/>
        <v>40000</v>
      </c>
      <c r="W984" s="3">
        <f t="shared" si="145"/>
        <v>16000</v>
      </c>
      <c r="X984" s="3">
        <f t="shared" si="137"/>
        <v>1250</v>
      </c>
      <c r="Y984" s="3">
        <f t="shared" si="138"/>
        <v>1600</v>
      </c>
      <c r="Z984" s="3">
        <f t="shared" si="139"/>
        <v>1800</v>
      </c>
      <c r="AA984" s="3">
        <v>0</v>
      </c>
      <c r="AB984" s="3">
        <f>ROUND(U984 - (V984+W984+X984+Y984) - (U984/Q984 * 2),0)</f>
        <v>34483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f>SUM(V984+W984+X984+Y984+AB984)</f>
        <v>93333</v>
      </c>
      <c r="AK984" s="3">
        <f>SUM(AJ984-AA984)</f>
        <v>93333</v>
      </c>
      <c r="AL984" s="3">
        <f>IF(V984&lt;=15000,V984*12%,1800)</f>
        <v>1800</v>
      </c>
      <c r="AM984" s="3">
        <v>0</v>
      </c>
      <c r="AN984" s="3">
        <f t="shared" si="140"/>
        <v>1800</v>
      </c>
      <c r="AO984" s="12">
        <v>200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3">
        <f t="shared" si="142"/>
        <v>200</v>
      </c>
      <c r="AV984" s="3">
        <f>SUM(AJ984 - AN984 - AU984)</f>
        <v>91333</v>
      </c>
      <c r="AW984" s="11">
        <v>0</v>
      </c>
      <c r="AX984" s="11">
        <v>0</v>
      </c>
      <c r="AY984" s="11">
        <v>0</v>
      </c>
      <c r="AZ984" s="11">
        <v>0</v>
      </c>
      <c r="BA984" s="3">
        <f t="shared" si="141"/>
        <v>91333</v>
      </c>
    </row>
    <row r="985" spans="1:53" x14ac:dyDescent="0.25">
      <c r="A985" s="1" t="s">
        <v>983</v>
      </c>
      <c r="B985" s="9" t="s">
        <v>2880</v>
      </c>
      <c r="C985" s="9" t="s">
        <v>1320</v>
      </c>
      <c r="D985" s="9" t="s">
        <v>2881</v>
      </c>
      <c r="E985" s="9" t="s">
        <v>1008</v>
      </c>
      <c r="F985" s="10">
        <v>44144</v>
      </c>
      <c r="G985" s="9" t="s">
        <v>1019</v>
      </c>
      <c r="I985" s="9" t="s">
        <v>1014</v>
      </c>
      <c r="J985" s="9" t="s">
        <v>1015</v>
      </c>
      <c r="K985" s="8" t="s">
        <v>1006</v>
      </c>
      <c r="L985" s="8" t="s">
        <v>1007</v>
      </c>
      <c r="M985" s="8" t="s">
        <v>2933</v>
      </c>
      <c r="N985" s="8" t="s">
        <v>2937</v>
      </c>
      <c r="O985" s="1" t="s">
        <v>2934</v>
      </c>
      <c r="P985">
        <v>30</v>
      </c>
      <c r="Q985">
        <v>30</v>
      </c>
      <c r="R985">
        <v>0</v>
      </c>
      <c r="S985">
        <f t="shared" si="143"/>
        <v>30</v>
      </c>
      <c r="T985" s="1" t="s">
        <v>2935</v>
      </c>
      <c r="U985" s="1" t="s">
        <v>2932</v>
      </c>
      <c r="V985" s="3">
        <f t="shared" si="144"/>
        <v>40000</v>
      </c>
      <c r="W985" s="3">
        <f t="shared" si="145"/>
        <v>16000</v>
      </c>
      <c r="X985" s="3">
        <f t="shared" si="137"/>
        <v>1250</v>
      </c>
      <c r="Y985" s="3">
        <f t="shared" si="138"/>
        <v>1600</v>
      </c>
      <c r="Z985" s="3">
        <f t="shared" si="139"/>
        <v>1800</v>
      </c>
      <c r="AA985" s="3">
        <v>0</v>
      </c>
      <c r="AB985" s="3">
        <f>ROUND(U985 - (V985+W985+X985+Y985) - (U985/Q985 * 2),0)</f>
        <v>34483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f>SUM(V985+W985+X985+Y985+AB985)</f>
        <v>93333</v>
      </c>
      <c r="AK985" s="3">
        <f>SUM(AJ985-AA985)</f>
        <v>93333</v>
      </c>
      <c r="AL985" s="3">
        <f>IF(V985&lt;=15000,V985*12%,1800)</f>
        <v>1800</v>
      </c>
      <c r="AM985" s="3">
        <v>0</v>
      </c>
      <c r="AN985" s="3">
        <f t="shared" si="140"/>
        <v>1800</v>
      </c>
      <c r="AO985" s="12">
        <v>200</v>
      </c>
      <c r="AP985" s="12">
        <v>0</v>
      </c>
      <c r="AQ985" s="12">
        <v>0</v>
      </c>
      <c r="AR985" s="12">
        <v>0</v>
      </c>
      <c r="AS985" s="12">
        <v>0</v>
      </c>
      <c r="AT985" s="12">
        <v>0</v>
      </c>
      <c r="AU985" s="3">
        <f t="shared" si="142"/>
        <v>200</v>
      </c>
      <c r="AV985" s="3">
        <f>SUM(AJ985 - AN985 - AU985)</f>
        <v>91333</v>
      </c>
      <c r="AW985" s="11">
        <v>0</v>
      </c>
      <c r="AX985" s="11">
        <v>0</v>
      </c>
      <c r="AY985" s="11">
        <v>0</v>
      </c>
      <c r="AZ985" s="11">
        <v>0</v>
      </c>
      <c r="BA985" s="3">
        <f t="shared" si="141"/>
        <v>91333</v>
      </c>
    </row>
    <row r="986" spans="1:53" x14ac:dyDescent="0.25">
      <c r="A986" s="1" t="s">
        <v>984</v>
      </c>
      <c r="B986" s="9" t="s">
        <v>2878</v>
      </c>
      <c r="C986" s="9" t="s">
        <v>1115</v>
      </c>
      <c r="D986" s="9" t="s">
        <v>2879</v>
      </c>
      <c r="E986" s="9" t="s">
        <v>1012</v>
      </c>
      <c r="F986" s="10">
        <v>44335</v>
      </c>
      <c r="G986" s="9" t="s">
        <v>1019</v>
      </c>
      <c r="I986" s="9" t="s">
        <v>1035</v>
      </c>
      <c r="J986" s="9" t="s">
        <v>1048</v>
      </c>
      <c r="K986" s="8" t="s">
        <v>1006</v>
      </c>
      <c r="L986" s="8" t="s">
        <v>1007</v>
      </c>
      <c r="M986" s="8" t="s">
        <v>2933</v>
      </c>
      <c r="N986" s="8" t="s">
        <v>2937</v>
      </c>
      <c r="O986" s="1" t="s">
        <v>2934</v>
      </c>
      <c r="P986">
        <v>30</v>
      </c>
      <c r="Q986">
        <v>30</v>
      </c>
      <c r="R986">
        <v>0</v>
      </c>
      <c r="S986">
        <f t="shared" si="143"/>
        <v>30</v>
      </c>
      <c r="T986" s="1" t="s">
        <v>2935</v>
      </c>
      <c r="U986" s="1" t="s">
        <v>2932</v>
      </c>
      <c r="V986" s="3">
        <f t="shared" si="144"/>
        <v>40000</v>
      </c>
      <c r="W986" s="3">
        <f t="shared" si="145"/>
        <v>16000</v>
      </c>
      <c r="X986" s="3">
        <f t="shared" si="137"/>
        <v>1250</v>
      </c>
      <c r="Y986" s="3">
        <f t="shared" si="138"/>
        <v>1600</v>
      </c>
      <c r="Z986" s="3">
        <f t="shared" si="139"/>
        <v>1800</v>
      </c>
      <c r="AA986" s="3">
        <v>0</v>
      </c>
      <c r="AB986" s="3">
        <f>ROUND(U986 - (V986+W986+X986+Y986) - (U986/Q986 * 2),0)</f>
        <v>34483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f>SUM(V986+W986+X986+Y986+AB986)</f>
        <v>93333</v>
      </c>
      <c r="AK986" s="3">
        <f>SUM(AJ986-AA986)</f>
        <v>93333</v>
      </c>
      <c r="AL986" s="3">
        <f>IF(V986&lt;=15000,V986*12%,1800)</f>
        <v>1800</v>
      </c>
      <c r="AM986" s="3">
        <v>0</v>
      </c>
      <c r="AN986" s="3">
        <f t="shared" si="140"/>
        <v>1800</v>
      </c>
      <c r="AO986" s="12">
        <v>200</v>
      </c>
      <c r="AP986" s="12">
        <v>0</v>
      </c>
      <c r="AQ986" s="12">
        <v>0</v>
      </c>
      <c r="AR986" s="12">
        <v>0</v>
      </c>
      <c r="AS986" s="12">
        <v>0</v>
      </c>
      <c r="AT986" s="12">
        <v>0</v>
      </c>
      <c r="AU986" s="3">
        <f t="shared" si="142"/>
        <v>200</v>
      </c>
      <c r="AV986" s="3">
        <f>SUM(AJ986 - AN986 - AU986)</f>
        <v>91333</v>
      </c>
      <c r="AW986" s="11">
        <v>0</v>
      </c>
      <c r="AX986" s="11">
        <v>0</v>
      </c>
      <c r="AY986" s="11">
        <v>0</v>
      </c>
      <c r="AZ986" s="11">
        <v>0</v>
      </c>
      <c r="BA986" s="3">
        <f t="shared" si="141"/>
        <v>91333</v>
      </c>
    </row>
    <row r="987" spans="1:53" x14ac:dyDescent="0.25">
      <c r="A987" s="1" t="s">
        <v>985</v>
      </c>
      <c r="B987" s="9" t="s">
        <v>2876</v>
      </c>
      <c r="C987" s="9" t="s">
        <v>1075</v>
      </c>
      <c r="D987" s="9" t="s">
        <v>2877</v>
      </c>
      <c r="E987" s="9" t="s">
        <v>1012</v>
      </c>
      <c r="F987" s="10">
        <v>44179</v>
      </c>
      <c r="G987" s="9" t="s">
        <v>1013</v>
      </c>
      <c r="I987" s="9" t="s">
        <v>1014</v>
      </c>
      <c r="J987" s="9" t="s">
        <v>1015</v>
      </c>
      <c r="K987" s="8" t="s">
        <v>1006</v>
      </c>
      <c r="L987" s="8" t="s">
        <v>1007</v>
      </c>
      <c r="M987" s="8" t="s">
        <v>2933</v>
      </c>
      <c r="N987" s="8" t="s">
        <v>2937</v>
      </c>
      <c r="O987" s="1" t="s">
        <v>2934</v>
      </c>
      <c r="P987">
        <v>30</v>
      </c>
      <c r="Q987">
        <v>30</v>
      </c>
      <c r="R987">
        <v>0</v>
      </c>
      <c r="S987">
        <f t="shared" si="143"/>
        <v>30</v>
      </c>
      <c r="T987" s="1" t="s">
        <v>2935</v>
      </c>
      <c r="U987" s="1" t="s">
        <v>2932</v>
      </c>
      <c r="V987" s="3">
        <f t="shared" si="144"/>
        <v>40000</v>
      </c>
      <c r="W987" s="3">
        <f t="shared" si="145"/>
        <v>16000</v>
      </c>
      <c r="X987" s="3">
        <f t="shared" si="137"/>
        <v>1250</v>
      </c>
      <c r="Y987" s="3">
        <f t="shared" si="138"/>
        <v>1600</v>
      </c>
      <c r="Z987" s="3">
        <f t="shared" si="139"/>
        <v>1800</v>
      </c>
      <c r="AA987" s="3">
        <v>0</v>
      </c>
      <c r="AB987" s="3">
        <f>ROUND(U987 - (V987+W987+X987+Y987) - (U987/Q987 * 2),0)</f>
        <v>34483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f>SUM(V987+W987+X987+Y987+AB987)</f>
        <v>93333</v>
      </c>
      <c r="AK987" s="3">
        <f>SUM(AJ987-AA987)</f>
        <v>93333</v>
      </c>
      <c r="AL987" s="3">
        <f>IF(V987&lt;=15000,V987*12%,1800)</f>
        <v>1800</v>
      </c>
      <c r="AM987" s="3">
        <v>0</v>
      </c>
      <c r="AN987" s="3">
        <f t="shared" si="140"/>
        <v>1800</v>
      </c>
      <c r="AO987" s="12">
        <v>200</v>
      </c>
      <c r="AP987" s="12">
        <v>0</v>
      </c>
      <c r="AQ987" s="12">
        <v>0</v>
      </c>
      <c r="AR987" s="12">
        <v>0</v>
      </c>
      <c r="AS987" s="12">
        <v>0</v>
      </c>
      <c r="AT987" s="12">
        <v>0</v>
      </c>
      <c r="AU987" s="3">
        <f t="shared" si="142"/>
        <v>200</v>
      </c>
      <c r="AV987" s="3">
        <f>SUM(AJ987 - AN987 - AU987)</f>
        <v>91333</v>
      </c>
      <c r="AW987" s="11">
        <v>0</v>
      </c>
      <c r="AX987" s="11">
        <v>0</v>
      </c>
      <c r="AY987" s="11">
        <v>0</v>
      </c>
      <c r="AZ987" s="11">
        <v>0</v>
      </c>
      <c r="BA987" s="3">
        <f t="shared" si="141"/>
        <v>91333</v>
      </c>
    </row>
    <row r="988" spans="1:53" x14ac:dyDescent="0.25">
      <c r="A988" s="1" t="s">
        <v>986</v>
      </c>
      <c r="B988" s="9" t="s">
        <v>1738</v>
      </c>
      <c r="C988" s="9" t="s">
        <v>1026</v>
      </c>
      <c r="D988" s="9" t="s">
        <v>2875</v>
      </c>
      <c r="E988" s="9" t="s">
        <v>1008</v>
      </c>
      <c r="F988" s="10">
        <v>44182</v>
      </c>
      <c r="G988" s="9" t="s">
        <v>1019</v>
      </c>
      <c r="I988" s="9" t="s">
        <v>1014</v>
      </c>
      <c r="J988" s="9" t="s">
        <v>1015</v>
      </c>
      <c r="K988" s="8" t="s">
        <v>1006</v>
      </c>
      <c r="L988" s="8" t="s">
        <v>1007</v>
      </c>
      <c r="M988" s="8" t="s">
        <v>2933</v>
      </c>
      <c r="N988" s="8" t="s">
        <v>2937</v>
      </c>
      <c r="O988" s="1" t="s">
        <v>2934</v>
      </c>
      <c r="P988">
        <v>30</v>
      </c>
      <c r="Q988">
        <v>30</v>
      </c>
      <c r="R988">
        <v>0</v>
      </c>
      <c r="S988">
        <f t="shared" si="143"/>
        <v>30</v>
      </c>
      <c r="T988" s="1" t="s">
        <v>2935</v>
      </c>
      <c r="U988" s="1" t="s">
        <v>2932</v>
      </c>
      <c r="V988" s="3">
        <f t="shared" si="144"/>
        <v>40000</v>
      </c>
      <c r="W988" s="3">
        <f t="shared" si="145"/>
        <v>16000</v>
      </c>
      <c r="X988" s="3">
        <f t="shared" si="137"/>
        <v>1250</v>
      </c>
      <c r="Y988" s="3">
        <f t="shared" si="138"/>
        <v>1600</v>
      </c>
      <c r="Z988" s="3">
        <f t="shared" si="139"/>
        <v>1800</v>
      </c>
      <c r="AA988" s="3">
        <v>0</v>
      </c>
      <c r="AB988" s="3">
        <f>ROUND(U988 - (V988+W988+X988+Y988) - (U988/Q988 * 2),0)</f>
        <v>34483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f>SUM(V988+W988+X988+Y988+AB988)</f>
        <v>93333</v>
      </c>
      <c r="AK988" s="3">
        <f>SUM(AJ988-AA988)</f>
        <v>93333</v>
      </c>
      <c r="AL988" s="3">
        <f>IF(V988&lt;=15000,V988*12%,1800)</f>
        <v>1800</v>
      </c>
      <c r="AM988" s="3">
        <v>0</v>
      </c>
      <c r="AN988" s="3">
        <f t="shared" si="140"/>
        <v>1800</v>
      </c>
      <c r="AO988" s="12">
        <v>200</v>
      </c>
      <c r="AP988" s="12">
        <v>0</v>
      </c>
      <c r="AQ988" s="12">
        <v>0</v>
      </c>
      <c r="AR988" s="12">
        <v>0</v>
      </c>
      <c r="AS988" s="12">
        <v>0</v>
      </c>
      <c r="AT988" s="12">
        <v>0</v>
      </c>
      <c r="AU988" s="3">
        <f t="shared" si="142"/>
        <v>200</v>
      </c>
      <c r="AV988" s="3">
        <f>SUM(AJ988 - AN988 - AU988)</f>
        <v>91333</v>
      </c>
      <c r="AW988" s="11">
        <v>0</v>
      </c>
      <c r="AX988" s="11">
        <v>0</v>
      </c>
      <c r="AY988" s="11">
        <v>0</v>
      </c>
      <c r="AZ988" s="11">
        <v>0</v>
      </c>
      <c r="BA988" s="3">
        <f t="shared" si="141"/>
        <v>91333</v>
      </c>
    </row>
    <row r="989" spans="1:53" x14ac:dyDescent="0.25">
      <c r="A989" s="1" t="s">
        <v>987</v>
      </c>
      <c r="B989" s="9" t="s">
        <v>1261</v>
      </c>
      <c r="C989" s="9" t="s">
        <v>1063</v>
      </c>
      <c r="D989" s="9" t="s">
        <v>2874</v>
      </c>
      <c r="E989" s="9" t="s">
        <v>1012</v>
      </c>
      <c r="F989" s="10">
        <v>44182</v>
      </c>
      <c r="G989" s="9" t="s">
        <v>1019</v>
      </c>
      <c r="I989" s="9" t="s">
        <v>1014</v>
      </c>
      <c r="J989" s="9" t="s">
        <v>1015</v>
      </c>
      <c r="K989" s="8" t="s">
        <v>1006</v>
      </c>
      <c r="L989" s="8" t="s">
        <v>1007</v>
      </c>
      <c r="M989" s="8" t="s">
        <v>2933</v>
      </c>
      <c r="N989" s="8" t="s">
        <v>2937</v>
      </c>
      <c r="O989" s="1" t="s">
        <v>2934</v>
      </c>
      <c r="P989">
        <v>30</v>
      </c>
      <c r="Q989">
        <v>30</v>
      </c>
      <c r="R989">
        <v>0</v>
      </c>
      <c r="S989">
        <f t="shared" si="143"/>
        <v>30</v>
      </c>
      <c r="T989" s="1" t="s">
        <v>2935</v>
      </c>
      <c r="U989" s="1" t="s">
        <v>2932</v>
      </c>
      <c r="V989" s="3">
        <f t="shared" si="144"/>
        <v>40000</v>
      </c>
      <c r="W989" s="3">
        <f t="shared" si="145"/>
        <v>16000</v>
      </c>
      <c r="X989" s="3">
        <f t="shared" si="137"/>
        <v>1250</v>
      </c>
      <c r="Y989" s="3">
        <f t="shared" si="138"/>
        <v>1600</v>
      </c>
      <c r="Z989" s="3">
        <f t="shared" si="139"/>
        <v>1800</v>
      </c>
      <c r="AA989" s="3">
        <v>0</v>
      </c>
      <c r="AB989" s="3">
        <f>ROUND(U989 - (V989+W989+X989+Y989) - (U989/Q989 * 2),0)</f>
        <v>34483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f>SUM(V989+W989+X989+Y989+AB989)</f>
        <v>93333</v>
      </c>
      <c r="AK989" s="3">
        <f>SUM(AJ989-AA989)</f>
        <v>93333</v>
      </c>
      <c r="AL989" s="3">
        <f>IF(V989&lt;=15000,V989*12%,1800)</f>
        <v>1800</v>
      </c>
      <c r="AM989" s="3">
        <v>0</v>
      </c>
      <c r="AN989" s="3">
        <f t="shared" si="140"/>
        <v>1800</v>
      </c>
      <c r="AO989" s="12">
        <v>200</v>
      </c>
      <c r="AP989" s="12">
        <v>0</v>
      </c>
      <c r="AQ989" s="12">
        <v>0</v>
      </c>
      <c r="AR989" s="12">
        <v>0</v>
      </c>
      <c r="AS989" s="12">
        <v>0</v>
      </c>
      <c r="AT989" s="12">
        <v>0</v>
      </c>
      <c r="AU989" s="3">
        <f t="shared" si="142"/>
        <v>200</v>
      </c>
      <c r="AV989" s="3">
        <f>SUM(AJ989 - AN989 - AU989)</f>
        <v>91333</v>
      </c>
      <c r="AW989" s="11">
        <v>0</v>
      </c>
      <c r="AX989" s="11">
        <v>0</v>
      </c>
      <c r="AY989" s="11">
        <v>0</v>
      </c>
      <c r="AZ989" s="11">
        <v>0</v>
      </c>
      <c r="BA989" s="3">
        <f t="shared" si="141"/>
        <v>91333</v>
      </c>
    </row>
    <row r="990" spans="1:53" x14ac:dyDescent="0.25">
      <c r="A990" s="1" t="s">
        <v>988</v>
      </c>
      <c r="B990" s="9" t="s">
        <v>1275</v>
      </c>
      <c r="C990" s="9" t="s">
        <v>1320</v>
      </c>
      <c r="D990" s="9" t="s">
        <v>2873</v>
      </c>
      <c r="E990" s="9" t="s">
        <v>1012</v>
      </c>
      <c r="F990" s="10">
        <v>44188</v>
      </c>
      <c r="G990" s="9" t="s">
        <v>1019</v>
      </c>
      <c r="I990" s="9" t="s">
        <v>1014</v>
      </c>
      <c r="J990" s="9" t="s">
        <v>1015</v>
      </c>
      <c r="K990" s="8" t="s">
        <v>1006</v>
      </c>
      <c r="L990" s="8" t="s">
        <v>1007</v>
      </c>
      <c r="M990" s="8" t="s">
        <v>2933</v>
      </c>
      <c r="N990" s="8" t="s">
        <v>2937</v>
      </c>
      <c r="O990" s="1" t="s">
        <v>2934</v>
      </c>
      <c r="P990">
        <v>30</v>
      </c>
      <c r="Q990">
        <v>30</v>
      </c>
      <c r="R990">
        <v>0</v>
      </c>
      <c r="S990">
        <f t="shared" si="143"/>
        <v>30</v>
      </c>
      <c r="T990" s="1" t="s">
        <v>2935</v>
      </c>
      <c r="U990" s="1" t="s">
        <v>2932</v>
      </c>
      <c r="V990" s="3">
        <f t="shared" si="144"/>
        <v>40000</v>
      </c>
      <c r="W990" s="3">
        <f t="shared" si="145"/>
        <v>16000</v>
      </c>
      <c r="X990" s="3">
        <f t="shared" si="137"/>
        <v>1250</v>
      </c>
      <c r="Y990" s="3">
        <f t="shared" si="138"/>
        <v>1600</v>
      </c>
      <c r="Z990" s="3">
        <f t="shared" si="139"/>
        <v>1800</v>
      </c>
      <c r="AA990" s="3">
        <v>0</v>
      </c>
      <c r="AB990" s="3">
        <f>ROUND(U990 - (V990+W990+X990+Y990) - (U990/Q990 * 2),0)</f>
        <v>34483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f>SUM(V990+W990+X990+Y990+AB990)</f>
        <v>93333</v>
      </c>
      <c r="AK990" s="3">
        <f>SUM(AJ990-AA990)</f>
        <v>93333</v>
      </c>
      <c r="AL990" s="3">
        <f>IF(V990&lt;=15000,V990*12%,1800)</f>
        <v>1800</v>
      </c>
      <c r="AM990" s="3">
        <v>0</v>
      </c>
      <c r="AN990" s="3">
        <f t="shared" si="140"/>
        <v>1800</v>
      </c>
      <c r="AO990" s="12">
        <v>200</v>
      </c>
      <c r="AP990" s="12">
        <v>0</v>
      </c>
      <c r="AQ990" s="12">
        <v>0</v>
      </c>
      <c r="AR990" s="12">
        <v>0</v>
      </c>
      <c r="AS990" s="12">
        <v>0</v>
      </c>
      <c r="AT990" s="12">
        <v>0</v>
      </c>
      <c r="AU990" s="3">
        <f t="shared" si="142"/>
        <v>200</v>
      </c>
      <c r="AV990" s="3">
        <f>SUM(AJ990 - AN990 - AU990)</f>
        <v>91333</v>
      </c>
      <c r="AW990" s="11">
        <v>0</v>
      </c>
      <c r="AX990" s="11">
        <v>0</v>
      </c>
      <c r="AY990" s="11">
        <v>0</v>
      </c>
      <c r="AZ990" s="11">
        <v>0</v>
      </c>
      <c r="BA990" s="3">
        <f t="shared" si="141"/>
        <v>91333</v>
      </c>
    </row>
    <row r="991" spans="1:53" x14ac:dyDescent="0.25">
      <c r="A991" s="1" t="s">
        <v>989</v>
      </c>
      <c r="B991" s="9" t="s">
        <v>2925</v>
      </c>
      <c r="C991" s="9" t="s">
        <v>1431</v>
      </c>
      <c r="D991" s="9" t="s">
        <v>2926</v>
      </c>
      <c r="E991" s="9" t="s">
        <v>1012</v>
      </c>
      <c r="F991" s="10">
        <v>44200</v>
      </c>
      <c r="G991" s="9" t="s">
        <v>1013</v>
      </c>
      <c r="I991" s="9" t="s">
        <v>1014</v>
      </c>
      <c r="J991" s="9" t="s">
        <v>1015</v>
      </c>
      <c r="K991" s="8" t="s">
        <v>1006</v>
      </c>
      <c r="L991" s="8" t="s">
        <v>1007</v>
      </c>
      <c r="M991" s="8" t="s">
        <v>2933</v>
      </c>
      <c r="N991" s="8" t="s">
        <v>2937</v>
      </c>
      <c r="O991" s="1" t="s">
        <v>2934</v>
      </c>
      <c r="P991">
        <v>30</v>
      </c>
      <c r="Q991">
        <v>30</v>
      </c>
      <c r="R991">
        <v>0</v>
      </c>
      <c r="S991">
        <f t="shared" si="143"/>
        <v>30</v>
      </c>
      <c r="T991" s="1" t="s">
        <v>2935</v>
      </c>
      <c r="U991" s="1" t="s">
        <v>2932</v>
      </c>
      <c r="V991" s="3">
        <f t="shared" si="144"/>
        <v>40000</v>
      </c>
      <c r="W991" s="3">
        <f t="shared" si="145"/>
        <v>16000</v>
      </c>
      <c r="X991" s="3">
        <f t="shared" si="137"/>
        <v>1250</v>
      </c>
      <c r="Y991" s="3">
        <f t="shared" si="138"/>
        <v>1600</v>
      </c>
      <c r="Z991" s="3">
        <f t="shared" si="139"/>
        <v>1800</v>
      </c>
      <c r="AA991" s="3">
        <v>0</v>
      </c>
      <c r="AB991" s="3">
        <f>ROUND(U991 - (V991+W991+X991+Y991) - (U991/Q991 * 2),0)</f>
        <v>34483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f>SUM(V991+W991+X991+Y991+AB991)</f>
        <v>93333</v>
      </c>
      <c r="AK991" s="3">
        <f>SUM(AJ991-AA991)</f>
        <v>93333</v>
      </c>
      <c r="AL991" s="3">
        <f>IF(V991&lt;=15000,V991*12%,1800)</f>
        <v>1800</v>
      </c>
      <c r="AM991" s="3">
        <v>0</v>
      </c>
      <c r="AN991" s="3">
        <f t="shared" si="140"/>
        <v>1800</v>
      </c>
      <c r="AO991" s="12">
        <v>200</v>
      </c>
      <c r="AP991" s="12">
        <v>0</v>
      </c>
      <c r="AQ991" s="12">
        <v>0</v>
      </c>
      <c r="AR991" s="12">
        <v>0</v>
      </c>
      <c r="AS991" s="12">
        <v>0</v>
      </c>
      <c r="AT991" s="12">
        <v>0</v>
      </c>
      <c r="AU991" s="3">
        <f t="shared" si="142"/>
        <v>200</v>
      </c>
      <c r="AV991" s="3">
        <f>SUM(AJ991 - AN991 - AU991)</f>
        <v>91333</v>
      </c>
      <c r="AW991" s="11">
        <v>0</v>
      </c>
      <c r="AX991" s="11">
        <v>0</v>
      </c>
      <c r="AY991" s="11">
        <v>0</v>
      </c>
      <c r="AZ991" s="11">
        <v>0</v>
      </c>
      <c r="BA991" s="3">
        <f t="shared" si="141"/>
        <v>91333</v>
      </c>
    </row>
    <row r="992" spans="1:53" x14ac:dyDescent="0.25">
      <c r="A992" s="1" t="s">
        <v>990</v>
      </c>
      <c r="B992" s="9" t="s">
        <v>2059</v>
      </c>
      <c r="C992" s="9" t="s">
        <v>1431</v>
      </c>
      <c r="D992" s="9" t="s">
        <v>2924</v>
      </c>
      <c r="E992" s="9" t="s">
        <v>1012</v>
      </c>
      <c r="F992" s="10">
        <v>44200</v>
      </c>
      <c r="G992" s="9" t="s">
        <v>1013</v>
      </c>
      <c r="I992" s="9" t="s">
        <v>1014</v>
      </c>
      <c r="J992" s="9" t="s">
        <v>1015</v>
      </c>
      <c r="K992" s="8" t="s">
        <v>1006</v>
      </c>
      <c r="L992" s="8" t="s">
        <v>1007</v>
      </c>
      <c r="M992" s="8" t="s">
        <v>2933</v>
      </c>
      <c r="N992" s="8" t="s">
        <v>2937</v>
      </c>
      <c r="O992" s="1" t="s">
        <v>2934</v>
      </c>
      <c r="P992">
        <v>30</v>
      </c>
      <c r="Q992">
        <v>30</v>
      </c>
      <c r="R992">
        <v>0</v>
      </c>
      <c r="S992">
        <f t="shared" si="143"/>
        <v>30</v>
      </c>
      <c r="T992" s="1" t="s">
        <v>2935</v>
      </c>
      <c r="U992" s="1" t="s">
        <v>2932</v>
      </c>
      <c r="V992" s="3">
        <f t="shared" si="144"/>
        <v>40000</v>
      </c>
      <c r="W992" s="3">
        <f t="shared" si="145"/>
        <v>16000</v>
      </c>
      <c r="X992" s="3">
        <f t="shared" si="137"/>
        <v>1250</v>
      </c>
      <c r="Y992" s="3">
        <f t="shared" si="138"/>
        <v>1600</v>
      </c>
      <c r="Z992" s="3">
        <f t="shared" si="139"/>
        <v>1800</v>
      </c>
      <c r="AA992" s="3">
        <v>0</v>
      </c>
      <c r="AB992" s="3">
        <f>ROUND(U992 - (V992+W992+X992+Y992) - (U992/Q992 * 2),0)</f>
        <v>34483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f>SUM(V992+W992+X992+Y992+AB992)</f>
        <v>93333</v>
      </c>
      <c r="AK992" s="3">
        <f>SUM(AJ992-AA992)</f>
        <v>93333</v>
      </c>
      <c r="AL992" s="3">
        <f>IF(V992&lt;=15000,V992*12%,1800)</f>
        <v>1800</v>
      </c>
      <c r="AM992" s="3">
        <v>0</v>
      </c>
      <c r="AN992" s="3">
        <f t="shared" si="140"/>
        <v>1800</v>
      </c>
      <c r="AO992" s="12">
        <v>200</v>
      </c>
      <c r="AP992" s="12">
        <v>0</v>
      </c>
      <c r="AQ992" s="12">
        <v>0</v>
      </c>
      <c r="AR992" s="12">
        <v>0</v>
      </c>
      <c r="AS992" s="12">
        <v>0</v>
      </c>
      <c r="AT992" s="12">
        <v>0</v>
      </c>
      <c r="AU992" s="3">
        <f t="shared" si="142"/>
        <v>200</v>
      </c>
      <c r="AV992" s="3">
        <f>SUM(AJ992 - AN992 - AU992)</f>
        <v>91333</v>
      </c>
      <c r="AW992" s="11">
        <v>0</v>
      </c>
      <c r="AX992" s="11">
        <v>0</v>
      </c>
      <c r="AY992" s="11">
        <v>0</v>
      </c>
      <c r="AZ992" s="11">
        <v>0</v>
      </c>
      <c r="BA992" s="3">
        <f t="shared" si="141"/>
        <v>91333</v>
      </c>
    </row>
    <row r="993" spans="1:53" x14ac:dyDescent="0.25">
      <c r="A993" s="1" t="s">
        <v>991</v>
      </c>
      <c r="B993" s="9" t="s">
        <v>1831</v>
      </c>
      <c r="C993" s="9" t="s">
        <v>1431</v>
      </c>
      <c r="D993" s="9" t="s">
        <v>2923</v>
      </c>
      <c r="E993" s="9" t="s">
        <v>1008</v>
      </c>
      <c r="F993" s="10">
        <v>44200</v>
      </c>
      <c r="G993" s="9" t="s">
        <v>1013</v>
      </c>
      <c r="I993" s="9" t="s">
        <v>1014</v>
      </c>
      <c r="J993" s="9" t="s">
        <v>1015</v>
      </c>
      <c r="K993" s="8" t="s">
        <v>1006</v>
      </c>
      <c r="L993" s="8" t="s">
        <v>1007</v>
      </c>
      <c r="M993" s="8" t="s">
        <v>2933</v>
      </c>
      <c r="N993" s="8" t="s">
        <v>2937</v>
      </c>
      <c r="O993" s="1" t="s">
        <v>2934</v>
      </c>
      <c r="P993">
        <v>30</v>
      </c>
      <c r="Q993">
        <v>30</v>
      </c>
      <c r="R993">
        <v>0</v>
      </c>
      <c r="S993">
        <f t="shared" si="143"/>
        <v>30</v>
      </c>
      <c r="T993" s="1" t="s">
        <v>2935</v>
      </c>
      <c r="U993" s="1" t="s">
        <v>2932</v>
      </c>
      <c r="V993" s="3">
        <f t="shared" si="144"/>
        <v>40000</v>
      </c>
      <c r="W993" s="3">
        <f t="shared" si="145"/>
        <v>16000</v>
      </c>
      <c r="X993" s="3">
        <f t="shared" si="137"/>
        <v>1250</v>
      </c>
      <c r="Y993" s="3">
        <f t="shared" si="138"/>
        <v>1600</v>
      </c>
      <c r="Z993" s="3">
        <f t="shared" si="139"/>
        <v>1800</v>
      </c>
      <c r="AA993" s="3">
        <v>0</v>
      </c>
      <c r="AB993" s="3">
        <f>ROUND(U993 - (V993+W993+X993+Y993) - (U993/Q993 * 2),0)</f>
        <v>34483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f>SUM(V993+W993+X993+Y993+AB993)</f>
        <v>93333</v>
      </c>
      <c r="AK993" s="3">
        <f>SUM(AJ993-AA993)</f>
        <v>93333</v>
      </c>
      <c r="AL993" s="3">
        <f>IF(V993&lt;=15000,V993*12%,1800)</f>
        <v>1800</v>
      </c>
      <c r="AM993" s="3">
        <v>0</v>
      </c>
      <c r="AN993" s="3">
        <f t="shared" si="140"/>
        <v>1800</v>
      </c>
      <c r="AO993" s="12">
        <v>200</v>
      </c>
      <c r="AP993" s="12">
        <v>0</v>
      </c>
      <c r="AQ993" s="12">
        <v>0</v>
      </c>
      <c r="AR993" s="12">
        <v>0</v>
      </c>
      <c r="AS993" s="12">
        <v>0</v>
      </c>
      <c r="AT993" s="12">
        <v>0</v>
      </c>
      <c r="AU993" s="3">
        <f t="shared" si="142"/>
        <v>200</v>
      </c>
      <c r="AV993" s="3">
        <f>SUM(AJ993 - AN993 - AU993)</f>
        <v>91333</v>
      </c>
      <c r="AW993" s="11">
        <v>0</v>
      </c>
      <c r="AX993" s="11">
        <v>0</v>
      </c>
      <c r="AY993" s="11">
        <v>0</v>
      </c>
      <c r="AZ993" s="11">
        <v>0</v>
      </c>
      <c r="BA993" s="3">
        <f t="shared" si="141"/>
        <v>91333</v>
      </c>
    </row>
    <row r="994" spans="1:53" x14ac:dyDescent="0.25">
      <c r="A994" s="1" t="s">
        <v>992</v>
      </c>
      <c r="B994" s="9" t="s">
        <v>2921</v>
      </c>
      <c r="C994" s="9" t="s">
        <v>1431</v>
      </c>
      <c r="D994" s="9" t="s">
        <v>2922</v>
      </c>
      <c r="E994" s="9" t="s">
        <v>1012</v>
      </c>
      <c r="F994" s="10">
        <v>44200</v>
      </c>
      <c r="G994" s="9" t="s">
        <v>1019</v>
      </c>
      <c r="I994" s="9" t="s">
        <v>1014</v>
      </c>
      <c r="J994" s="9" t="s">
        <v>1015</v>
      </c>
      <c r="K994" s="8" t="s">
        <v>1006</v>
      </c>
      <c r="L994" s="8" t="s">
        <v>1007</v>
      </c>
      <c r="M994" s="8" t="s">
        <v>2933</v>
      </c>
      <c r="N994" s="8" t="s">
        <v>2937</v>
      </c>
      <c r="O994" s="1" t="s">
        <v>2934</v>
      </c>
      <c r="P994">
        <v>30</v>
      </c>
      <c r="Q994">
        <v>30</v>
      </c>
      <c r="R994">
        <v>0</v>
      </c>
      <c r="S994">
        <f t="shared" si="143"/>
        <v>30</v>
      </c>
      <c r="T994" s="1" t="s">
        <v>2935</v>
      </c>
      <c r="U994" s="1" t="s">
        <v>2932</v>
      </c>
      <c r="V994" s="3">
        <f t="shared" si="144"/>
        <v>40000</v>
      </c>
      <c r="W994" s="3">
        <f t="shared" si="145"/>
        <v>16000</v>
      </c>
      <c r="X994" s="3">
        <f t="shared" si="137"/>
        <v>1250</v>
      </c>
      <c r="Y994" s="3">
        <f t="shared" si="138"/>
        <v>1600</v>
      </c>
      <c r="Z994" s="3">
        <f t="shared" si="139"/>
        <v>1800</v>
      </c>
      <c r="AA994" s="3">
        <v>0</v>
      </c>
      <c r="AB994" s="3">
        <f>ROUND(U994 - (V994+W994+X994+Y994) - (U994/Q994 * 2),0)</f>
        <v>34483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f>SUM(V994+W994+X994+Y994+AB994)</f>
        <v>93333</v>
      </c>
      <c r="AK994" s="3">
        <f>SUM(AJ994-AA994)</f>
        <v>93333</v>
      </c>
      <c r="AL994" s="3">
        <f>IF(V994&lt;=15000,V994*12%,1800)</f>
        <v>1800</v>
      </c>
      <c r="AM994" s="3">
        <v>0</v>
      </c>
      <c r="AN994" s="3">
        <f t="shared" si="140"/>
        <v>1800</v>
      </c>
      <c r="AO994" s="12">
        <v>200</v>
      </c>
      <c r="AP994" s="12">
        <v>0</v>
      </c>
      <c r="AQ994" s="12">
        <v>0</v>
      </c>
      <c r="AR994" s="12">
        <v>0</v>
      </c>
      <c r="AS994" s="12">
        <v>0</v>
      </c>
      <c r="AT994" s="12">
        <v>0</v>
      </c>
      <c r="AU994" s="3">
        <f t="shared" si="142"/>
        <v>200</v>
      </c>
      <c r="AV994" s="3">
        <f>SUM(AJ994 - AN994 - AU994)</f>
        <v>91333</v>
      </c>
      <c r="AW994" s="11">
        <v>0</v>
      </c>
      <c r="AX994" s="11">
        <v>0</v>
      </c>
      <c r="AY994" s="11">
        <v>0</v>
      </c>
      <c r="AZ994" s="11">
        <v>0</v>
      </c>
      <c r="BA994" s="3">
        <f t="shared" si="141"/>
        <v>91333</v>
      </c>
    </row>
    <row r="995" spans="1:53" x14ac:dyDescent="0.25">
      <c r="A995" s="1" t="s">
        <v>993</v>
      </c>
      <c r="B995" s="9" t="s">
        <v>1125</v>
      </c>
      <c r="C995" s="9" t="s">
        <v>1434</v>
      </c>
      <c r="D995" s="9" t="s">
        <v>2920</v>
      </c>
      <c r="E995" s="9" t="s">
        <v>1008</v>
      </c>
      <c r="F995" s="10">
        <v>44200</v>
      </c>
      <c r="G995" s="9" t="s">
        <v>1019</v>
      </c>
      <c r="I995" s="9" t="s">
        <v>1020</v>
      </c>
      <c r="J995" s="9" t="s">
        <v>1015</v>
      </c>
      <c r="K995" s="8" t="s">
        <v>1006</v>
      </c>
      <c r="L995" s="8" t="s">
        <v>1007</v>
      </c>
      <c r="M995" s="8" t="s">
        <v>2933</v>
      </c>
      <c r="N995" s="8" t="s">
        <v>2937</v>
      </c>
      <c r="O995" s="1" t="s">
        <v>2934</v>
      </c>
      <c r="P995">
        <v>30</v>
      </c>
      <c r="Q995">
        <v>30</v>
      </c>
      <c r="R995">
        <v>0</v>
      </c>
      <c r="S995">
        <f t="shared" si="143"/>
        <v>30</v>
      </c>
      <c r="T995" s="1" t="s">
        <v>2935</v>
      </c>
      <c r="U995" s="1" t="s">
        <v>2932</v>
      </c>
      <c r="V995" s="3">
        <f t="shared" si="144"/>
        <v>40000</v>
      </c>
      <c r="W995" s="3">
        <f t="shared" si="145"/>
        <v>16000</v>
      </c>
      <c r="X995" s="3">
        <f t="shared" si="137"/>
        <v>1250</v>
      </c>
      <c r="Y995" s="3">
        <f t="shared" si="138"/>
        <v>1600</v>
      </c>
      <c r="Z995" s="3">
        <f t="shared" si="139"/>
        <v>1800</v>
      </c>
      <c r="AA995" s="3">
        <v>0</v>
      </c>
      <c r="AB995" s="3">
        <f>ROUND(U995 - (V995+W995+X995+Y995) - (U995/Q995 * 2),0)</f>
        <v>34483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f>SUM(V995+W995+X995+Y995+AB995)</f>
        <v>93333</v>
      </c>
      <c r="AK995" s="3">
        <f>SUM(AJ995-AA995)</f>
        <v>93333</v>
      </c>
      <c r="AL995" s="3">
        <f>IF(V995&lt;=15000,V995*12%,1800)</f>
        <v>1800</v>
      </c>
      <c r="AM995" s="3">
        <v>0</v>
      </c>
      <c r="AN995" s="3">
        <f t="shared" si="140"/>
        <v>1800</v>
      </c>
      <c r="AO995" s="12">
        <v>200</v>
      </c>
      <c r="AP995" s="12">
        <v>0</v>
      </c>
      <c r="AQ995" s="12">
        <v>0</v>
      </c>
      <c r="AR995" s="12">
        <v>0</v>
      </c>
      <c r="AS995" s="12">
        <v>0</v>
      </c>
      <c r="AT995" s="12">
        <v>0</v>
      </c>
      <c r="AU995" s="3">
        <f t="shared" si="142"/>
        <v>200</v>
      </c>
      <c r="AV995" s="3">
        <f>SUM(AJ995 - AN995 - AU995)</f>
        <v>91333</v>
      </c>
      <c r="AW995" s="11">
        <v>0</v>
      </c>
      <c r="AX995" s="11">
        <v>0</v>
      </c>
      <c r="AY995" s="11">
        <v>0</v>
      </c>
      <c r="AZ995" s="11">
        <v>0</v>
      </c>
      <c r="BA995" s="3">
        <f t="shared" si="141"/>
        <v>91333</v>
      </c>
    </row>
    <row r="996" spans="1:53" x14ac:dyDescent="0.25">
      <c r="A996" s="1" t="s">
        <v>994</v>
      </c>
      <c r="B996" s="9" t="s">
        <v>2918</v>
      </c>
      <c r="C996" s="9" t="s">
        <v>1063</v>
      </c>
      <c r="D996" s="9" t="s">
        <v>2919</v>
      </c>
      <c r="E996" s="9" t="s">
        <v>1012</v>
      </c>
      <c r="F996" s="10">
        <v>44200</v>
      </c>
      <c r="G996" s="9" t="s">
        <v>1019</v>
      </c>
      <c r="I996" s="9" t="s">
        <v>1014</v>
      </c>
      <c r="J996" s="9" t="s">
        <v>1015</v>
      </c>
      <c r="K996" s="8" t="s">
        <v>1006</v>
      </c>
      <c r="L996" s="8" t="s">
        <v>1007</v>
      </c>
      <c r="M996" s="8" t="s">
        <v>2933</v>
      </c>
      <c r="N996" s="8" t="s">
        <v>2937</v>
      </c>
      <c r="O996" s="1" t="s">
        <v>2934</v>
      </c>
      <c r="P996">
        <v>30</v>
      </c>
      <c r="Q996">
        <v>30</v>
      </c>
      <c r="R996">
        <v>0</v>
      </c>
      <c r="S996">
        <f t="shared" si="143"/>
        <v>30</v>
      </c>
      <c r="T996" s="1" t="s">
        <v>2935</v>
      </c>
      <c r="U996" s="1" t="s">
        <v>2932</v>
      </c>
      <c r="V996" s="3">
        <f t="shared" si="144"/>
        <v>40000</v>
      </c>
      <c r="W996" s="3">
        <f t="shared" si="145"/>
        <v>16000</v>
      </c>
      <c r="X996" s="3">
        <f t="shared" si="137"/>
        <v>1250</v>
      </c>
      <c r="Y996" s="3">
        <f t="shared" si="138"/>
        <v>1600</v>
      </c>
      <c r="Z996" s="3">
        <f t="shared" si="139"/>
        <v>1800</v>
      </c>
      <c r="AA996" s="3">
        <v>0</v>
      </c>
      <c r="AB996" s="3">
        <f>ROUND(U996 - (V996+W996+X996+Y996) - (U996/Q996 * 2),0)</f>
        <v>34483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f>SUM(V996+W996+X996+Y996+AB996)</f>
        <v>93333</v>
      </c>
      <c r="AK996" s="3">
        <f>SUM(AJ996-AA996)</f>
        <v>93333</v>
      </c>
      <c r="AL996" s="3">
        <f>IF(V996&lt;=15000,V996*12%,1800)</f>
        <v>1800</v>
      </c>
      <c r="AM996" s="3">
        <v>0</v>
      </c>
      <c r="AN996" s="3">
        <f t="shared" si="140"/>
        <v>1800</v>
      </c>
      <c r="AO996" s="12">
        <v>200</v>
      </c>
      <c r="AP996" s="12">
        <v>0</v>
      </c>
      <c r="AQ996" s="12">
        <v>0</v>
      </c>
      <c r="AR996" s="12">
        <v>0</v>
      </c>
      <c r="AS996" s="12">
        <v>0</v>
      </c>
      <c r="AT996" s="12">
        <v>0</v>
      </c>
      <c r="AU996" s="3">
        <f t="shared" si="142"/>
        <v>200</v>
      </c>
      <c r="AV996" s="3">
        <f>SUM(AJ996 - AN996 - AU996)</f>
        <v>91333</v>
      </c>
      <c r="AW996" s="11">
        <v>0</v>
      </c>
      <c r="AX996" s="11">
        <v>0</v>
      </c>
      <c r="AY996" s="11">
        <v>0</v>
      </c>
      <c r="AZ996" s="11">
        <v>0</v>
      </c>
      <c r="BA996" s="3">
        <f t="shared" si="141"/>
        <v>91333</v>
      </c>
    </row>
    <row r="997" spans="1:53" x14ac:dyDescent="0.25">
      <c r="A997" s="1" t="s">
        <v>995</v>
      </c>
      <c r="B997" s="9" t="s">
        <v>2916</v>
      </c>
      <c r="C997" s="9" t="s">
        <v>1320</v>
      </c>
      <c r="D997" s="9" t="s">
        <v>2917</v>
      </c>
      <c r="E997" s="9" t="s">
        <v>1008</v>
      </c>
      <c r="F997" s="10">
        <v>44203</v>
      </c>
      <c r="G997" s="9" t="s">
        <v>1019</v>
      </c>
      <c r="I997" s="9" t="s">
        <v>1014</v>
      </c>
      <c r="J997" s="9" t="s">
        <v>1015</v>
      </c>
      <c r="K997" s="8" t="s">
        <v>1006</v>
      </c>
      <c r="L997" s="8" t="s">
        <v>1007</v>
      </c>
      <c r="M997" s="8" t="s">
        <v>2933</v>
      </c>
      <c r="N997" s="8" t="s">
        <v>2937</v>
      </c>
      <c r="O997" s="1" t="s">
        <v>2934</v>
      </c>
      <c r="P997">
        <v>30</v>
      </c>
      <c r="Q997">
        <v>30</v>
      </c>
      <c r="R997">
        <v>0</v>
      </c>
      <c r="S997">
        <f t="shared" si="143"/>
        <v>30</v>
      </c>
      <c r="T997" s="1" t="s">
        <v>2935</v>
      </c>
      <c r="U997" s="1" t="s">
        <v>2932</v>
      </c>
      <c r="V997" s="3">
        <f t="shared" si="144"/>
        <v>40000</v>
      </c>
      <c r="W997" s="3">
        <f t="shared" si="145"/>
        <v>16000</v>
      </c>
      <c r="X997" s="3">
        <f t="shared" si="137"/>
        <v>1250</v>
      </c>
      <c r="Y997" s="3">
        <f t="shared" si="138"/>
        <v>1600</v>
      </c>
      <c r="Z997" s="3">
        <f t="shared" si="139"/>
        <v>1800</v>
      </c>
      <c r="AA997" s="3">
        <v>0</v>
      </c>
      <c r="AB997" s="3">
        <f>ROUND(U997 - (V997+W997+X997+Y997) - (U997/Q997 * 2),0)</f>
        <v>34483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f>SUM(V997+W997+X997+Y997+AB997)</f>
        <v>93333</v>
      </c>
      <c r="AK997" s="3">
        <f>SUM(AJ997-AA997)</f>
        <v>93333</v>
      </c>
      <c r="AL997" s="3">
        <f>IF(V997&lt;=15000,V997*12%,1800)</f>
        <v>1800</v>
      </c>
      <c r="AM997" s="3">
        <v>0</v>
      </c>
      <c r="AN997" s="3">
        <f t="shared" si="140"/>
        <v>1800</v>
      </c>
      <c r="AO997" s="12">
        <v>200</v>
      </c>
      <c r="AP997" s="12">
        <v>0</v>
      </c>
      <c r="AQ997" s="12">
        <v>0</v>
      </c>
      <c r="AR997" s="12">
        <v>0</v>
      </c>
      <c r="AS997" s="12">
        <v>0</v>
      </c>
      <c r="AT997" s="12">
        <v>0</v>
      </c>
      <c r="AU997" s="3">
        <f t="shared" si="142"/>
        <v>200</v>
      </c>
      <c r="AV997" s="3">
        <f>SUM(AJ997 - AN997 - AU997)</f>
        <v>91333</v>
      </c>
      <c r="AW997" s="11">
        <v>0</v>
      </c>
      <c r="AX997" s="11">
        <v>0</v>
      </c>
      <c r="AY997" s="11">
        <v>0</v>
      </c>
      <c r="AZ997" s="11">
        <v>0</v>
      </c>
      <c r="BA997" s="3">
        <f t="shared" si="141"/>
        <v>91333</v>
      </c>
    </row>
    <row r="998" spans="1:53" x14ac:dyDescent="0.25">
      <c r="A998" s="1" t="s">
        <v>996</v>
      </c>
      <c r="B998" s="9" t="s">
        <v>2059</v>
      </c>
      <c r="C998" s="9" t="s">
        <v>1320</v>
      </c>
      <c r="D998" s="9" t="s">
        <v>2915</v>
      </c>
      <c r="E998" s="9" t="s">
        <v>1008</v>
      </c>
      <c r="F998" s="10">
        <v>44214</v>
      </c>
      <c r="G998" s="9" t="s">
        <v>1013</v>
      </c>
      <c r="I998" s="9" t="s">
        <v>1014</v>
      </c>
      <c r="J998" s="9" t="s">
        <v>1015</v>
      </c>
      <c r="K998" s="8" t="s">
        <v>1006</v>
      </c>
      <c r="L998" s="8" t="s">
        <v>1007</v>
      </c>
      <c r="M998" s="8" t="s">
        <v>2933</v>
      </c>
      <c r="N998" s="8" t="s">
        <v>2937</v>
      </c>
      <c r="O998" s="1" t="s">
        <v>2934</v>
      </c>
      <c r="P998">
        <v>30</v>
      </c>
      <c r="Q998">
        <v>30</v>
      </c>
      <c r="R998">
        <v>0</v>
      </c>
      <c r="S998">
        <f t="shared" si="143"/>
        <v>30</v>
      </c>
      <c r="T998" s="1" t="s">
        <v>2935</v>
      </c>
      <c r="U998" s="1" t="s">
        <v>2932</v>
      </c>
      <c r="V998" s="3">
        <f t="shared" si="144"/>
        <v>40000</v>
      </c>
      <c r="W998" s="3">
        <f t="shared" si="145"/>
        <v>16000</v>
      </c>
      <c r="X998" s="3">
        <f t="shared" si="137"/>
        <v>1250</v>
      </c>
      <c r="Y998" s="3">
        <f t="shared" si="138"/>
        <v>1600</v>
      </c>
      <c r="Z998" s="3">
        <f t="shared" si="139"/>
        <v>1800</v>
      </c>
      <c r="AA998" s="3">
        <v>0</v>
      </c>
      <c r="AB998" s="3">
        <f>ROUND(U998 - (V998+W998+X998+Y998) - (U998/Q998 * 2),0)</f>
        <v>34483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f>SUM(V998+W998+X998+Y998+AB998)</f>
        <v>93333</v>
      </c>
      <c r="AK998" s="3">
        <f>SUM(AJ998-AA998)</f>
        <v>93333</v>
      </c>
      <c r="AL998" s="3">
        <f>IF(V998&lt;=15000,V998*12%,1800)</f>
        <v>1800</v>
      </c>
      <c r="AM998" s="3">
        <v>0</v>
      </c>
      <c r="AN998" s="3">
        <f t="shared" si="140"/>
        <v>1800</v>
      </c>
      <c r="AO998" s="12">
        <v>200</v>
      </c>
      <c r="AP998" s="12">
        <v>0</v>
      </c>
      <c r="AQ998" s="12">
        <v>0</v>
      </c>
      <c r="AR998" s="12">
        <v>0</v>
      </c>
      <c r="AS998" s="12">
        <v>0</v>
      </c>
      <c r="AT998" s="12">
        <v>0</v>
      </c>
      <c r="AU998" s="3">
        <f t="shared" si="142"/>
        <v>200</v>
      </c>
      <c r="AV998" s="3">
        <f>SUM(AJ998 - AN998 - AU998)</f>
        <v>91333</v>
      </c>
      <c r="AW998" s="11">
        <v>0</v>
      </c>
      <c r="AX998" s="11">
        <v>0</v>
      </c>
      <c r="AY998" s="11">
        <v>0</v>
      </c>
      <c r="AZ998" s="11">
        <v>0</v>
      </c>
      <c r="BA998" s="3">
        <f t="shared" si="141"/>
        <v>91333</v>
      </c>
    </row>
    <row r="999" spans="1:53" x14ac:dyDescent="0.25">
      <c r="A999" s="1" t="s">
        <v>997</v>
      </c>
      <c r="B999" s="9" t="s">
        <v>1988</v>
      </c>
      <c r="C999" s="9" t="s">
        <v>2913</v>
      </c>
      <c r="D999" s="9" t="s">
        <v>2914</v>
      </c>
      <c r="E999" s="9" t="s">
        <v>1008</v>
      </c>
      <c r="F999" s="10">
        <v>44216</v>
      </c>
      <c r="G999" s="9" t="s">
        <v>1019</v>
      </c>
      <c r="I999" s="9" t="s">
        <v>1014</v>
      </c>
      <c r="J999" s="9" t="s">
        <v>1264</v>
      </c>
      <c r="K999" s="8" t="s">
        <v>1006</v>
      </c>
      <c r="L999" s="8" t="s">
        <v>1007</v>
      </c>
      <c r="M999" s="8" t="s">
        <v>2933</v>
      </c>
      <c r="N999" s="8" t="s">
        <v>2937</v>
      </c>
      <c r="O999" s="1" t="s">
        <v>2934</v>
      </c>
      <c r="P999">
        <v>30</v>
      </c>
      <c r="Q999">
        <v>30</v>
      </c>
      <c r="R999">
        <v>0</v>
      </c>
      <c r="S999">
        <f t="shared" si="143"/>
        <v>30</v>
      </c>
      <c r="T999" s="1" t="s">
        <v>2935</v>
      </c>
      <c r="U999" s="1" t="s">
        <v>2932</v>
      </c>
      <c r="V999" s="3">
        <f t="shared" si="144"/>
        <v>40000</v>
      </c>
      <c r="W999" s="3">
        <f t="shared" si="145"/>
        <v>16000</v>
      </c>
      <c r="X999" s="3">
        <f t="shared" si="137"/>
        <v>1250</v>
      </c>
      <c r="Y999" s="3">
        <f t="shared" si="138"/>
        <v>1600</v>
      </c>
      <c r="Z999" s="3">
        <f t="shared" si="139"/>
        <v>1800</v>
      </c>
      <c r="AA999" s="3">
        <v>0</v>
      </c>
      <c r="AB999" s="3">
        <f>ROUND(U999 - (V999+W999+X999+Y999) - (U999/Q999 * 2),0)</f>
        <v>34483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f>SUM(V999+W999+X999+Y999+AB999)</f>
        <v>93333</v>
      </c>
      <c r="AK999" s="3">
        <f>SUM(AJ999-AA999)</f>
        <v>93333</v>
      </c>
      <c r="AL999" s="3">
        <f>IF(V999&lt;=15000,V999*12%,1800)</f>
        <v>1800</v>
      </c>
      <c r="AM999" s="3">
        <v>0</v>
      </c>
      <c r="AN999" s="3">
        <f t="shared" si="140"/>
        <v>1800</v>
      </c>
      <c r="AO999" s="12">
        <v>200</v>
      </c>
      <c r="AP999" s="12">
        <v>0</v>
      </c>
      <c r="AQ999" s="12">
        <v>0</v>
      </c>
      <c r="AR999" s="12">
        <v>0</v>
      </c>
      <c r="AS999" s="12">
        <v>0</v>
      </c>
      <c r="AT999" s="12">
        <v>0</v>
      </c>
      <c r="AU999" s="3">
        <f t="shared" si="142"/>
        <v>200</v>
      </c>
      <c r="AV999" s="3">
        <f>SUM(AJ999 - AN999 - AU999)</f>
        <v>91333</v>
      </c>
      <c r="AW999" s="11">
        <v>0</v>
      </c>
      <c r="AX999" s="11">
        <v>0</v>
      </c>
      <c r="AY999" s="11">
        <v>0</v>
      </c>
      <c r="AZ999" s="11">
        <v>0</v>
      </c>
      <c r="BA999" s="3">
        <f t="shared" si="141"/>
        <v>91333</v>
      </c>
    </row>
    <row r="1000" spans="1:53" x14ac:dyDescent="0.25">
      <c r="A1000" s="1" t="s">
        <v>998</v>
      </c>
      <c r="B1000" s="9" t="s">
        <v>1411</v>
      </c>
      <c r="C1000" s="9" t="s">
        <v>1242</v>
      </c>
      <c r="D1000" s="9" t="s">
        <v>2912</v>
      </c>
      <c r="E1000" s="9" t="s">
        <v>1012</v>
      </c>
      <c r="F1000" s="10">
        <v>44216</v>
      </c>
      <c r="G1000" s="9" t="s">
        <v>1019</v>
      </c>
      <c r="I1000" s="9" t="s">
        <v>1014</v>
      </c>
      <c r="J1000" s="9" t="s">
        <v>1015</v>
      </c>
      <c r="K1000" s="8" t="s">
        <v>1006</v>
      </c>
      <c r="L1000" s="8" t="s">
        <v>1007</v>
      </c>
      <c r="M1000" s="8" t="s">
        <v>2933</v>
      </c>
      <c r="N1000" s="8" t="s">
        <v>2937</v>
      </c>
      <c r="O1000" s="1" t="s">
        <v>2934</v>
      </c>
      <c r="P1000">
        <v>30</v>
      </c>
      <c r="Q1000">
        <v>30</v>
      </c>
      <c r="R1000">
        <v>0</v>
      </c>
      <c r="S1000">
        <f t="shared" si="143"/>
        <v>30</v>
      </c>
      <c r="T1000" s="1" t="s">
        <v>2935</v>
      </c>
      <c r="U1000" s="1" t="s">
        <v>2932</v>
      </c>
      <c r="V1000" s="3">
        <f t="shared" si="144"/>
        <v>40000</v>
      </c>
      <c r="W1000" s="3">
        <f t="shared" si="145"/>
        <v>16000</v>
      </c>
      <c r="X1000" s="3">
        <f t="shared" si="137"/>
        <v>1250</v>
      </c>
      <c r="Y1000" s="3">
        <f t="shared" si="138"/>
        <v>1600</v>
      </c>
      <c r="Z1000" s="3">
        <f t="shared" si="139"/>
        <v>1800</v>
      </c>
      <c r="AA1000" s="3">
        <v>0</v>
      </c>
      <c r="AB1000" s="3">
        <f>ROUND(U1000 - (V1000+W1000+X1000+Y1000) - (U1000/Q1000 * 2),0)</f>
        <v>34483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f>SUM(V1000+W1000+X1000+Y1000+AB1000)</f>
        <v>93333</v>
      </c>
      <c r="AK1000" s="3">
        <f>SUM(AJ1000-AA1000)</f>
        <v>93333</v>
      </c>
      <c r="AL1000" s="3">
        <f>IF(V1000&lt;=15000,V1000*12%,1800)</f>
        <v>1800</v>
      </c>
      <c r="AM1000" s="3">
        <v>0</v>
      </c>
      <c r="AN1000" s="3">
        <f t="shared" si="140"/>
        <v>1800</v>
      </c>
      <c r="AO1000" s="12">
        <v>200</v>
      </c>
      <c r="AP1000" s="12">
        <v>0</v>
      </c>
      <c r="AQ1000" s="12">
        <v>0</v>
      </c>
      <c r="AR1000" s="12">
        <v>0</v>
      </c>
      <c r="AS1000" s="12">
        <v>0</v>
      </c>
      <c r="AT1000" s="12">
        <v>0</v>
      </c>
      <c r="AU1000" s="3">
        <f t="shared" si="142"/>
        <v>200</v>
      </c>
      <c r="AV1000" s="3">
        <f>SUM(AJ1000 - AN1000 - AU1000)</f>
        <v>91333</v>
      </c>
      <c r="AW1000" s="11">
        <v>0</v>
      </c>
      <c r="AX1000" s="11">
        <v>0</v>
      </c>
      <c r="AY1000" s="11">
        <v>0</v>
      </c>
      <c r="AZ1000" s="11">
        <v>0</v>
      </c>
      <c r="BA1000" s="3">
        <f t="shared" si="141"/>
        <v>91333</v>
      </c>
    </row>
    <row r="1001" spans="1:53" x14ac:dyDescent="0.25">
      <c r="A1001" s="1" t="s">
        <v>999</v>
      </c>
      <c r="B1001" s="9" t="s">
        <v>1991</v>
      </c>
      <c r="C1001" s="9" t="s">
        <v>1242</v>
      </c>
      <c r="D1001" s="9" t="s">
        <v>2911</v>
      </c>
      <c r="E1001" s="9" t="s">
        <v>1012</v>
      </c>
      <c r="F1001" s="10">
        <v>44221</v>
      </c>
      <c r="G1001" s="9" t="s">
        <v>1019</v>
      </c>
      <c r="I1001" s="9" t="s">
        <v>1014</v>
      </c>
      <c r="J1001" s="9" t="s">
        <v>1015</v>
      </c>
      <c r="K1001" s="8" t="s">
        <v>1006</v>
      </c>
      <c r="L1001" s="8" t="s">
        <v>1007</v>
      </c>
      <c r="M1001" s="8" t="s">
        <v>2933</v>
      </c>
      <c r="N1001" s="8" t="s">
        <v>2937</v>
      </c>
      <c r="O1001" s="1" t="s">
        <v>2934</v>
      </c>
      <c r="P1001">
        <v>30</v>
      </c>
      <c r="Q1001">
        <v>30</v>
      </c>
      <c r="R1001">
        <v>0</v>
      </c>
      <c r="S1001">
        <f t="shared" si="143"/>
        <v>30</v>
      </c>
      <c r="T1001" s="1" t="s">
        <v>2935</v>
      </c>
      <c r="U1001" s="1" t="s">
        <v>2932</v>
      </c>
      <c r="V1001" s="3">
        <f t="shared" si="144"/>
        <v>40000</v>
      </c>
      <c r="W1001" s="3">
        <f t="shared" si="145"/>
        <v>16000</v>
      </c>
      <c r="X1001" s="3">
        <f t="shared" si="137"/>
        <v>1250</v>
      </c>
      <c r="Y1001" s="3">
        <f t="shared" si="138"/>
        <v>1600</v>
      </c>
      <c r="Z1001" s="3">
        <f t="shared" si="139"/>
        <v>1800</v>
      </c>
      <c r="AA1001" s="3">
        <v>0</v>
      </c>
      <c r="AB1001" s="3">
        <f>ROUND(U1001 - (V1001+W1001+X1001+Y1001) - (U1001/Q1001 * 2),0)</f>
        <v>34483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f>SUM(V1001+W1001+X1001+Y1001+AB1001)</f>
        <v>93333</v>
      </c>
      <c r="AK1001" s="3">
        <f>SUM(AJ1001-AA1001)</f>
        <v>93333</v>
      </c>
      <c r="AL1001" s="3">
        <f>IF(V1001&lt;=15000,V1001*12%,1800)</f>
        <v>1800</v>
      </c>
      <c r="AM1001" s="3">
        <v>0</v>
      </c>
      <c r="AN1001" s="3">
        <f t="shared" si="140"/>
        <v>1800</v>
      </c>
      <c r="AO1001" s="12">
        <v>200</v>
      </c>
      <c r="AP1001" s="12">
        <v>0</v>
      </c>
      <c r="AQ1001" s="12">
        <v>0</v>
      </c>
      <c r="AR1001" s="12">
        <v>0</v>
      </c>
      <c r="AS1001" s="12">
        <v>0</v>
      </c>
      <c r="AT1001" s="12">
        <v>0</v>
      </c>
      <c r="AU1001" s="3">
        <f t="shared" si="142"/>
        <v>200</v>
      </c>
      <c r="AV1001" s="3">
        <f>SUM(AJ1001 - AN1001 - AU1001)</f>
        <v>91333</v>
      </c>
      <c r="AW1001" s="11">
        <v>0</v>
      </c>
      <c r="AX1001" s="11">
        <v>0</v>
      </c>
      <c r="AY1001" s="11">
        <v>0</v>
      </c>
      <c r="AZ1001" s="11">
        <v>0</v>
      </c>
      <c r="BA1001" s="3">
        <f t="shared" si="141"/>
        <v>91333</v>
      </c>
    </row>
    <row r="1002" spans="1:53" x14ac:dyDescent="0.25">
      <c r="A1002" s="1" t="s">
        <v>1000</v>
      </c>
      <c r="B1002" s="9" t="s">
        <v>2030</v>
      </c>
      <c r="C1002" s="9" t="s">
        <v>2909</v>
      </c>
      <c r="D1002" s="9" t="s">
        <v>2910</v>
      </c>
      <c r="E1002" s="9" t="s">
        <v>1012</v>
      </c>
      <c r="F1002" s="10">
        <v>44216</v>
      </c>
      <c r="G1002" s="9" t="s">
        <v>1019</v>
      </c>
      <c r="I1002" s="9" t="s">
        <v>1014</v>
      </c>
      <c r="J1002" s="9" t="s">
        <v>1021</v>
      </c>
      <c r="K1002" s="8" t="s">
        <v>1006</v>
      </c>
      <c r="L1002" s="8" t="s">
        <v>1007</v>
      </c>
      <c r="M1002" s="8" t="s">
        <v>2933</v>
      </c>
      <c r="N1002" s="8" t="s">
        <v>2937</v>
      </c>
      <c r="O1002" s="1" t="s">
        <v>2934</v>
      </c>
      <c r="P1002">
        <v>30</v>
      </c>
      <c r="Q1002">
        <v>30</v>
      </c>
      <c r="R1002">
        <v>0</v>
      </c>
      <c r="S1002">
        <f t="shared" si="143"/>
        <v>30</v>
      </c>
      <c r="T1002" s="1" t="s">
        <v>2935</v>
      </c>
      <c r="U1002" s="1" t="s">
        <v>2932</v>
      </c>
      <c r="V1002" s="3">
        <f t="shared" si="144"/>
        <v>40000</v>
      </c>
      <c r="W1002" s="3">
        <f t="shared" si="145"/>
        <v>16000</v>
      </c>
      <c r="X1002" s="3">
        <f t="shared" si="137"/>
        <v>1250</v>
      </c>
      <c r="Y1002" s="3">
        <f t="shared" si="138"/>
        <v>1600</v>
      </c>
      <c r="Z1002" s="3">
        <f t="shared" si="139"/>
        <v>1800</v>
      </c>
      <c r="AA1002" s="3">
        <v>0</v>
      </c>
      <c r="AB1002" s="3">
        <f>ROUND(U1002 - (V1002+W1002+X1002+Y1002) - (U1002/Q1002 * 2),0)</f>
        <v>34483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f>SUM(V1002+W1002+X1002+Y1002+AB1002)</f>
        <v>93333</v>
      </c>
      <c r="AK1002" s="3">
        <f>SUM(AJ1002-AA1002)</f>
        <v>93333</v>
      </c>
      <c r="AL1002" s="3">
        <f>IF(V1002&lt;=15000,V1002*12%,1800)</f>
        <v>1800</v>
      </c>
      <c r="AM1002" s="3">
        <v>0</v>
      </c>
      <c r="AN1002" s="3">
        <f t="shared" si="140"/>
        <v>1800</v>
      </c>
      <c r="AO1002" s="12">
        <v>200</v>
      </c>
      <c r="AP1002" s="12">
        <v>0</v>
      </c>
      <c r="AQ1002" s="12">
        <v>0</v>
      </c>
      <c r="AR1002" s="12">
        <v>0</v>
      </c>
      <c r="AS1002" s="12">
        <v>0</v>
      </c>
      <c r="AT1002" s="12">
        <v>0</v>
      </c>
      <c r="AU1002" s="3">
        <f t="shared" si="142"/>
        <v>200</v>
      </c>
      <c r="AV1002" s="3">
        <f>SUM(AJ1002 - AN1002 - AU1002)</f>
        <v>91333</v>
      </c>
      <c r="AW1002" s="11">
        <v>0</v>
      </c>
      <c r="AX1002" s="11">
        <v>0</v>
      </c>
      <c r="AY1002" s="11">
        <v>0</v>
      </c>
      <c r="AZ1002" s="11">
        <v>0</v>
      </c>
      <c r="BA1002" s="3">
        <f t="shared" si="141"/>
        <v>91333</v>
      </c>
    </row>
    <row r="1003" spans="1:53" x14ac:dyDescent="0.25">
      <c r="A1003" s="1" t="s">
        <v>1001</v>
      </c>
      <c r="B1003" s="9" t="s">
        <v>1125</v>
      </c>
      <c r="C1003" s="9" t="s">
        <v>1092</v>
      </c>
      <c r="D1003" s="9" t="s">
        <v>2908</v>
      </c>
      <c r="E1003" s="9" t="s">
        <v>1008</v>
      </c>
      <c r="F1003" s="10">
        <v>44221</v>
      </c>
      <c r="G1003" s="9" t="s">
        <v>1019</v>
      </c>
      <c r="I1003" s="9" t="s">
        <v>1014</v>
      </c>
      <c r="J1003" s="9" t="s">
        <v>1021</v>
      </c>
      <c r="K1003" s="8" t="s">
        <v>1006</v>
      </c>
      <c r="L1003" s="8" t="s">
        <v>1007</v>
      </c>
      <c r="M1003" s="8" t="s">
        <v>2933</v>
      </c>
      <c r="N1003" s="8" t="s">
        <v>2937</v>
      </c>
      <c r="O1003" s="1" t="s">
        <v>2934</v>
      </c>
      <c r="P1003">
        <v>30</v>
      </c>
      <c r="Q1003">
        <v>30</v>
      </c>
      <c r="R1003">
        <v>0</v>
      </c>
      <c r="S1003">
        <f t="shared" si="143"/>
        <v>30</v>
      </c>
      <c r="T1003" s="1" t="s">
        <v>2935</v>
      </c>
      <c r="U1003" s="1" t="s">
        <v>2932</v>
      </c>
      <c r="V1003" s="3">
        <f t="shared" si="144"/>
        <v>40000</v>
      </c>
      <c r="W1003" s="3">
        <f t="shared" si="145"/>
        <v>16000</v>
      </c>
      <c r="X1003" s="3">
        <f t="shared" si="137"/>
        <v>1250</v>
      </c>
      <c r="Y1003" s="3">
        <f t="shared" si="138"/>
        <v>1600</v>
      </c>
      <c r="Z1003" s="3">
        <f t="shared" si="139"/>
        <v>1800</v>
      </c>
      <c r="AA1003" s="3">
        <v>0</v>
      </c>
      <c r="AB1003" s="3">
        <f>ROUND(U1003 - (V1003+W1003+X1003+Y1003) - (U1003/Q1003 * 2),0)</f>
        <v>34483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f>SUM(V1003+W1003+X1003+Y1003+AB1003)</f>
        <v>93333</v>
      </c>
      <c r="AK1003" s="3">
        <f>SUM(AJ1003-AA1003)</f>
        <v>93333</v>
      </c>
      <c r="AL1003" s="3">
        <f>IF(V1003&lt;=15000,V1003*12%,1800)</f>
        <v>1800</v>
      </c>
      <c r="AM1003" s="3">
        <v>0</v>
      </c>
      <c r="AN1003" s="3">
        <f t="shared" si="140"/>
        <v>1800</v>
      </c>
      <c r="AO1003" s="12">
        <v>200</v>
      </c>
      <c r="AP1003" s="12">
        <v>0</v>
      </c>
      <c r="AQ1003" s="12">
        <v>0</v>
      </c>
      <c r="AR1003" s="12">
        <v>0</v>
      </c>
      <c r="AS1003" s="12">
        <v>0</v>
      </c>
      <c r="AT1003" s="12">
        <v>0</v>
      </c>
      <c r="AU1003" s="3">
        <f t="shared" si="142"/>
        <v>200</v>
      </c>
      <c r="AV1003" s="3">
        <f>SUM(AJ1003 - AN1003 - AU1003)</f>
        <v>91333</v>
      </c>
      <c r="AW1003" s="11">
        <v>0</v>
      </c>
      <c r="AX1003" s="11">
        <v>0</v>
      </c>
      <c r="AY1003" s="11">
        <v>0</v>
      </c>
      <c r="AZ1003" s="11">
        <v>0</v>
      </c>
      <c r="BA1003" s="3">
        <f t="shared" si="141"/>
        <v>91333</v>
      </c>
    </row>
    <row r="1004" spans="1:53" x14ac:dyDescent="0.25">
      <c r="A1004" s="1" t="s">
        <v>1002</v>
      </c>
      <c r="B1004" s="9" t="s">
        <v>2906</v>
      </c>
      <c r="C1004" s="9" t="s">
        <v>1010</v>
      </c>
      <c r="D1004" s="9" t="s">
        <v>2907</v>
      </c>
      <c r="E1004" s="9" t="s">
        <v>1012</v>
      </c>
      <c r="F1004" s="10">
        <v>44228</v>
      </c>
      <c r="G1004" s="9" t="s">
        <v>1019</v>
      </c>
      <c r="I1004" s="9" t="s">
        <v>1014</v>
      </c>
      <c r="J1004" s="9" t="s">
        <v>1015</v>
      </c>
      <c r="K1004" s="8" t="s">
        <v>1006</v>
      </c>
      <c r="L1004" s="8" t="s">
        <v>1007</v>
      </c>
      <c r="M1004" s="8" t="s">
        <v>2933</v>
      </c>
      <c r="N1004" s="8" t="s">
        <v>2937</v>
      </c>
      <c r="O1004" s="1" t="s">
        <v>2934</v>
      </c>
      <c r="P1004">
        <v>30</v>
      </c>
      <c r="Q1004">
        <v>30</v>
      </c>
      <c r="R1004">
        <v>0</v>
      </c>
      <c r="S1004">
        <f t="shared" si="143"/>
        <v>30</v>
      </c>
      <c r="T1004" s="1" t="s">
        <v>2935</v>
      </c>
      <c r="U1004" s="1" t="s">
        <v>2932</v>
      </c>
      <c r="V1004" s="3">
        <f t="shared" si="144"/>
        <v>40000</v>
      </c>
      <c r="W1004" s="3">
        <f t="shared" si="145"/>
        <v>16000</v>
      </c>
      <c r="X1004" s="3">
        <f t="shared" si="137"/>
        <v>1250</v>
      </c>
      <c r="Y1004" s="3">
        <f t="shared" si="138"/>
        <v>1600</v>
      </c>
      <c r="Z1004" s="3">
        <f t="shared" si="139"/>
        <v>1800</v>
      </c>
      <c r="AA1004" s="3">
        <v>0</v>
      </c>
      <c r="AB1004" s="3">
        <f>ROUND(U1004 - (V1004+W1004+X1004+Y1004) - (U1004/Q1004 * 2),0)</f>
        <v>34483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f>SUM(V1004+W1004+X1004+Y1004+AB1004)</f>
        <v>93333</v>
      </c>
      <c r="AK1004" s="3">
        <f>SUM(AJ1004-AA1004)</f>
        <v>93333</v>
      </c>
      <c r="AL1004" s="3">
        <f>IF(V1004&lt;=15000,V1004*12%,1800)</f>
        <v>1800</v>
      </c>
      <c r="AM1004" s="3">
        <v>0</v>
      </c>
      <c r="AN1004" s="3">
        <f t="shared" si="140"/>
        <v>1800</v>
      </c>
      <c r="AO1004" s="12">
        <v>200</v>
      </c>
      <c r="AP1004" s="12">
        <v>0</v>
      </c>
      <c r="AQ1004" s="12">
        <v>0</v>
      </c>
      <c r="AR1004" s="12">
        <v>0</v>
      </c>
      <c r="AS1004" s="12">
        <v>0</v>
      </c>
      <c r="AT1004" s="12">
        <v>0</v>
      </c>
      <c r="AU1004" s="3">
        <f t="shared" si="142"/>
        <v>200</v>
      </c>
      <c r="AV1004" s="3">
        <f>SUM(AJ1004 - AN1004 - AU1004)</f>
        <v>91333</v>
      </c>
      <c r="AW1004" s="11">
        <v>0</v>
      </c>
      <c r="AX1004" s="11">
        <v>0</v>
      </c>
      <c r="AY1004" s="11">
        <v>0</v>
      </c>
      <c r="AZ1004" s="11">
        <v>0</v>
      </c>
      <c r="BA1004" s="3">
        <f t="shared" si="141"/>
        <v>91333</v>
      </c>
    </row>
    <row r="1005" spans="1:53" x14ac:dyDescent="0.25">
      <c r="A1005" s="1" t="s">
        <v>1003</v>
      </c>
      <c r="B1005" s="9" t="s">
        <v>2904</v>
      </c>
      <c r="C1005" s="9" t="s">
        <v>1017</v>
      </c>
      <c r="D1005" s="9" t="s">
        <v>2905</v>
      </c>
      <c r="E1005" s="9" t="s">
        <v>1012</v>
      </c>
      <c r="F1005" s="10">
        <v>44725</v>
      </c>
      <c r="G1005" s="9" t="s">
        <v>1019</v>
      </c>
      <c r="I1005" s="9" t="s">
        <v>1014</v>
      </c>
      <c r="J1005" s="9" t="s">
        <v>1021</v>
      </c>
      <c r="K1005" s="8" t="s">
        <v>1006</v>
      </c>
      <c r="L1005" s="8" t="s">
        <v>1007</v>
      </c>
      <c r="M1005" s="8" t="s">
        <v>2933</v>
      </c>
      <c r="N1005" s="8" t="s">
        <v>2937</v>
      </c>
      <c r="O1005" s="1" t="s">
        <v>2934</v>
      </c>
      <c r="P1005">
        <v>30</v>
      </c>
      <c r="Q1005">
        <v>30</v>
      </c>
      <c r="R1005">
        <v>0</v>
      </c>
      <c r="S1005">
        <f t="shared" si="143"/>
        <v>30</v>
      </c>
      <c r="T1005" s="1" t="s">
        <v>2935</v>
      </c>
      <c r="U1005" s="1" t="s">
        <v>2932</v>
      </c>
      <c r="V1005" s="3">
        <f t="shared" si="144"/>
        <v>40000</v>
      </c>
      <c r="W1005" s="3">
        <f t="shared" si="145"/>
        <v>16000</v>
      </c>
      <c r="X1005" s="3">
        <f t="shared" si="137"/>
        <v>1250</v>
      </c>
      <c r="Y1005" s="3">
        <f t="shared" si="138"/>
        <v>1600</v>
      </c>
      <c r="Z1005" s="3">
        <f t="shared" si="139"/>
        <v>1800</v>
      </c>
      <c r="AA1005" s="3">
        <v>0</v>
      </c>
      <c r="AB1005" s="3">
        <f>ROUND(U1005 - (V1005+W1005+X1005+Y1005) - (U1005/Q1005 * 2),0)</f>
        <v>34483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f>SUM(V1005+W1005+X1005+Y1005+AB1005)</f>
        <v>93333</v>
      </c>
      <c r="AK1005" s="3">
        <f>SUM(AJ1005-AA1005)</f>
        <v>93333</v>
      </c>
      <c r="AL1005" s="3">
        <f>IF(V1005&lt;=15000,V1005*12%,1800)</f>
        <v>1800</v>
      </c>
      <c r="AM1005" s="3">
        <v>0</v>
      </c>
      <c r="AN1005" s="3">
        <f t="shared" si="140"/>
        <v>1800</v>
      </c>
      <c r="AO1005" s="12">
        <v>200</v>
      </c>
      <c r="AP1005" s="12">
        <v>0</v>
      </c>
      <c r="AQ1005" s="12">
        <v>0</v>
      </c>
      <c r="AR1005" s="12">
        <v>0</v>
      </c>
      <c r="AS1005" s="12">
        <v>0</v>
      </c>
      <c r="AT1005" s="12">
        <v>0</v>
      </c>
      <c r="AU1005" s="3">
        <f t="shared" si="142"/>
        <v>200</v>
      </c>
      <c r="AV1005" s="3">
        <f>SUM(AJ1005 - AN1005 - AU1005)</f>
        <v>91333</v>
      </c>
      <c r="AW1005" s="11">
        <v>0</v>
      </c>
      <c r="AX1005" s="11">
        <v>0</v>
      </c>
      <c r="AY1005" s="11">
        <v>0</v>
      </c>
      <c r="AZ1005" s="11">
        <v>0</v>
      </c>
      <c r="BA1005" s="3">
        <f t="shared" si="141"/>
        <v>91333</v>
      </c>
    </row>
    <row r="1006" spans="1:53" x14ac:dyDescent="0.25">
      <c r="A1006" s="1" t="s">
        <v>1004</v>
      </c>
      <c r="B1006" s="9" t="s">
        <v>2901</v>
      </c>
      <c r="C1006" s="9" t="s">
        <v>2902</v>
      </c>
      <c r="D1006" s="9" t="s">
        <v>2903</v>
      </c>
      <c r="E1006" s="9" t="s">
        <v>1012</v>
      </c>
      <c r="F1006" s="10">
        <v>44230</v>
      </c>
      <c r="G1006" s="9" t="s">
        <v>1019</v>
      </c>
      <c r="I1006" s="9" t="s">
        <v>1014</v>
      </c>
      <c r="J1006" s="9" t="s">
        <v>1021</v>
      </c>
      <c r="K1006" s="8" t="s">
        <v>1006</v>
      </c>
      <c r="L1006" s="8" t="s">
        <v>1007</v>
      </c>
      <c r="M1006" s="8" t="s">
        <v>2933</v>
      </c>
      <c r="N1006" s="8" t="s">
        <v>2937</v>
      </c>
      <c r="O1006" s="1" t="s">
        <v>2934</v>
      </c>
      <c r="P1006">
        <v>30</v>
      </c>
      <c r="Q1006">
        <v>30</v>
      </c>
      <c r="R1006">
        <v>0</v>
      </c>
      <c r="S1006">
        <f t="shared" si="143"/>
        <v>30</v>
      </c>
      <c r="T1006" s="1" t="s">
        <v>2935</v>
      </c>
      <c r="U1006" s="1" t="s">
        <v>2932</v>
      </c>
      <c r="V1006" s="3">
        <f t="shared" si="144"/>
        <v>40000</v>
      </c>
      <c r="W1006" s="3">
        <f t="shared" si="145"/>
        <v>16000</v>
      </c>
      <c r="X1006" s="3">
        <f t="shared" si="137"/>
        <v>1250</v>
      </c>
      <c r="Y1006" s="3">
        <f t="shared" si="138"/>
        <v>1600</v>
      </c>
      <c r="Z1006" s="3">
        <f t="shared" si="139"/>
        <v>1800</v>
      </c>
      <c r="AA1006" s="3">
        <v>0</v>
      </c>
      <c r="AB1006" s="3">
        <f>ROUND(U1006 - (V1006+W1006+X1006+Y1006) - (U1006/Q1006 * 2),0)</f>
        <v>34483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f>SUM(V1006+W1006+X1006+Y1006+AB1006)</f>
        <v>93333</v>
      </c>
      <c r="AK1006" s="3">
        <f>SUM(AJ1006-AA1006)</f>
        <v>93333</v>
      </c>
      <c r="AL1006" s="3">
        <f>IF(V1006&lt;=15000,V1006*12%,1800)</f>
        <v>1800</v>
      </c>
      <c r="AM1006" s="3">
        <v>0</v>
      </c>
      <c r="AN1006" s="3">
        <f t="shared" si="140"/>
        <v>1800</v>
      </c>
      <c r="AO1006" s="12">
        <v>200</v>
      </c>
      <c r="AP1006" s="12">
        <v>0</v>
      </c>
      <c r="AQ1006" s="12">
        <v>0</v>
      </c>
      <c r="AR1006" s="12">
        <v>0</v>
      </c>
      <c r="AS1006" s="12">
        <v>0</v>
      </c>
      <c r="AT1006" s="12">
        <v>0</v>
      </c>
      <c r="AU1006" s="3">
        <f t="shared" si="142"/>
        <v>200</v>
      </c>
      <c r="AV1006" s="3">
        <f>SUM(AJ1006 - AN1006 - AU1006)</f>
        <v>91333</v>
      </c>
      <c r="AW1006" s="11">
        <v>0</v>
      </c>
      <c r="AX1006" s="11">
        <v>0</v>
      </c>
      <c r="AY1006" s="11">
        <v>0</v>
      </c>
      <c r="AZ1006" s="11">
        <v>0</v>
      </c>
      <c r="BA1006" s="3">
        <f t="shared" si="141"/>
        <v>91333</v>
      </c>
    </row>
    <row r="1007" spans="1:53" x14ac:dyDescent="0.25">
      <c r="A1007" s="1" t="s">
        <v>1005</v>
      </c>
      <c r="B1007" s="9" t="s">
        <v>1499</v>
      </c>
      <c r="C1007" s="9" t="s">
        <v>1242</v>
      </c>
      <c r="D1007" s="9" t="s">
        <v>2927</v>
      </c>
      <c r="E1007" s="9" t="s">
        <v>1012</v>
      </c>
      <c r="F1007" s="10">
        <v>44235</v>
      </c>
      <c r="G1007" s="9" t="s">
        <v>1019</v>
      </c>
      <c r="I1007" s="9" t="s">
        <v>1014</v>
      </c>
      <c r="J1007" s="9" t="s">
        <v>1015</v>
      </c>
      <c r="K1007" s="8" t="s">
        <v>1006</v>
      </c>
      <c r="L1007" s="8" t="s">
        <v>1007</v>
      </c>
      <c r="M1007" s="8" t="s">
        <v>2933</v>
      </c>
      <c r="N1007" s="8" t="s">
        <v>2937</v>
      </c>
      <c r="O1007" s="1" t="s">
        <v>2934</v>
      </c>
      <c r="P1007">
        <v>30</v>
      </c>
      <c r="Q1007">
        <v>30</v>
      </c>
      <c r="R1007">
        <v>2</v>
      </c>
      <c r="S1007">
        <f t="shared" si="143"/>
        <v>28</v>
      </c>
      <c r="T1007" s="1" t="s">
        <v>2935</v>
      </c>
      <c r="U1007" s="1" t="s">
        <v>2932</v>
      </c>
      <c r="V1007" s="3">
        <f t="shared" si="144"/>
        <v>37333</v>
      </c>
      <c r="W1007" s="3">
        <f t="shared" si="145"/>
        <v>14933</v>
      </c>
      <c r="X1007" s="3">
        <f t="shared" si="137"/>
        <v>1167</v>
      </c>
      <c r="Y1007" s="3">
        <f t="shared" si="138"/>
        <v>1493</v>
      </c>
      <c r="Z1007" s="3">
        <f t="shared" si="139"/>
        <v>1800</v>
      </c>
      <c r="AA1007" s="3">
        <v>0</v>
      </c>
      <c r="AB1007" s="3">
        <f>ROUND(U1007 - (V1007+W1007+X1007+Y1007) - (U1007/Q1007 * 2),0)</f>
        <v>38407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f>SUM(V1007+W1007+X1007+Y1007+AB1007)</f>
        <v>93333</v>
      </c>
      <c r="AK1007" s="3">
        <f>SUM(AJ1007-AA1007)</f>
        <v>93333</v>
      </c>
      <c r="AL1007" s="3">
        <f>IF(V1007&lt;=15000,V1007*12%,1800)</f>
        <v>1800</v>
      </c>
      <c r="AM1007" s="3">
        <v>0</v>
      </c>
      <c r="AN1007" s="3">
        <f t="shared" si="140"/>
        <v>1800</v>
      </c>
      <c r="AO1007" s="12">
        <v>200</v>
      </c>
      <c r="AP1007" s="12">
        <v>0</v>
      </c>
      <c r="AQ1007" s="12">
        <v>0</v>
      </c>
      <c r="AR1007" s="12">
        <v>0</v>
      </c>
      <c r="AS1007" s="12">
        <v>0</v>
      </c>
      <c r="AT1007" s="12">
        <v>0</v>
      </c>
      <c r="AU1007" s="3">
        <f t="shared" si="142"/>
        <v>200</v>
      </c>
      <c r="AV1007" s="3">
        <f>SUM(AJ1007 - AN1007 - AU1007)</f>
        <v>91333</v>
      </c>
      <c r="AW1007" s="11">
        <v>0</v>
      </c>
      <c r="AX1007" s="11">
        <v>0</v>
      </c>
      <c r="AY1007" s="11">
        <v>0</v>
      </c>
      <c r="AZ1007" s="11">
        <v>0</v>
      </c>
      <c r="BA1007" s="3">
        <f t="shared" si="141"/>
        <v>91333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Tammina HR</dc:creator>
  <cp:lastModifiedBy>Siva Ganesh</cp:lastModifiedBy>
  <dcterms:created xsi:type="dcterms:W3CDTF">2025-11-27T11:26:06Z</dcterms:created>
  <dcterms:modified xsi:type="dcterms:W3CDTF">2025-12-01T14:38:03Z</dcterms:modified>
</cp:coreProperties>
</file>